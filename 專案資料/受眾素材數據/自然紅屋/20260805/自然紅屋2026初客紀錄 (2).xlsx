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初客紀錄" sheetId="1" r:id="rId5"/>
    <sheet state="visible" name="今年整年的月電話量" sheetId="2" r:id="rId6"/>
    <sheet state="visible" name="FB名單輸入" sheetId="3" r:id="rId7"/>
    <sheet state="visible" name="每週業務追蹤表" sheetId="4" r:id="rId8"/>
  </sheets>
  <definedNames>
    <definedName hidden="1" localSheetId="0" name="_xlnm._FilterDatabase">'2026初客紀錄'!$A$182:$N$808</definedName>
    <definedName hidden="1" localSheetId="1" name="_xlnm._FilterDatabase">'今年整年的月電話量'!$S$1:$T$14</definedName>
    <definedName hidden="1" localSheetId="3" name="_xlnm._FilterDatabase">'每週業務追蹤表'!$A$2:$AB$31</definedName>
  </definedNames>
  <calcPr/>
</workbook>
</file>

<file path=xl/sharedStrings.xml><?xml version="1.0" encoding="utf-8"?>
<sst xmlns="http://schemas.openxmlformats.org/spreadsheetml/2006/main" count="7516" uniqueCount="3213">
  <si>
    <t>總電話量</t>
  </si>
  <si>
    <t>價格、付款、規格、選配、運送、合約、交期</t>
  </si>
  <si>
    <t>日期</t>
  </si>
  <si>
    <t>月份</t>
  </si>
  <si>
    <t>客人
來源</t>
  </si>
  <si>
    <r>
      <rPr>
        <rFont val="Arial"/>
        <color theme="1"/>
      </rPr>
      <t xml:space="preserve">FB名單
</t>
    </r>
    <r>
      <rPr>
        <rFont val="Arial"/>
        <color theme="1"/>
        <sz val="8.0"/>
      </rPr>
      <t>純表單</t>
    </r>
  </si>
  <si>
    <t>遊學日期</t>
  </si>
  <si>
    <t>客戶</t>
  </si>
  <si>
    <t>姓名</t>
  </si>
  <si>
    <t>類型</t>
  </si>
  <si>
    <t>能力(客觀)</t>
  </si>
  <si>
    <t>訪後意願</t>
  </si>
  <si>
    <t>意願(表格)</t>
  </si>
  <si>
    <t>談條件(方案)</t>
  </si>
  <si>
    <t>等級</t>
  </si>
  <si>
    <t>電話</t>
  </si>
  <si>
    <t>卡點</t>
  </si>
  <si>
    <t>業務下一步</t>
  </si>
  <si>
    <t>備註</t>
  </si>
  <si>
    <t>進線初接</t>
  </si>
  <si>
    <t>初次聯絡事項</t>
  </si>
  <si>
    <t>5/2(六)</t>
  </si>
  <si>
    <t>藍貝芝 0935546501</t>
  </si>
  <si>
    <r>
      <rPr>
        <rFont val="Arial"/>
        <color theme="1"/>
      </rPr>
      <t>其他管道</t>
    </r>
    <r>
      <rPr>
        <rFont val="Arial"/>
        <color theme="1"/>
        <sz val="9.0"/>
      </rPr>
      <t xml:space="preserve">
</t>
    </r>
    <r>
      <rPr>
        <rFont val="Arial"/>
        <color theme="1"/>
        <sz val="7.0"/>
      </rPr>
      <t>FB LINE WIX 後台 GM 其他 TEL</t>
    </r>
  </si>
  <si>
    <t>退休長住</t>
  </si>
  <si>
    <t>是</t>
  </si>
  <si>
    <t>各人員電話邀約成功率</t>
  </si>
  <si>
    <t>聯絡人員</t>
  </si>
  <si>
    <t>高</t>
  </si>
  <si>
    <t>電話
日期</t>
  </si>
  <si>
    <t>參訪
日期</t>
  </si>
  <si>
    <t>篩選器 (手動)電話日期&amp;聯絡人員</t>
  </si>
  <si>
    <t>A</t>
  </si>
  <si>
    <t>人
數</t>
  </si>
  <si>
    <t>找地中</t>
  </si>
  <si>
    <t>二次邀約狀況
（預算＆規劃＋用途）</t>
  </si>
  <si>
    <t>每月份(可下拉)</t>
  </si>
  <si>
    <t>蘇建豪 0912032722</t>
  </si>
  <si>
    <t>手動驗證)</t>
  </si>
  <si>
    <t>假日休閒</t>
  </si>
  <si>
    <t>無地</t>
  </si>
  <si>
    <t>租地</t>
  </si>
  <si>
    <t>數量</t>
  </si>
  <si>
    <t>預約成功</t>
  </si>
  <si>
    <t>陳桃霞 0958586876</t>
  </si>
  <si>
    <t>已連絡</t>
  </si>
  <si>
    <t>%</t>
  </si>
  <si>
    <t>宜蘭</t>
  </si>
  <si>
    <t>中</t>
  </si>
  <si>
    <t>80~120萬</t>
  </si>
  <si>
    <t>B</t>
  </si>
  <si>
    <t>弟弟是建築師,狹長基地</t>
  </si>
  <si>
    <t>黃淑華 0923249393</t>
  </si>
  <si>
    <t>Line</t>
  </si>
  <si>
    <t>林意馨</t>
  </si>
  <si>
    <t>0912156377</t>
  </si>
  <si>
    <t>人員</t>
  </si>
  <si>
    <t>撥通電話</t>
  </si>
  <si>
    <t>謹瀅</t>
  </si>
  <si>
    <t>邀約成功</t>
  </si>
  <si>
    <t>你好：今日方便參觀嗎？
今天剛好有空要上台中，所以想說今天是否方便參觀
住家在高雄</t>
  </si>
  <si>
    <t>成功率 %</t>
  </si>
  <si>
    <t>張宇翔 0981528028</t>
  </si>
  <si>
    <t>苗栗通霄</t>
  </si>
  <si>
    <t>承廷聯繫中</t>
  </si>
  <si>
    <r>
      <rPr>
        <rFont val="Arial"/>
        <color rgb="FFFF00FF"/>
      </rPr>
      <t>空包彈 =</t>
    </r>
    <r>
      <rPr>
        <rFont val="Arial"/>
        <color theme="1"/>
      </rPr>
      <t xml:space="preserve"> 未接、語音、其他無法接通項目</t>
    </r>
  </si>
  <si>
    <r>
      <rPr>
        <rFont val="Arial"/>
        <color theme="1"/>
      </rPr>
      <t xml:space="preserve">之前有在花博看過(還沒有買地)，有看過簡章有了解
今年有買地(大湖)-現在有想骰規劃，有水有電，
自己在做生意時間不固定，留近期參訪時間給參考
住：高雄
</t>
    </r>
    <r>
      <rPr>
        <rFont val="Arial"/>
        <color rgb="FFFF0000"/>
      </rPr>
      <t xml:space="preserve">1/31 榕
3月想來訪(月初出國，月底3/17號以後平日都可以排，每周二是最方便的，依我們安排為主)
</t>
    </r>
    <r>
      <rPr>
        <rFont val="Arial"/>
        <color theme="1"/>
      </rPr>
      <t>2/26許 是餐飲業(配合老公時間安排上來)，3/4-9出國，
想改約4/14，要提前先約時間，方便排休
3/25去電未接，Line再確認四月中的日期</t>
    </r>
  </si>
  <si>
    <t>待確認日期</t>
  </si>
  <si>
    <t>TEL</t>
  </si>
  <si>
    <t>5/8(五)</t>
  </si>
  <si>
    <t>鄭惠分 0910699428</t>
  </si>
  <si>
    <t>許嘉彬</t>
  </si>
  <si>
    <t>0912181737</t>
  </si>
  <si>
    <t>台南南化</t>
  </si>
  <si>
    <t>梓涵</t>
  </si>
  <si>
    <t>整地,申請水電</t>
  </si>
  <si>
    <t>請問預約下午參觀可以嗎
嘉義建地
4米寬40米深
想放單院屋型
傳照片給她
(後台)</t>
  </si>
  <si>
    <t>王宇晴 0955703113</t>
  </si>
  <si>
    <t>彰化老家地</t>
  </si>
  <si>
    <t>低</t>
  </si>
  <si>
    <t>先生是醫生</t>
  </si>
  <si>
    <t>C</t>
  </si>
  <si>
    <t>双院、陽台</t>
  </si>
  <si>
    <t>子榕</t>
  </si>
  <si>
    <t>莊雅茹 0966786729</t>
  </si>
  <si>
    <t>中壢</t>
  </si>
  <si>
    <t>臨時想來訪，後續要北上安排時間，才會方便
3/25 去電，近期可能會出國，要來再預約時間</t>
  </si>
  <si>
    <t>合掌屋</t>
  </si>
  <si>
    <t>李小姐</t>
  </si>
  <si>
    <t>0988021266</t>
  </si>
  <si>
    <t>請問你們過年有營業嗎?
(電話中已經回2/15~2/23年節假期)
(看起來是想用餐+參觀木屋)
1/2 未接通2</t>
  </si>
  <si>
    <t>5/9(六)</t>
  </si>
  <si>
    <t>楊(沈慧玲) 0933183284</t>
  </si>
  <si>
    <t>西湖地</t>
  </si>
  <si>
    <t>已場勘</t>
  </si>
  <si>
    <t>1/3許 未接2
早期的家具客戶，沒有自主移動能力，一定要找小孩載送
有一點興趣，沒地。自己會再回電</t>
  </si>
  <si>
    <t>温雅惠 0922011800</t>
  </si>
  <si>
    <t>先生說400萬</t>
  </si>
  <si>
    <t>林育生</t>
  </si>
  <si>
    <t>想等后土村</t>
  </si>
  <si>
    <t>0982861116</t>
  </si>
  <si>
    <t>5/13(三)</t>
  </si>
  <si>
    <t>一家三口,
想了解屋款價格範圍</t>
  </si>
  <si>
    <t xml:space="preserve">林慧英 0931692178 </t>
  </si>
  <si>
    <t>500萬</t>
  </si>
  <si>
    <t>地在鹿港，老婆是鹿港人，想給小孩還有老婆一個新環境
目前不想透漏太多，看不太懂網址內容</t>
  </si>
  <si>
    <t>黃惠如 0922212227</t>
  </si>
  <si>
    <t>老家枋寮基地</t>
  </si>
  <si>
    <t>連絡中</t>
  </si>
  <si>
    <t>300萬</t>
  </si>
  <si>
    <t>也再看高雄建案</t>
  </si>
  <si>
    <t>衛浴客製需求</t>
  </si>
  <si>
    <t>0911800625</t>
  </si>
  <si>
    <t xml:space="preserve">您好，想先請問木屋大概基礎的價格，如13坪數，或是更大的。
地點：苗栗泰安或是台東。
</t>
  </si>
  <si>
    <t xml:space="preserve">張又文 0933191026
</t>
  </si>
  <si>
    <t>休閒業者</t>
  </si>
  <si>
    <t>國姓農地</t>
  </si>
  <si>
    <t>申請休閒農場</t>
  </si>
  <si>
    <t>有給基地資訊</t>
  </si>
  <si>
    <t>現場有鐵皮屋要拆</t>
  </si>
  <si>
    <t>想蓋30坪左右，有考慮旗艦兩組想要合併，3-5為家人一起住，
有再考慮其他小木屋及我們，可能是3位參訪
有問費用300(感覺貴)，所以說需要評估，有需要再連絡
4/21 語音</t>
  </si>
  <si>
    <t>5/16(六)</t>
  </si>
  <si>
    <t>陳延靜 0928329069</t>
  </si>
  <si>
    <t>老家地</t>
  </si>
  <si>
    <t>先來了解</t>
  </si>
  <si>
    <t>范先生</t>
  </si>
  <si>
    <t>0937962912</t>
  </si>
  <si>
    <t>陳讚昌 0923263858</t>
  </si>
  <si>
    <t>我們有一塊地在苗栗的丙建
坪數100初~可蓋ˇ30~40坪
明天2點參觀時間會來不及,可另約時間</t>
  </si>
  <si>
    <t>宜蘭基地</t>
  </si>
  <si>
    <t>投資客心態,會殺價</t>
  </si>
  <si>
    <t>目前感覺不想透漏太多，但態度尚可
請他加LINE，再傳預約資訊
1/3 太太尚未確認，日期先取消</t>
  </si>
  <si>
    <t>傅文賢 0975929028</t>
  </si>
  <si>
    <t>桃園&amp;新竹</t>
  </si>
  <si>
    <t>簡廷宇</t>
  </si>
  <si>
    <t>0986557980</t>
  </si>
  <si>
    <t>投資</t>
  </si>
  <si>
    <t>想了解，週六全天可聯繫
有地的參觀 (後台)</t>
  </si>
  <si>
    <r>
      <rPr>
        <rFont val="Arial"/>
        <color theme="1"/>
      </rPr>
      <t xml:space="preserve">最少1位，農地 有電沒水 南投 草屯 特農。因為是當地人，沒有想法規劃。
木屋坪數? (說不喜歡大坪數)
一直說他對這個生活很有興趣，不但問到化糞池有沒有包、基座有沒有 包、庭園有沒有包、種菜有沒有包?????????????
</t>
    </r>
    <r>
      <rPr>
        <rFont val="Arial"/>
        <color rgb="FFFF0000"/>
      </rPr>
      <t>感覺 "真的" 很像同行 (太空艙?)</t>
    </r>
  </si>
  <si>
    <t>楊永權 0922003775</t>
  </si>
  <si>
    <t>同上</t>
  </si>
  <si>
    <t>胡智凱</t>
  </si>
  <si>
    <t>0939179626</t>
  </si>
  <si>
    <t>想參觀木屋(週六較方便)</t>
  </si>
  <si>
    <t>1月</t>
  </si>
  <si>
    <t>吳尚溢 0912772372</t>
  </si>
  <si>
    <t>參訪：4位 2大2小 (國小1年級3年級)
先跟胡先生說明小孩的部分，他晚點跟太太討論，決定還是要帶小孩參訪</t>
  </si>
  <si>
    <t>暫置</t>
  </si>
  <si>
    <t>FB名單</t>
  </si>
  <si>
    <t>Douglas Lin</t>
  </si>
  <si>
    <t>0928829256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</si>
  <si>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"1/7 未接通2
1/8許 掛電話2"</t>
    </r>
  </si>
  <si>
    <t>5/23(六)</t>
  </si>
  <si>
    <t>鄭艾綸 0927701299</t>
  </si>
  <si>
    <t>無地,但問很細</t>
  </si>
  <si>
    <t>未接，1/8許 掛電話2</t>
  </si>
  <si>
    <t>陳彥儒 0960135688</t>
  </si>
  <si>
    <t>陳信介</t>
  </si>
  <si>
    <t>目標2院,希望快速,父母也無聽簡報即趕行程離開</t>
  </si>
  <si>
    <t>0917273250</t>
  </si>
  <si>
    <t>平日早上0900-1200</t>
  </si>
  <si>
    <t>陳美妙 0912678885</t>
  </si>
  <si>
    <t>太熱,看完合掌屋即離開,體驗感差,是否邀約下回參觀完工合掌屋招待參觀費?</t>
  </si>
  <si>
    <t>開會中，說要LINE給他．．．就掛電話
沒有LINE阿　＝　＝</t>
  </si>
  <si>
    <t>陳淑津</t>
  </si>
  <si>
    <t>陳郁雯 0972053143</t>
  </si>
  <si>
    <t>0919207558</t>
  </si>
  <si>
    <t>土地：
水、電、道路：
預算：
決策：
時間：</t>
  </si>
  <si>
    <t>平日下午1300-1800
1/6許 10分鐘後未接</t>
  </si>
  <si>
    <t>聯絡人員的COUNTA</t>
  </si>
  <si>
    <t xml:space="preserve">屋款：
</t>
  </si>
  <si>
    <t>高度興趣</t>
  </si>
  <si>
    <t>未接，10分鐘後未接</t>
  </si>
  <si>
    <t>5/29(五)</t>
  </si>
  <si>
    <t>參訪
日期的COUNTA</t>
  </si>
  <si>
    <t>羅桂華 0963158190</t>
  </si>
  <si>
    <t>Joanne Wang</t>
  </si>
  <si>
    <t>土地：臺中市石岡區崁子下段(5927)947-1地號
水、電、道路：水電X 道路O
預算：400+
決策：先生
時間：</t>
  </si>
  <si>
    <t>0952490535</t>
  </si>
  <si>
    <t>週六下午1300-1800
"有語音 看看此人是誰該不該接聽電話
已留言 我們是自然紅屋"</t>
  </si>
  <si>
    <t>水電</t>
  </si>
  <si>
    <t>追客人申請水電</t>
  </si>
  <si>
    <t>語音</t>
  </si>
  <si>
    <t>林煜騰 0963638877</t>
  </si>
  <si>
    <t>洪先生</t>
  </si>
  <si>
    <t>土地：桃園青埔(農地1200坪/建地258坪)
水、電、道路：有電
預算：
決策：自己
時間：</t>
  </si>
  <si>
    <t>0930992255</t>
  </si>
  <si>
    <r>
      <rPr>
        <rFont val="Arial"/>
        <color theme="1"/>
      </rPr>
      <t xml:space="preserve">我在你們外面，我要參觀你們行動木屋，
有跟他說要預約，他說給他資料下次他再過來，
很沒有禮貌的人，有跟他說可以加LINE先預約
</t>
    </r>
    <r>
      <rPr>
        <rFont val="Arial"/>
        <color rgb="FFFF0000"/>
      </rPr>
      <t>1/7 未接通2</t>
    </r>
  </si>
  <si>
    <t>局勢不好先做好一間，照顧自己，也作為未來投資想法DEMO</t>
  </si>
  <si>
    <t xml:space="preserve">HM:是小建商
</t>
  </si>
  <si>
    <t>未接</t>
  </si>
  <si>
    <t>王月娥</t>
  </si>
  <si>
    <t>0953551112</t>
  </si>
  <si>
    <t>6/3(三)</t>
  </si>
  <si>
    <t>白詠 0928933955</t>
  </si>
  <si>
    <t>其他</t>
  </si>
  <si>
    <t>土地：三義
水、電、道路：水電O 道路O
預算：
決策：先生
時間：</t>
  </si>
  <si>
    <t>週六下午1300-1800</t>
  </si>
  <si>
    <t>軍: 用途似乎不明確</t>
  </si>
  <si>
    <t>林先生(留媽媽的聯絡資料)
之前住石岡附近，有來參觀過，有買過家具(很多)
目前有兩塊地閒置(頭份、三義)，有考慮其他廠商，
不想申請建照，想用農地就好
資料還沒看有請他加LINE(有傳資料給本人)</t>
  </si>
  <si>
    <t>楊淑惠 0936826965</t>
  </si>
  <si>
    <t>土地：X
水、電、道路：水電X 道路X
預算：
決策：自己
時間：</t>
  </si>
  <si>
    <t>王復儒</t>
  </si>
  <si>
    <t>雙院</t>
  </si>
  <si>
    <t>0933218908</t>
  </si>
  <si>
    <t>關心客人找地狀況</t>
  </si>
  <si>
    <t>平日下午1300-1800</t>
  </si>
  <si>
    <t>曾銘圳 0932527933</t>
  </si>
  <si>
    <t>土地：三灣
水、電、道路：水電X 道路O
預算：
決策：先生
時間：</t>
  </si>
  <si>
    <t>1/6許 說現在有點忙稍後會回覆
1/7 先生推給太太，說還在忙，看完資料會主動回覆</t>
  </si>
  <si>
    <t>追蹤客人申請水電</t>
  </si>
  <si>
    <t>郭仲強</t>
  </si>
  <si>
    <t>0928577282</t>
  </si>
  <si>
    <t>6/6六</t>
  </si>
  <si>
    <t>有基地的參觀
週六較方便安排
2大2小</t>
  </si>
  <si>
    <t>蔣小梅 0932947981</t>
  </si>
  <si>
    <r>
      <rPr>
        <rFont val="Arial"/>
        <color theme="1"/>
      </rPr>
      <t xml:space="preserve">土地：森優生態實驗小學
水、電、道路：水電O </t>
    </r>
    <r>
      <rPr>
        <rFont val="Arial"/>
        <color rgb="FFFF0000"/>
      </rPr>
      <t>道路?</t>
    </r>
    <r>
      <rPr>
        <rFont val="Arial"/>
        <color theme="1"/>
      </rPr>
      <t xml:space="preserve">
預算：400+
決策：先生
</t>
    </r>
    <r>
      <rPr>
        <rFont val="Arial"/>
        <color rgb="FFFF0000"/>
      </rPr>
      <t>時間：</t>
    </r>
  </si>
  <si>
    <t xml:space="preserve"> 合掌屋</t>
  </si>
  <si>
    <t>參訪：
夫妻+小孩 3y5y 
小孩已告知，待確定要帶進來還是請親戚幫忙再公園照顧</t>
  </si>
  <si>
    <t>到底要放在哪裡？</t>
  </si>
  <si>
    <t>追蹤實際意願</t>
  </si>
  <si>
    <t>後台</t>
  </si>
  <si>
    <t>蕭小姐</t>
  </si>
  <si>
    <t>0980585177</t>
  </si>
  <si>
    <t>無地的參觀
1/3 未接通3
1/6許 週六方便聯絡</t>
  </si>
  <si>
    <t>吳之琳 0906950910</t>
  </si>
  <si>
    <r>
      <rPr>
        <rFont val="Arial"/>
        <color theme="1"/>
      </rPr>
      <t xml:space="preserve">土地：古坑
水、電、道路：水O </t>
    </r>
    <r>
      <rPr>
        <rFont val="Arial"/>
        <color rgb="FFFF0000"/>
      </rPr>
      <t>電X 道路?</t>
    </r>
    <r>
      <rPr>
        <rFont val="Arial"/>
        <color theme="1"/>
      </rPr>
      <t xml:space="preserve">
預算：300-350
決策：自己 (住 夫妻)
時間：</t>
    </r>
    <r>
      <rPr>
        <rFont val="Arial"/>
        <color rgb="FFFF0000"/>
      </rPr>
      <t>請到電後越快越好</t>
    </r>
  </si>
  <si>
    <t>短3 or 2院(不排斥舊款出清)</t>
  </si>
  <si>
    <r>
      <rPr>
        <rFont val="Arial"/>
        <color theme="1"/>
      </rPr>
      <t>在尋找土地中，想先來參觀了解。
為之後4、50歲的生活做規劃(感覺可以</t>
    </r>
    <r>
      <rPr>
        <rFont val="Arial"/>
        <b/>
        <color rgb="FFFF0000"/>
      </rPr>
      <t>推體驗營</t>
    </r>
    <r>
      <rPr>
        <rFont val="Arial"/>
        <color theme="1"/>
      </rPr>
      <t>~)
工作在台北、有房在桃園，是中南部人，
感覺是小白，不知道要買建地或農地，
有問土地媒介，因為一直沒有找到適合的土地，
感覺也可以推</t>
    </r>
    <r>
      <rPr>
        <rFont val="Arial"/>
        <b/>
        <color rgb="FFFF0000"/>
      </rPr>
      <t xml:space="preserve">后土紅友計畫，
</t>
    </r>
    <r>
      <rPr>
        <rFont val="Arial"/>
        <color theme="1"/>
      </rPr>
      <t>有請她加LINE，目前參觀時間待確認(假日比較有空)</t>
    </r>
  </si>
  <si>
    <t>電</t>
  </si>
  <si>
    <t>追客人請電</t>
  </si>
  <si>
    <t>林兆啟</t>
  </si>
  <si>
    <t>0905510269</t>
  </si>
  <si>
    <t>蔡慈愛 0988722930</t>
  </si>
  <si>
    <r>
      <rPr>
        <rFont val="Arial"/>
        <color theme="1"/>
      </rPr>
      <t xml:space="preserve">土地：新營
水、電、道路：水電O 道路O
預算：OK
決策：先生(業主)
</t>
    </r>
    <r>
      <rPr>
        <rFont val="Arial"/>
        <color rgb="FFFF0000"/>
      </rPr>
      <t>時間：</t>
    </r>
  </si>
  <si>
    <t>大單院客製(空屋改牆做茶室)</t>
  </si>
  <si>
    <t>設計案</t>
  </si>
  <si>
    <t>設計師跟業主討論後，會加3方群
然後提供進一步設計需求</t>
  </si>
  <si>
    <t>住潭子，1
聽說現在蓋木屋很貴，有想法但想先來看看 (看了參訪尚未看價格)</t>
  </si>
  <si>
    <t>張益彰</t>
  </si>
  <si>
    <t>4/18六</t>
  </si>
  <si>
    <t>林意馨 0912156377</t>
  </si>
  <si>
    <t>0932587239</t>
  </si>
  <si>
    <r>
      <rPr>
        <rFont val="Arial"/>
        <color theme="1"/>
      </rPr>
      <t xml:space="preserve">土地：大湖
水、電、道路：水電O 道路O
預算：150-200
決策：先生
</t>
    </r>
    <r>
      <rPr>
        <rFont val="Arial"/>
        <color rgb="FFFF0000"/>
      </rPr>
      <t>時間：</t>
    </r>
  </si>
  <si>
    <t>双院</t>
  </si>
  <si>
    <t>合法性 資材室</t>
  </si>
  <si>
    <t>客戶已經跟水保師說明我們的木屋，但水保師說，不會有人蓋這麼漂亮的房子。
讓客人自己想想，過不過的了這關。</t>
  </si>
  <si>
    <t>本身是{847露營區}經營者
想加蓋,目前很多廠商在評估中
基地在南投的竹山、鹿谷都有
因為有蓋過木屋,組合屋的經驗
想大概了解我們的材質資訊等等
再去評估自己值不值跑這一趟參觀
300園參觀費不是問題,覺得2~3小時太久
先寄資料</t>
  </si>
  <si>
    <t>蔡奇玲 0953707008</t>
  </si>
  <si>
    <t>鄭先生</t>
  </si>
  <si>
    <r>
      <rPr>
        <rFont val="Arial"/>
        <color theme="1"/>
      </rPr>
      <t xml:space="preserve">土地：清水
水、電、道路：水電X 道路?
預算：500內
決策：
</t>
    </r>
    <r>
      <rPr>
        <rFont val="Arial"/>
        <color rgb="FFFF0000"/>
      </rPr>
      <t>時間：</t>
    </r>
  </si>
  <si>
    <t>0923320449</t>
  </si>
  <si>
    <t>?
3院or 合掌屋
不用有睡覺的空間
想成為獨立書屋
森林中的小書屋</t>
  </si>
  <si>
    <t>合法性 已經初步動搖</t>
  </si>
  <si>
    <t>要重看，太久了
客戶已經再詢問不合法怎麼請到建地的水電</t>
  </si>
  <si>
    <t>錢不夠不用想合法
2026/6/17更新</t>
  </si>
  <si>
    <t>有請他加LINE，想預約下禮拜參訪
LINE回覆有需要會再聯絡</t>
  </si>
  <si>
    <t>高先生 0913151931</t>
  </si>
  <si>
    <t>陳小姐Amy</t>
  </si>
  <si>
    <t>0933979910</t>
  </si>
  <si>
    <r>
      <rPr>
        <rFont val="Arial"/>
        <color theme="1"/>
      </rPr>
      <t xml:space="preserve">土地：X
水、電、道路：
預算：有錢(老闆判斷)
決策：
</t>
    </r>
    <r>
      <rPr>
        <rFont val="Arial"/>
        <color rgb="FFFF0000"/>
      </rPr>
      <t>時間：</t>
    </r>
  </si>
  <si>
    <t>風水，太太堅持要有導角，合掌屋的屋頂是刀煞 (可見這個人有很多害怕)</t>
  </si>
  <si>
    <t>無資料</t>
  </si>
  <si>
    <t>陳小惠 0952894849</t>
  </si>
  <si>
    <t>劉滋芳</t>
  </si>
  <si>
    <t>0987798486</t>
  </si>
  <si>
    <r>
      <rPr>
        <rFont val="Arial"/>
        <color theme="1"/>
      </rPr>
      <t xml:space="preserve">土地：苑裡300坪農地
水、電、道路：水電O 道路?
預算：有錢(老闆判斷)朋友紅屋家具
決策：
</t>
    </r>
    <r>
      <rPr>
        <rFont val="Arial"/>
        <color rgb="FFFF0000"/>
      </rPr>
      <t>時間：</t>
    </r>
  </si>
  <si>
    <t>平日下午1300-1800
1/6許 空號！！！</t>
  </si>
  <si>
    <t>朋友??</t>
  </si>
  <si>
    <t>再去電確認</t>
  </si>
  <si>
    <t>未接，空號</t>
  </si>
  <si>
    <t>周啟陽 0910464020</t>
  </si>
  <si>
    <t>張先生</t>
  </si>
  <si>
    <t>給長輩，但現場感覺是同行(老闆&amp;成廷認證)</t>
  </si>
  <si>
    <t>0932346656</t>
  </si>
  <si>
    <t>週六早上0900-1200</t>
  </si>
  <si>
    <t>曾琴梅 0939705120</t>
  </si>
  <si>
    <t>目前找地中~</t>
  </si>
  <si>
    <t>土地：苗栗公館(還再談) 60坪丙建
水、電、道路：
預算：
決策：
時間：</t>
  </si>
  <si>
    <t>賴靜慧</t>
  </si>
  <si>
    <t>建議租地</t>
  </si>
  <si>
    <t>0926950022</t>
  </si>
  <si>
    <r>
      <rPr>
        <rFont val="Arial"/>
        <color theme="1"/>
      </rPr>
      <t>住台中北屯
有地的參觀
平常也休日一(_居家工作室職業)
目前</t>
    </r>
    <r>
      <rPr>
        <rFont val="Arial"/>
        <color rgb="FFFF0000"/>
      </rPr>
      <t>1/14(三)剛好有空檔可以預約參觀</t>
    </r>
    <r>
      <rPr>
        <rFont val="Arial"/>
        <color theme="1"/>
      </rPr>
      <t xml:space="preserve">
已經觀察我們行動屋很久了</t>
    </r>
  </si>
  <si>
    <t>陳怡君 0932787553</t>
  </si>
  <si>
    <t>土地：嘉義民雄虎尾寮 200坪
水、電、道路：水電O 道路?(沒去過)
預算：
決策：500
時間：
土地：弟弟的，同意可用</t>
  </si>
  <si>
    <t>合掌屋+大單(頌缽)</t>
  </si>
  <si>
    <t>自己參訪
有地</t>
  </si>
  <si>
    <t>???</t>
  </si>
  <si>
    <t>取得地號，照片</t>
  </si>
  <si>
    <t>買過出清Qcamp 20萬</t>
  </si>
  <si>
    <t>Shen Shen
沈晴</t>
  </si>
  <si>
    <t>2月</t>
  </si>
  <si>
    <t>0988881836</t>
  </si>
  <si>
    <r>
      <rPr>
        <rFont val="Arial"/>
        <color rgb="FF1C2B33"/>
        <sz val="11.0"/>
      </rPr>
      <t xml:space="preserve">平日下午1300-1800
</t>
    </r>
    <r>
      <rPr>
        <rFont val="Arial"/>
        <color rgb="FFFF0000"/>
        <sz val="11.0"/>
      </rPr>
      <t xml:space="preserve">1/6許 未接2
1/7 未接通2
</t>
    </r>
    <r>
      <rPr>
        <rFont val="Arial"/>
        <color rgb="FF1C2B33"/>
        <sz val="11.0"/>
      </rPr>
      <t>1/16 轉語音信箱</t>
    </r>
  </si>
  <si>
    <t>陳先生</t>
  </si>
  <si>
    <t>0936778553</t>
  </si>
  <si>
    <r>
      <rPr>
        <rFont val="Arial"/>
        <color rgb="FF1C2B33"/>
        <sz val="11.0"/>
      </rPr>
      <t xml:space="preserve">平日下午1300-1800
1/6許 現在開會明早可以聯絡~
</t>
    </r>
    <r>
      <rPr>
        <rFont val="Arial"/>
        <color rgb="FFFF0000"/>
        <sz val="11.0"/>
      </rPr>
      <t>1/7 語音信箱</t>
    </r>
  </si>
  <si>
    <t>黃添本</t>
  </si>
  <si>
    <t>0919780443</t>
  </si>
  <si>
    <t>平日早上0900-1200
訊號不好，掛電話。
然後就不接了</t>
  </si>
  <si>
    <t>Zong Yi</t>
  </si>
  <si>
    <t>總和</t>
  </si>
  <si>
    <t>0981919648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</si>
  <si>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1/7 未接通2</t>
    </r>
  </si>
  <si>
    <t>1/8許 在忙中，晚點會自行連絡</t>
  </si>
  <si>
    <t>Liu Foot</t>
  </si>
  <si>
    <t>0919048616</t>
  </si>
  <si>
    <t>根本沒看資料</t>
  </si>
  <si>
    <t>Louise Shih
石小姐</t>
  </si>
  <si>
    <t>0928718131</t>
  </si>
  <si>
    <t>之前看過太空艙(說有仲介配合找土地，感覺是想要不勞而獲)，
目前想要先了解，已加LINE聯絡</t>
  </si>
  <si>
    <t>michael wei</t>
  </si>
  <si>
    <t>0934168943</t>
  </si>
  <si>
    <t>以為我們是建商，說不需要</t>
  </si>
  <si>
    <t>羅仕昇</t>
  </si>
  <si>
    <t>0919677872</t>
  </si>
  <si>
    <t>老家東勢土地(目前是與親戚聯名)
農地為平地
屋款資訊沒有仔細看
平常在新竹工作</t>
  </si>
  <si>
    <t>Lily Hsiao
蕭豐姿</t>
  </si>
  <si>
    <t>0953009698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</si>
  <si>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1/8許 語音信箱2</t>
    </r>
  </si>
  <si>
    <t>3月</t>
  </si>
  <si>
    <t>洪開燁</t>
  </si>
  <si>
    <t>0937106760</t>
  </si>
  <si>
    <r>
      <rPr>
        <rFont val="Arial"/>
        <color rgb="FF1C2B33"/>
        <sz val="11.0"/>
      </rPr>
      <t xml:space="preserve">平日下午1300-1800
</t>
    </r>
    <r>
      <rPr>
        <rFont val="Arial"/>
        <color rgb="FFFF0000"/>
        <sz val="11.0"/>
      </rPr>
      <t>1/7 未接通2</t>
    </r>
  </si>
  <si>
    <t>黃怡伶</t>
  </si>
  <si>
    <t>0971671970</t>
  </si>
  <si>
    <r>
      <rPr>
        <rFont val="Arial"/>
        <color rgb="FF1C2B33"/>
        <sz val="11.0"/>
      </rPr>
      <t xml:space="preserve">平日下午1300-1800
</t>
    </r>
    <r>
      <rPr>
        <rFont val="Arial"/>
        <color rgb="FFFF0000"/>
        <sz val="11.0"/>
      </rPr>
      <t>1/7 未接通2</t>
    </r>
  </si>
  <si>
    <t>廖國丞</t>
  </si>
  <si>
    <t>0980734825</t>
  </si>
  <si>
    <t>林貴美</t>
  </si>
  <si>
    <t>0985375557</t>
  </si>
  <si>
    <t>取消預約，已刪LINE</t>
  </si>
  <si>
    <t>徐雯柳</t>
  </si>
  <si>
    <t>0910922276</t>
  </si>
  <si>
    <t>guantoushan93@gmail.com
有地參觀</t>
  </si>
  <si>
    <r>
      <rPr>
        <rFont val="Arial"/>
        <color rgb="FFFF0000"/>
      </rPr>
      <t>朋友有買地，朋推薦我們不錯，覺得可以的話就想直接買，</t>
    </r>
    <r>
      <rPr>
        <rFont val="Arial"/>
        <color theme="1"/>
      </rPr>
      <t xml:space="preserve">
一群退休的朋友，總共4位，
人在外面，有請她加LINE</t>
    </r>
  </si>
  <si>
    <t>葉方杰</t>
  </si>
  <si>
    <t>0921300049</t>
  </si>
  <si>
    <t>汝軍</t>
  </si>
  <si>
    <t>1/6許 還沒看資料
沒有要看</t>
  </si>
  <si>
    <t>鄭文昌</t>
  </si>
  <si>
    <t>0928948625</t>
  </si>
  <si>
    <r>
      <rPr>
        <rFont val="Arial"/>
        <color theme="1"/>
      </rPr>
      <t xml:space="preserve">參訪
</t>
    </r>
    <r>
      <rPr>
        <rFont val="Arial"/>
        <color rgb="FFFF0000"/>
      </rPr>
      <t>1/8 空白 電話不通</t>
    </r>
  </si>
  <si>
    <t>語音，1/8 空白 電話不通</t>
  </si>
  <si>
    <t>陳妍允</t>
  </si>
  <si>
    <t>0963174111</t>
  </si>
  <si>
    <t>4月</t>
  </si>
  <si>
    <t>星期二至星期四都可以聯繫</t>
  </si>
  <si>
    <t>參訪：朋友2-3位，想要一起來，似乎只有陳小姐本人比較得空
朋友都又排假日 但周六又不便
建議他先派代表來即可</t>
  </si>
  <si>
    <t>曾苡瑄</t>
  </si>
  <si>
    <t>0909157877</t>
  </si>
  <si>
    <t>說有打過電話給他，但我沒看到XD</t>
  </si>
  <si>
    <t>蔡先生</t>
  </si>
  <si>
    <t>0923015885</t>
  </si>
  <si>
    <t>周六上午聯繫10:30
有想了解木屋
1/10 沒有急迫性,時間也比較不一定,我再打電話預約
基地目前已經有可住的地方
是因為滑FB看到我們的資料,想說未來改建或新建的可行性
可是看到你們價格不便宜
知道要看實體屋才了解差異在哪
我在聯繫你們就好</t>
  </si>
  <si>
    <t>賴慧珊</t>
  </si>
  <si>
    <t>0970594859</t>
  </si>
  <si>
    <t>後臺留言"下午兩點到五點，無地參觀
想了解木屋在潮濕的台灣耐用年限及可行性</t>
  </si>
  <si>
    <t>彭先生</t>
  </si>
  <si>
    <t>0965328664</t>
  </si>
  <si>
    <t>請問這週五(1/9)還有沒有空檔可以預約參觀？</t>
  </si>
  <si>
    <t>關注各種tinyhouse很久，認為這樣的生活方式很適合自己。
目前尚未有基地。</t>
  </si>
  <si>
    <t>朱崇莉</t>
  </si>
  <si>
    <t>0933533204</t>
  </si>
  <si>
    <t>預約參觀</t>
  </si>
  <si>
    <t>5月</t>
  </si>
  <si>
    <r>
      <rPr>
        <rFont val="Arial"/>
        <color theme="1"/>
      </rPr>
      <t xml:space="preserve">設計師同行。
參訪：朱小姐(老闆娘?)+設計師
目前有一業主，新社想蓋兩間小屋子，再參考組合屋的方式。
</t>
    </r>
    <r>
      <rPr>
        <rFont val="Arial"/>
        <color rgb="FFFF0000"/>
      </rPr>
      <t xml:space="preserve">官line有附上名片
</t>
    </r>
    <r>
      <rPr>
        <rFont val="Arial"/>
        <color theme="1"/>
      </rPr>
      <t>00074272        品筑企業有限公司
2/10 
營造公司的總經理,是此案的統籌
朱小姐是設計者,上回來參觀過有跟營造總經理這邊說感想,朱小姐也覺得很適合,約這星期六是因為,營造商這邊也想來看實體屋做確認,是否朝這個方向,業主不管這麼細節的部份,朱小姐會試著也約看看業主
用我們的木屋做一個會所+兩個傭人房</t>
    </r>
  </si>
  <si>
    <t>2026  詳細數據</t>
  </si>
  <si>
    <t>涂小姐</t>
  </si>
  <si>
    <t>0933139116</t>
  </si>
  <si>
    <t>想問二手，跟回收屋子</t>
  </si>
  <si>
    <t>項目</t>
  </si>
  <si>
    <t>兩老婆婆 不知道有打這通電話，可能電話錯了</t>
  </si>
  <si>
    <t>未撥</t>
  </si>
  <si>
    <t>已撥</t>
  </si>
  <si>
    <t>已接</t>
  </si>
  <si>
    <t>未接+語音</t>
  </si>
  <si>
    <t>其他
無效</t>
  </si>
  <si>
    <t>已接
未約成</t>
  </si>
  <si>
    <t>許 小姐RITA</t>
  </si>
  <si>
    <t>家具</t>
  </si>
  <si>
    <t>0923104066</t>
  </si>
  <si>
    <t>預約
成功</t>
  </si>
  <si>
    <t>住 北部
有興趣要做度假小屋
參考太空艙跟我們的差別
想參訪2-3位，跟家人共3
先看1/14三 的時間
1/13許 等2月，一個出國、一個考試~
2/24 家人比較忙,尚未確定其他人可以的時間
可以跟我們約3/10之後在電話聯繫?確認時間?
4/21 住家在秋紅谷周邊(有錢)有很多基地
其中一基地有千坪
因為時常出國,時間比難約
目前下周要出國預計5/17回國
與客人先約5/23的時間
參訪:2位</t>
  </si>
  <si>
    <t>Lewi Sulung</t>
  </si>
  <si>
    <t>現場 (ALL)</t>
  </si>
  <si>
    <t>0963093581</t>
  </si>
  <si>
    <t>陳信彰</t>
  </si>
  <si>
    <t>0919515712</t>
  </si>
  <si>
    <t>潘鳳儀</t>
  </si>
  <si>
    <t>0912856352</t>
  </si>
  <si>
    <t>王哥</t>
  </si>
  <si>
    <t>0983510093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</si>
  <si>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1/8許 語音信箱2</t>
    </r>
  </si>
  <si>
    <t>回撥 有興趣先看資料，10點多聯繫</t>
  </si>
  <si>
    <t>石美娟</t>
  </si>
  <si>
    <t>0932502253</t>
  </si>
  <si>
    <t>未接，掛電話</t>
  </si>
  <si>
    <t>Jay</t>
  </si>
  <si>
    <t>0912166592</t>
  </si>
  <si>
    <t>6月</t>
  </si>
  <si>
    <r>
      <rPr>
        <rFont val="Arial"/>
        <color theme="1"/>
      </rPr>
      <t>是</t>
    </r>
    <r>
      <rPr>
        <rFont val="Arial"/>
        <b/>
        <color rgb="FF0000FF"/>
      </rPr>
      <t>外國人</t>
    </r>
    <r>
      <rPr>
        <rFont val="Arial"/>
        <color theme="1"/>
      </rPr>
      <t>,要用英文溝通或講慢一點，給公務機號碼,傳文字溝通
目前等客人先發訊息過來
1/13許 有再次打給客人，中文不確定到底聽不聽得懂，
但有傳英文訊息給他請他加LINE，有跟他說可以聊我們的tiny house</t>
    </r>
  </si>
  <si>
    <t>曾世國</t>
  </si>
  <si>
    <t>0910988184</t>
  </si>
  <si>
    <t>TEL(ALL)</t>
  </si>
  <si>
    <t>露營區業者，參訪：2-3位
詢問下周三1/14 下午場次</t>
  </si>
  <si>
    <t>江政賢</t>
  </si>
  <si>
    <t>0912528673，0982179979</t>
  </si>
  <si>
    <t>預約時間：2/10（週六） 1000</t>
  </si>
  <si>
    <t>住：桃園
參訪：2位
好奇 想做，但尚無規劃
平日上班只能約假日</t>
  </si>
  <si>
    <t>王David</t>
  </si>
  <si>
    <t>0929179767</t>
  </si>
  <si>
    <t>問管理室，已LINE 資料</t>
  </si>
  <si>
    <t>嫌貴，自己也是蓋房子的
只想要蓋一個3坪的管理室</t>
  </si>
  <si>
    <t>預約</t>
  </si>
  <si>
    <t>東海附近活動、學校教書、教會
56歲
去年中丈夫過世，很孤單
很想找人共居 但現在的品質都不好
有幾個姊妹，也都差不多，有這樣的想法，約過來一起看</t>
  </si>
  <si>
    <t>林文凱</t>
  </si>
  <si>
    <t>0963476051</t>
  </si>
  <si>
    <t>後台 名單(ALL)</t>
  </si>
  <si>
    <t>剛好今天有空想要約11點的時間過去參觀可以嗎?
住彰化/</t>
  </si>
  <si>
    <t>騎腳踏車經過都很好奇木屋。
要帶小孩所以參訪時間都只能早上，下午2:00時間會太敢
假日小朋友在家也不方便
等LINE訊息</t>
  </si>
  <si>
    <t>趙小姐</t>
  </si>
  <si>
    <t>0935964802</t>
  </si>
  <si>
    <t>問longstay，有年紀，下午要上課 4-5點後才方便
可能是公務員</t>
  </si>
  <si>
    <t>語音*2</t>
  </si>
  <si>
    <t>蕭函綸/賴</t>
  </si>
  <si>
    <t>0918209881</t>
  </si>
  <si>
    <t>未接，電話留錯</t>
  </si>
  <si>
    <t>陳惠美</t>
  </si>
  <si>
    <t>0984290669</t>
  </si>
  <si>
    <t>幾年前是我們家具客人
想要預約參觀行動木屋
平日二或四方便參觀
有地的參觀
上午10點過後皆可</t>
  </si>
  <si>
    <t>基地: 新竹關西
基地現況: 有一荒廢小屋(打算拆)
丙建60坪
已有水電
先生是姓喬</t>
  </si>
  <si>
    <t>林家綺小姐</t>
  </si>
  <si>
    <t>0953080805</t>
  </si>
  <si>
    <t>想預約參觀
黃先生	0919711727</t>
  </si>
  <si>
    <t>空包彈</t>
  </si>
  <si>
    <t>已有土地(整地完成)，目前正在規劃中，水電尚未申請</t>
  </si>
  <si>
    <t>張瑋峻</t>
  </si>
  <si>
    <t>0975582668</t>
  </si>
  <si>
    <t>WIX</t>
  </si>
  <si>
    <t>感覺超沒誠意，都沒看訊息，
叫他加LINE，請我們傳訊息</t>
  </si>
  <si>
    <t>粘惠雅</t>
  </si>
  <si>
    <t>0911234327</t>
  </si>
  <si>
    <t>看到reels介紹 但有點不了解
請問是提供短期渡假 還是長住？
費用如何計算呢</t>
  </si>
  <si>
    <t>目前想先了解，
有跟小姐說園區的展示空間大小1、2、3，
有給小姐目前可參觀時間</t>
  </si>
  <si>
    <t>林文炳</t>
  </si>
  <si>
    <t>0935723658</t>
  </si>
  <si>
    <t>問我們是哪裡，然後掛電話</t>
  </si>
  <si>
    <t>江佳霖</t>
  </si>
  <si>
    <t>0919589737</t>
  </si>
  <si>
    <t>無地的參觀 聯絡時間15:00
先說先了解土地和法規並看過實際木屋後再去找地。
如果可以的話 
希望預約1/24或31的週六 不曉得方不方便</t>
  </si>
  <si>
    <t>回撥，小姐確認參訪時間，有請小姐先加LINE</t>
  </si>
  <si>
    <t>LINE名單(ALL)</t>
  </si>
  <si>
    <t>余屏</t>
  </si>
  <si>
    <t>0935589329</t>
  </si>
  <si>
    <t>您好～想預約時間
週二下午兩點</t>
  </si>
  <si>
    <t>之前在網路上都有看到我們的廣告，
先生詢問要不要來參觀，覺得不錯，
感覺是想了解而已，目前沒有計畫在規劃中
每周五的時間都可以，想預約1/23(五) 2-3人</t>
  </si>
  <si>
    <t>傅美慧</t>
  </si>
  <si>
    <t>0930104687</t>
  </si>
  <si>
    <t>媽媽那邊有農地上面有十幾年的鐵皮屋，
覺得我們的內裝不錯，想先了解，有請她先加LINE</t>
  </si>
  <si>
    <t>鍾欣達</t>
  </si>
  <si>
    <t>0925752509</t>
  </si>
  <si>
    <t>無地的參觀 聯繫時間1/12、13 下午1330前
您好我想預約1/14號中午過後去參訪木屋，
一共是2個大人。</t>
  </si>
  <si>
    <t>女朋友之前有來看過，覺得不錯，有買房的計畫，
但喜歡我們的風格，覺得自己買地再放我們的木屋感覺很棒！
目前還沒有買地！</t>
  </si>
  <si>
    <t>劉坤富</t>
  </si>
  <si>
    <t>0931590178</t>
  </si>
  <si>
    <t>1/16 還在工作中,沒看資料
下周再連繫我(周末出去玩)
1/20  2通未接</t>
  </si>
  <si>
    <t>陳紹周</t>
  </si>
  <si>
    <t>0936175376</t>
  </si>
  <si>
    <t>FB名單(ALL)</t>
  </si>
  <si>
    <t>沒看過資料
基地在后里約600多坪
想出租給人住長期的
目前看很多家廠商
不知道我們(沒仔細讀資料)
1/20 5點後撥過去</t>
  </si>
  <si>
    <t>鍾竹昇</t>
  </si>
  <si>
    <t>0935612562</t>
  </si>
  <si>
    <t>說沒收到資料,在寄一次
可聯繫時間(都可以)
1/20 1600還在開會~晚點再撥</t>
  </si>
  <si>
    <t>鄭時宜</t>
  </si>
  <si>
    <t>0939223595</t>
  </si>
  <si>
    <t>有地的參觀 聯繫時間下午5點後</t>
  </si>
  <si>
    <t>我是高雄人
基地也在高雄
我們有三位好友要一起搭高鐵上去參觀
週六較方便~~我在跟朋友確認時間
在line上跟我們說</t>
  </si>
  <si>
    <t>鄭小姐</t>
  </si>
  <si>
    <t>0905074197</t>
  </si>
  <si>
    <t>明天早上想參觀，已告知額滿，要另排</t>
  </si>
  <si>
    <t>可能有4位參訪，要確定回台中的時間才能來電預約
1/13許 再次回撥，有請小姐加LINE方便連絡可參訪時間</t>
  </si>
  <si>
    <t>曾儷珺</t>
  </si>
  <si>
    <t>0937979198</t>
  </si>
  <si>
    <t>住台南 想約 1/ 27.28.29，
16:30後比較方便接通
有LINE</t>
  </si>
  <si>
    <t>住台南，之前就有關注過，目前沒有土地，主要是想要先了解，</t>
  </si>
  <si>
    <t>李碧荷</t>
  </si>
  <si>
    <t>0911651298</t>
  </si>
  <si>
    <t>FB message(ALL)</t>
  </si>
  <si>
    <t>說再忙有請她加LINE</t>
  </si>
  <si>
    <t>張瑞成</t>
  </si>
  <si>
    <t>0905130308</t>
  </si>
  <si>
    <t>陳筠勻</t>
  </si>
  <si>
    <t>0958391399</t>
  </si>
  <si>
    <t>說小孩在車上很吵，說再聯絡</t>
  </si>
  <si>
    <t>家具or維修</t>
  </si>
  <si>
    <t>韓家瑩</t>
  </si>
  <si>
    <t>0937737962</t>
  </si>
  <si>
    <t>我們主要是聯誼活動，帶社友參觀。
扶輪社,預計6月份參觀</t>
  </si>
  <si>
    <r>
      <rPr>
        <rFont val="Arial"/>
        <color theme="1"/>
      </rPr>
      <t xml:space="preserve">會辦一些活動,走訪各地參觀探索
社員夫人,都會是退休後的人士,有閒有錢
我是負責活動規畫的人,因為看到說你們有這樣的參訪活動
老實說蠻吸引我想了解,
覺得是不錯的團康活動,
台中石岡地區,我們也辦過蠻多次活動在這邊了
我們預計會25~30人,請幫我規劃這樣收費是多少?
再請您們人員與我回覆~
盡量文字留line給我,平時忙工作有空就回覆
1/20許  </t>
    </r>
    <r>
      <rPr>
        <rFont val="Arial"/>
        <b/>
        <color rgb="FFFF0000"/>
      </rPr>
      <t>五月初聯絡</t>
    </r>
  </si>
  <si>
    <t>賴先生</t>
  </si>
  <si>
    <t>0928388801</t>
  </si>
  <si>
    <t>一坪多少錢，今天可以去看嗎
 (已告知額滿)</t>
  </si>
  <si>
    <t>再開會，說會請先生回撥</t>
  </si>
  <si>
    <t>黃文政</t>
  </si>
  <si>
    <t>0982334142</t>
  </si>
  <si>
    <t>預約參觀木屋</t>
  </si>
  <si>
    <r>
      <rPr>
        <rFont val="Arial"/>
        <color theme="1"/>
      </rPr>
      <t xml:space="preserve">講話比較急
職業是護理師
星期日參觀較方便&amp;晚上,其他時間還要再確認
目前正在看南投中寮一塊基地
想規劃成露營區
你們可以一條龍服務?
申請露營登記,建照使照?
</t>
    </r>
    <r>
      <rPr>
        <rFont val="Arial"/>
        <color rgb="FF4A86E8"/>
      </rPr>
      <t>1/28 榕 未接
(既然想做露營區，無論如何要安排一趟來參訪！)</t>
    </r>
  </si>
  <si>
    <t>鍾先生</t>
  </si>
  <si>
    <t>0912136863</t>
  </si>
  <si>
    <t>總電話量(月)</t>
  </si>
  <si>
    <t>有地的參觀
基地在新竹
農地建地
如果可以合法最好
計畫確定可以隨時執行
自己就是決策者
在line上聯絡參觀日期
還不太清楚是自用還是經營???</t>
  </si>
  <si>
    <t>林小姐</t>
  </si>
  <si>
    <t>0921196677</t>
  </si>
  <si>
    <t>問我們三房一廳多少，回她有沒有看訊息就掛電話</t>
  </si>
  <si>
    <t>何沛家</t>
  </si>
  <si>
    <t>0975372865</t>
  </si>
  <si>
    <t>我想預約參觀</t>
  </si>
  <si>
    <t>葉小釵</t>
  </si>
  <si>
    <t>0935970079</t>
  </si>
  <si>
    <t>劉克敏</t>
  </si>
  <si>
    <t>0918102056</t>
  </si>
  <si>
    <t>未接，通話中</t>
  </si>
  <si>
    <t>may</t>
  </si>
  <si>
    <t>0976696362</t>
  </si>
  <si>
    <t>游秋風</t>
  </si>
  <si>
    <t>0920334802</t>
  </si>
  <si>
    <t>假日有空，台東農地1甲地有種芒果，
舊房吹走想換新的，大約7 8坪
旁邊鐵皮屋可以拆，旁邊有大約有5坪水泥地，
根本沒看資料，說看完後回電</t>
  </si>
  <si>
    <t>潘先生
鴻門宴</t>
  </si>
  <si>
    <t>0912472999</t>
  </si>
  <si>
    <t>地點台東，10分鐘後未接</t>
  </si>
  <si>
    <t>鄭秀麗</t>
  </si>
  <si>
    <t>0910360998</t>
  </si>
  <si>
    <t xml:space="preserve">目前再打球大約7、8點到家，跟小姐約明日早上電話
1/17許 感覺是已經退休的人，因為一直再打球，
有地然後目前有要放置屋子
想預約平日一或四(1/23四)，有請她加LINE，
確認已加後再算預約成功(已加入)
1/21許 說出國要等2月再連絡
2/24 先生摔傷最近都在住院中,暫時不過去
同意可以晚些時刻再聯繫
</t>
  </si>
  <si>
    <t>洪藝宸</t>
  </si>
  <si>
    <t>0905066863</t>
  </si>
  <si>
    <t>已經有土地在規劃了，目前在挖水管中，
不想要太急參觀，說自己找時間再來預約</t>
  </si>
  <si>
    <t>陳薇妮</t>
  </si>
  <si>
    <t>0927880902</t>
  </si>
  <si>
    <t>您好 想請問一坪是多少錢呢
不好意思 請問基本款/旗艦款、遊牧 大／小 單院
各是幾坪,以及全設備是包含哪些呢 ?</t>
  </si>
  <si>
    <t>平日聯絡10：00 - 17：00
等客人確認時間</t>
  </si>
  <si>
    <t>Paul Lin</t>
  </si>
  <si>
    <t>0911801119</t>
  </si>
  <si>
    <t>海拔1000公尺以上新竹以北、花東背山面海木屋
感覺以為我們是房地產，跟我們說有計畫再跟他聯絡</t>
  </si>
  <si>
    <t>陳明賢</t>
  </si>
  <si>
    <t>0912666074</t>
  </si>
  <si>
    <t>說自己是廠商，跟規畫的朋友一起來看
目前聽起來不願透漏太多(講話有點句點)
網站設計的廠商
目前有想要規劃房子，但還沒有土地，覺得空間不錯
有請他先加LINE，參訪時間要再給他
3/17 周二 參訪：朋友2P
統編 90089666
公司名 利優數位科技有限公司
負責人 陳明賢
資本額  30,000</t>
  </si>
  <si>
    <t>麥克帶萌</t>
  </si>
  <si>
    <t>0901172439</t>
  </si>
  <si>
    <t>電話無回應</t>
  </si>
  <si>
    <t>John Liu</t>
  </si>
  <si>
    <t>0966753176</t>
  </si>
  <si>
    <t>何</t>
  </si>
  <si>
    <t>0918168221</t>
  </si>
  <si>
    <t>陳惠萍</t>
  </si>
  <si>
    <t>0919788187</t>
  </si>
  <si>
    <t>許瑞宜</t>
  </si>
  <si>
    <t>0921499198</t>
  </si>
  <si>
    <t>陳冠宇</t>
  </si>
  <si>
    <t>0908236388</t>
  </si>
  <si>
    <t>想要今天或明天來先看看園區目前狀況，
南部4000多坪丙建，是個人、已退休，
他說是舊客，有買過我們很多產品
想跟老闆一樣做一個園區，水電目前沒有、水保OK
客人想找老闆聊聊他目前園區可以怎麼規劃跟開始，
跟他先說轉達專員，再請專員跟他聯繫</t>
  </si>
  <si>
    <t>共生宅／園區／養生村
約37個單位，
基地：嘉義番路，球場旁邊4000坪丙建
(地主：東洋棕梠湖高爾夫球場)
水電沒有、水保OK(已經有送審?? 建築圖也送了??)
原想跟地主買下，後來地主想法不同，所以組團隊與地主合作
年紀：60歲</t>
  </si>
  <si>
    <t>Chiang Yuling</t>
  </si>
  <si>
    <t>0933811633</t>
  </si>
  <si>
    <t>以為我們是房地產木屋的買賣，說有需要會再聯絡</t>
  </si>
  <si>
    <t>李伊尊</t>
  </si>
  <si>
    <t>0982268422</t>
  </si>
  <si>
    <t>請問要如何預約呢</t>
  </si>
  <si>
    <t>是金融業，目前沒有在規劃，想先參觀了解
2-4P參觀</t>
  </si>
  <si>
    <t>翁小姐</t>
  </si>
  <si>
    <t>0979529926</t>
  </si>
  <si>
    <t>想今天來參觀</t>
  </si>
  <si>
    <t>因為經過,剛好時間可以所以想約參觀
沒有基地,有要約在line我們</t>
  </si>
  <si>
    <t>林昭程</t>
  </si>
  <si>
    <t>0932049816</t>
  </si>
  <si>
    <t>徐世敏</t>
  </si>
  <si>
    <t>0910700820</t>
  </si>
  <si>
    <t>李永成</t>
  </si>
  <si>
    <t>0910517680</t>
  </si>
  <si>
    <t>郭美麗</t>
  </si>
  <si>
    <t>0972000820</t>
  </si>
  <si>
    <t>Daniel Cho</t>
  </si>
  <si>
    <t>0988183275</t>
  </si>
  <si>
    <t>開車中問我們在哪裡，傳簡訊給他</t>
  </si>
  <si>
    <t>曾慶棠</t>
  </si>
  <si>
    <t>0926924401</t>
  </si>
  <si>
    <t>問我們做甚麼的，說他加LINE 再跟他聯絡(看訊息)
二連未接</t>
  </si>
  <si>
    <t>邱明德</t>
  </si>
  <si>
    <t>0987365282</t>
  </si>
  <si>
    <t>說現在沒有空</t>
  </si>
  <si>
    <t>林萬利</t>
  </si>
  <si>
    <t>0932539620</t>
  </si>
  <si>
    <t>還沒看訊息，說看聯絡我們</t>
  </si>
  <si>
    <t>林淑英</t>
  </si>
  <si>
    <t>0935499764</t>
  </si>
  <si>
    <t>1/21說會自行連絡</t>
  </si>
  <si>
    <t>陳小姐</t>
  </si>
  <si>
    <t>0928332530</t>
  </si>
  <si>
    <t>臨時來訪，有興趣 但說要約改天就小推辭</t>
  </si>
  <si>
    <t>說人在外面騎車，有需要會再聯絡</t>
  </si>
  <si>
    <t>李旻叡</t>
  </si>
  <si>
    <t>0908951105</t>
  </si>
  <si>
    <t>30萬 可以購買產品嗎</t>
  </si>
  <si>
    <t>家人想要規劃，地點高雄柴山附近，
如貨櫃型可能進不去
要跟家人討論參訪時間，先給可預約時間</t>
  </si>
  <si>
    <t>潘紫雲</t>
  </si>
  <si>
    <t>0980691839</t>
  </si>
  <si>
    <t>說不能過來，有跟她說有需要都可加LINE聯絡</t>
  </si>
  <si>
    <t>張成昌</t>
  </si>
  <si>
    <t>0921188181</t>
  </si>
  <si>
    <t>早安，很喜歡，何時可以去參觀了解
請問地址在哪裏，搭高鐵或火車去方便嗎？
我們住在高鐵桃園站附近</t>
  </si>
  <si>
    <t>兩位退休老夫妻
（有去過紅屋民生店，有地）
地在桃園兒童美術館附近(鄰工業區-內壢合圳北路)</t>
  </si>
  <si>
    <t>趙信發</t>
  </si>
  <si>
    <t>0936662238</t>
  </si>
  <si>
    <t>想預約今日 已告知額滿，簡訊先讀後續約
今日 4-6點聯繫，已+LINE</t>
  </si>
  <si>
    <t>有地建地水電都有，舊舍倒有想換新的，
先來參觀了解，再看看要用甚麼方式處理，
南投的朋友有興趣但2月才回來，先來探探</t>
  </si>
  <si>
    <t>花菇</t>
  </si>
  <si>
    <t>0935962832</t>
  </si>
  <si>
    <t>7月</t>
  </si>
  <si>
    <t>魏珍妮</t>
  </si>
  <si>
    <t>0915768119</t>
  </si>
  <si>
    <t>楊玉瓊</t>
  </si>
  <si>
    <t>0935660331</t>
  </si>
  <si>
    <t>防詐語音，已留言</t>
  </si>
  <si>
    <t>蔡採琇</t>
  </si>
  <si>
    <t>0932580671</t>
  </si>
  <si>
    <t>還沒看訊息</t>
  </si>
  <si>
    <t>陳淑女</t>
  </si>
  <si>
    <t>0955235502</t>
  </si>
  <si>
    <t>10分鐘後，未接通</t>
  </si>
  <si>
    <t>張漢瑞</t>
  </si>
  <si>
    <t>0921612613</t>
  </si>
  <si>
    <t>女生接的電話，第一通掛掉
第二通說他再看一下 謝謝</t>
  </si>
  <si>
    <t>林育如</t>
  </si>
  <si>
    <r>
      <rPr>
        <rFont val="Arial"/>
        <color theme="1"/>
      </rPr>
      <t>最小的坪數是多少
目前</t>
    </r>
    <r>
      <rPr>
        <rFont val="Arial"/>
        <color rgb="FF674EA7"/>
      </rPr>
      <t>只能line 聯絡</t>
    </r>
    <r>
      <rPr>
        <rFont val="Arial"/>
        <color theme="1"/>
      </rPr>
      <t xml:space="preserve">
地在台南縣東山區</t>
    </r>
  </si>
  <si>
    <t>用LINE傳送照片</t>
  </si>
  <si>
    <t>呂先生Alden</t>
  </si>
  <si>
    <t>0928991439</t>
  </si>
  <si>
    <r>
      <rPr>
        <rFont val="Arial"/>
        <color theme="1"/>
      </rPr>
      <t xml:space="preserve">台北生活&amp;工作
價格不是問題
找土地是個問題，你們有園區可以出租或介紹?
自己老家在宜蘭，認為太潮濕不適合
如果我們有長租或短租之類的可能更好
態度不差,但是問題蠻多
</t>
    </r>
    <r>
      <rPr>
        <rFont val="Arial"/>
        <color rgb="FFFF0000"/>
      </rPr>
      <t>年後願意安排特休來訪 有+LINE@
會先提供日期</t>
    </r>
  </si>
  <si>
    <t>張式燈</t>
  </si>
  <si>
    <t>0932545496</t>
  </si>
  <si>
    <t>1月24號下午3點想跟你預約
差不多八位想要參訪請跟我
聯絡電話0932-545-496張先生謝謝
已回覆當日預約已滿</t>
  </si>
  <si>
    <t>8P和家人朋友想來參觀了解，
要先跟其他人確認時間在回覆參訪日期
有想跟朋友買地規劃，想了解需要坪數及大小再決定</t>
  </si>
  <si>
    <t>簡忠毅</t>
  </si>
  <si>
    <t>0931934491</t>
  </si>
  <si>
    <t>說在忙就掛</t>
  </si>
  <si>
    <t>Steven</t>
  </si>
  <si>
    <t>0910638827</t>
  </si>
  <si>
    <t>叫我們不用打給他</t>
  </si>
  <si>
    <t>陳太太</t>
  </si>
  <si>
    <t>0988196527</t>
  </si>
  <si>
    <t>地 屏東 (未整理)
住 台中
覺得要有真的準備要回去才要來看最新的
推，不用等到那時候，既然住的近很不一樣要先來看！
下午回電 (詐騙很多，質感差很大，看過才知道)
1/24 下午去電，未接 掛電話</t>
  </si>
  <si>
    <t>張丁文</t>
  </si>
  <si>
    <t>0908391918</t>
  </si>
  <si>
    <t>Wei-Jhen Chen</t>
  </si>
  <si>
    <t>0928768311</t>
  </si>
  <si>
    <t>周心褕</t>
  </si>
  <si>
    <t>0980458851</t>
  </si>
  <si>
    <t>Chen Lin 陳小姐</t>
  </si>
  <si>
    <t>0982720704</t>
  </si>
  <si>
    <t>不知到木屋的狀況，下午聯繫 剛好在外面
1/24 下午 未接</t>
  </si>
  <si>
    <t>林登聖</t>
  </si>
  <si>
    <t>0932097847</t>
  </si>
  <si>
    <t>說看到我們網站上還有賣家具(???)，想要買
是早期的家具客戶</t>
  </si>
  <si>
    <t>已回覆家具部門關閉~
聽起來相要買靠山椅，說是木屋裡面有擺設的桌椅，
請他加LINE傳照片，確認是否還有庫存~
1/21 需要3~4張,確定再告知我們</t>
  </si>
  <si>
    <t>夏濱 小姐</t>
  </si>
  <si>
    <t>0925800497</t>
  </si>
  <si>
    <t>沒地，找地中，只是在找地的過程中看到fb
還不想來看，因為覺得土地還沒準備好
(有先口頭說服ai時代，看實體才能知道質感，
還是暫時不想來)</t>
  </si>
  <si>
    <t>劉淑玲</t>
  </si>
  <si>
    <t>0923192017</t>
  </si>
  <si>
    <t>做外勤工作 常開車跑來跑去
有地,但還不知道怎麼規劃
基地 彰化大村建地
劉小姐一家&amp;一位同事來參觀</t>
  </si>
  <si>
    <t>張小姐</t>
  </si>
  <si>
    <t>0908769066</t>
  </si>
  <si>
    <t>因為很喜歡,我如果去兩次OK嗎?
第一次自己先參觀,如果覺得可以想帶家人再去
住龍井/自行開車前往
目前沒有基地</t>
  </si>
  <si>
    <t>孫正文</t>
  </si>
  <si>
    <t>0968760053</t>
  </si>
  <si>
    <t>有個生意想法 Long stay 出租給別人
自己沒地
朋友的地在瑞芳&amp;深坑
跟朋友敲定時間在line我們
1/23朋友在廈門  下禮拜看看時間
2/3 朋友不打算投資,土地要賣掉
孫先生再找其他的機會,先不過去參觀</t>
  </si>
  <si>
    <t>蔡銀杏</t>
  </si>
  <si>
    <t>0912537117</t>
  </si>
  <si>
    <t>尚未看資料
職業：老師
無基地
明日下午才方便接電話
很忙~去電還沒看資料
已經告知可以line我們
2/3 過年後才方便參觀
再自行聯繫</t>
  </si>
  <si>
    <t>宋邦彥</t>
  </si>
  <si>
    <t>0982015063</t>
  </si>
  <si>
    <t>請問可以預約明天的參訪嗎？
想預約明日兩位 1/20</t>
  </si>
  <si>
    <t>2年前有參觀過
目前沒基地
住台中市區，想搬離都市,找后里外埔地區居住
居住人口4位</t>
  </si>
  <si>
    <t>陳嘉峰</t>
  </si>
  <si>
    <t>0933231487</t>
  </si>
  <si>
    <t>Gts Porsche</t>
  </si>
  <si>
    <t>0925303000</t>
  </si>
  <si>
    <t>陳美麗</t>
  </si>
  <si>
    <t>0916892782</t>
  </si>
  <si>
    <t>有收到簡訊,沒有仔細看
今天人在外面,待我看過簡訊再跟你們聯繫</t>
  </si>
  <si>
    <t>廖寶全</t>
  </si>
  <si>
    <t>0937977422</t>
  </si>
  <si>
    <t>雲林人
基地剛好在住家對面
因為常積水會淹起來,因此想蓋一個架高建物
基地為建地 / 有水有電了
平日或假日都方便約
我在跟家人敲時間在line我們</t>
  </si>
  <si>
    <t>陳尚勳</t>
  </si>
  <si>
    <t>0933854333</t>
  </si>
  <si>
    <t>有地的參觀
可聯繫時間 : 10:00-20:00</t>
  </si>
  <si>
    <t>住在屏東，有地想要規劃，有水電無建築物，建地
覺得我們精緻</t>
  </si>
  <si>
    <t>秦青華</t>
  </si>
  <si>
    <t>0915885575</t>
  </si>
  <si>
    <t>我最近都沒空
有空再跟您們約</t>
  </si>
  <si>
    <t>詹偉民</t>
  </si>
  <si>
    <t>0980000997</t>
  </si>
  <si>
    <t>有看到資料，若要拜訪會再聯繫(感覺沒有很積極)</t>
  </si>
  <si>
    <t>田心伶</t>
  </si>
  <si>
    <t>0921295790</t>
  </si>
  <si>
    <t>跟先生討論~ 來訪時間
有興趣，明後天聯繫
1/23 沒關西 我若有興趣我在官方line給你好嗎?</t>
  </si>
  <si>
    <t>楊米雪</t>
  </si>
  <si>
    <t>0922583589</t>
  </si>
  <si>
    <t>問題問很細,說我都沒回答她疑問,轉專員回覆
1.客戶都去哪找地
2.水電我們怎麼處理(不認識當地水電怎麼辦)
3.住郊區周邊沒鄰居很可怕
4.你們有賣地或租地?
台北人 固定休日一二
1/21 子榕：我們不是土地仲介~
客戶：沒有要請你們找地，只是如果沒有土地就無配套措施
(然後就斷訊了沒有聲音，回撥無接通)
1/22 客人於LINE回:因為沒方案配套,暫時不考慮</t>
  </si>
  <si>
    <t>陳聰明</t>
  </si>
  <si>
    <t>0932535707</t>
  </si>
  <si>
    <t>御禮米香</t>
  </si>
  <si>
    <t>0928875148</t>
  </si>
  <si>
    <t>工作中
晚上10:00後電話???
周六再撥看看
涵 1/24 沒看資料</t>
  </si>
  <si>
    <t>廖威森</t>
  </si>
  <si>
    <t>0935631782</t>
  </si>
  <si>
    <t>未接
1/23訊號差 還未看過資料</t>
  </si>
  <si>
    <t>曾民化</t>
  </si>
  <si>
    <t>0988721828</t>
  </si>
  <si>
    <t>想請問有出新款木屋嗎?
查詢初客8月份有聯繫過,詢問二手屋
還沒有來現場看過
請問這樣的木屋可以申請做民宿嗎</t>
  </si>
  <si>
    <t>好幾年前有來園區看過
住高雄
想運用基地 88坪 屏東萬巒市區(豬腳街) 建地
民宿(有想法但沒辦法，對法規不熟)
會再跟家人約時間 (不確定)
地：屏東萬巒 有電 沒水
想安排0314.1100了解 展示屋移轉</t>
  </si>
  <si>
    <t>林常志</t>
  </si>
  <si>
    <t>0928077777</t>
  </si>
  <si>
    <t>聲稱在忙(口氣很傲)
自己是在做建築的，都懂。不用跑現場看
+他LINE 資料通通丟給他，有空他在看
已告知官方LINE沒辦法加入
口氣太傲覺得只是要索取價格，成本，不積極處理。</t>
  </si>
  <si>
    <t>谢吉品</t>
  </si>
  <si>
    <t>0987955789</t>
  </si>
  <si>
    <t>桃園龍潭 露營業者
對話雞同鴨講(他說的好 不是好 (敷衍))
自己回電</t>
  </si>
  <si>
    <t>陳梅華</t>
  </si>
  <si>
    <t>0939136878</t>
  </si>
  <si>
    <t>LINE，試住? 有餐點？
1/21 未接通2
想預約2/8或是2/9</t>
  </si>
  <si>
    <t xml:space="preserve">統一編號： 42704038
公司名稱： 大舟遊艇股份有限公司
負責人： 陳梅華
地址： 新北市八里區龍米路一段 172 號
資本額： 3,000,000 元
閒置祖產(持分)，北投建地50坪+後方國家公園用地100-200坪
住台北 ，基地離自己工作近
目前想要先評估預算，把祖產做整理(持分的部分會請律師寫同意書)
先以自己住為主，後續主要想把基地整理好後出售
木屋未來有打算移動到台東(幾年後才會有這個規劃)
</t>
  </si>
  <si>
    <t>梁青惠</t>
  </si>
  <si>
    <t>0939809039</t>
  </si>
  <si>
    <t>有土地在規劃，評估要哪個廠商
已有加LINE</t>
  </si>
  <si>
    <t>有詢問客製、木屋移動的部分</t>
  </si>
  <si>
    <t>喻志攻</t>
  </si>
  <si>
    <t>0931371720</t>
  </si>
  <si>
    <t>一整天都忙線中???</t>
  </si>
  <si>
    <t>聶文珍</t>
  </si>
  <si>
    <t>0933140246</t>
  </si>
  <si>
    <t>賴小姐</t>
  </si>
  <si>
    <t>0937742596</t>
  </si>
  <si>
    <t>霧峰客戶的朋友，想要先拿到木屋尺寸，去量一下基地可以怎麼規劃
100坪，道路待判斷
考慮要處理老宅還是要買木屋放下去
過年後要叫小朋友來看(大朋友)(可能說服年前先看嗎？</t>
  </si>
  <si>
    <r>
      <rPr>
        <rFont val="Arial"/>
        <color theme="1"/>
      </rPr>
      <t xml:space="preserve">較喜歡旗艦款
我只是剛詢價
還沒跟家人說
要過去會聯繫
已理解參觀要提早預約
</t>
    </r>
    <r>
      <rPr>
        <rFont val="Arial"/>
        <color rgb="FFFF0000"/>
      </rPr>
      <t>1/24 榕土地還沒處理好，要先處理好才會預約參訪</t>
    </r>
  </si>
  <si>
    <t>簡單(先生)</t>
  </si>
  <si>
    <t>0988356919</t>
  </si>
  <si>
    <r>
      <rPr>
        <rFont val="Arial"/>
        <color theme="1"/>
      </rPr>
      <t xml:space="preserve">住桃園 朋友有地(考慮中)
應該是自己要住的規劃先吧(客戶自己不確定)
同步再想太空艙
先詢問 2/5 週四 下午2:00 2P
確認後會回電預約(蠻肯定的)
1/27 2/4~2/5高雄朋友上來找他,2/5可能不行
有意願參訪,時間在告訴我們,有請簡先生加line
</t>
    </r>
    <r>
      <rPr>
        <rFont val="Arial"/>
        <color rgb="FFFF0000"/>
      </rPr>
      <t>1/28 榕時間排不出來，要來再預約</t>
    </r>
  </si>
  <si>
    <t>0928529181</t>
  </si>
  <si>
    <t>最快甚麼時候可以預約
想買台南東山山區的土地
跟太太一起來參觀
先跟太太討論時間再登記1/23 2P</t>
  </si>
  <si>
    <t>說明日要去新北佈展怕時間來不及，
有請他加LINE說會用官網或其他方式再連絡參觀</t>
  </si>
  <si>
    <t>楊先生Weller</t>
  </si>
  <si>
    <t>0919315860</t>
  </si>
  <si>
    <t>故鄉在東勢附近
大雪山 和平區一代有一塊地，有蓋木屋的想法</t>
  </si>
  <si>
    <t>林怡嫺</t>
  </si>
  <si>
    <t>0908037897</t>
  </si>
  <si>
    <t>王瀅涵</t>
  </si>
  <si>
    <t>0972173320</t>
  </si>
  <si>
    <t>吳秀美</t>
  </si>
  <si>
    <t>0910170365</t>
  </si>
  <si>
    <t>楊濟銨</t>
  </si>
  <si>
    <t>0981332991</t>
  </si>
  <si>
    <t>最近比較忙
還沒有看資料</t>
  </si>
  <si>
    <t>Peter</t>
  </si>
  <si>
    <t>0921913818</t>
  </si>
  <si>
    <t>林克強</t>
  </si>
  <si>
    <t>0932617249</t>
  </si>
  <si>
    <t>陳靜慈</t>
  </si>
  <si>
    <t>0939819027</t>
  </si>
  <si>
    <t>花蓮基地(農牧用地)
土地還要等分割等等
台北工作~之後回花蓮
因為現在回去都是住飯店
想放個兩房一廳,我的辦公空間
mail給我: trady777@gmail.com
1/24已寄出
職業:太陽能廠商(木屋可冷氣吹到飽)</t>
  </si>
  <si>
    <t>薛如玲</t>
  </si>
  <si>
    <t>0905550039</t>
  </si>
  <si>
    <t>你好
之前曾購買一組沙發
有一些後續維修的問題，請問我該找誰？
謝謝</t>
  </si>
  <si>
    <t>等照片</t>
  </si>
  <si>
    <t>方瑋</t>
  </si>
  <si>
    <t>0926991749</t>
  </si>
  <si>
    <t>公司提早放年假，等有日期後會提早預約
3/14 涵 未接</t>
  </si>
  <si>
    <t>陳昭輝</t>
  </si>
  <si>
    <t>0932150423</t>
  </si>
  <si>
    <t>住：北部
基地：彰化
有興趣參訪
2/4會回到彰化 (有先問2/3二 &amp; 2/5四 時間要喬一下)
有一定財力
(會固定到此處打小白球) 嘉義 棕梠湖高爾夫球場
需要，安排在打球前後，才能順道來訪。
待+LINE@
涵3/14 暫無急迫性,石岡遠~都在北部居多~
清明節掃墓才會去中部,在line我們</t>
  </si>
  <si>
    <t>曾小姐</t>
  </si>
  <si>
    <t>0921111238</t>
  </si>
  <si>
    <t>有興趣參訪
2大2小 (12y 3.5y)
已溝通過小孩的部分，曾小姐會跟家人討論一下
目前確認預約周六 2/7 時間要喬一下
2/3 已經確定2/7不行,可能四月份再約</t>
  </si>
  <si>
    <t>鍾為國</t>
  </si>
  <si>
    <t>0955227950</t>
  </si>
  <si>
    <r>
      <rPr>
        <rFont val="Arial"/>
        <color theme="1"/>
      </rPr>
      <t xml:space="preserve">4-6點聯繫，知道我們是蓋木頭房子的
忙碌中，會先看簡訊
</t>
    </r>
    <r>
      <rPr>
        <rFont val="Arial"/>
        <color rgb="FFFF0000"/>
      </rPr>
      <t>1/24 下午回電 掛電話</t>
    </r>
  </si>
  <si>
    <t>May Chen</t>
  </si>
  <si>
    <t>0925222301</t>
  </si>
  <si>
    <t>陳小姐表示
暫時還沒有想了解
我需要會自己跟你們聯繫</t>
  </si>
  <si>
    <t>許秀如</t>
  </si>
  <si>
    <t>0986370996</t>
  </si>
  <si>
    <t>住：彰化
地：想跟朋友買
有興趣，想帶爸爸來看
有看過宥勝的影片
有去13期看過別的廠家
先+LINE
涵3/14 平日上班到5點()週六下午打過去時在上課中</t>
  </si>
  <si>
    <t>高國運</t>
  </si>
  <si>
    <t>0939308966</t>
  </si>
  <si>
    <t>廣告行銷工作者
說明去年有趣參觀過(夫妻&amp;小孩)
自己是喜歡but太太還是比較喜歡RC結構
年紀大&amp;有錢不想要在貸款之類的,可以付清屋款
苗栗(建地)基地
已經買三年了
考慮蓋起來租人
自己年紀再大一些跟老婆一起在這邊養老
不想大坪數or双層
年前比較忙...過完年如果有機會我在跟你們預約
2/26許 說目前計畫暫停，問有其他考慮廠商或其他原因
一直不說原因，只說沒有了不用(強調很多次)</t>
  </si>
  <si>
    <t>簡麗娟</t>
  </si>
  <si>
    <t>0926163259</t>
  </si>
  <si>
    <t>有需要再跟我們說
只是有初步的興趣還沒有要預約 沒有基地</t>
  </si>
  <si>
    <t>TongTong_Lin 
林小姐</t>
  </si>
  <si>
    <t>0963982989</t>
  </si>
  <si>
    <t>有看過其他家(不願透露)
先看資料
已+LINE@
討論中，要來訪再預約</t>
  </si>
  <si>
    <t>陳俞仲</t>
  </si>
  <si>
    <t>0968225342</t>
  </si>
  <si>
    <t>有一塊基地要規劃
木屋移動A地移B地(繼承的問題)
林口
2/10後方便安排參觀</t>
  </si>
  <si>
    <t>胡時</t>
  </si>
  <si>
    <t>0979555778</t>
  </si>
  <si>
    <t>Elaine Chen</t>
  </si>
  <si>
    <t>0982134837</t>
  </si>
  <si>
    <t>接通後知道我們是自然紅屋就說[好] (&amp;掛電話)
再打過去就都不接了</t>
  </si>
  <si>
    <t>連坤誌</t>
  </si>
  <si>
    <t>0931666444</t>
  </si>
  <si>
    <t>想約2/3(二)早上10點(專員在湊人數中)
苗栗基地(農地)
正在評估要用哪種形式蓋屋
涵3/14  約3/27週五 
第2次爽約的人</t>
  </si>
  <si>
    <t>楊建林</t>
  </si>
  <si>
    <t>0913966625</t>
  </si>
  <si>
    <t xml:space="preserve">
請問2月4號早上可以參觀嗎？
請用Line聯繫侯沛妤</t>
  </si>
  <si>
    <t>已加公務機
侯沛妤0901260379 在越南(去半度假)
兩位不是夫妻，侯小姐自稱楊先生的跟隨者
基地：斗六3分地，先做自己的園區，後續還有其他基地規劃(也都3分地)
用途：個人 退休用(打早自己的農園)
法規：有請建築師規劃 路寬、以農耕所去申請
廠商：目前看三家、1紅屋 2耕築-田園小屋，晴耕雨讀(客戶說用石頭蓋的木屋，但網頁看起來是好一點的鐵皮) 3 鐵皮屋(低價位的)
時間：半年~一年</t>
  </si>
  <si>
    <t>待連絡</t>
  </si>
  <si>
    <t>張功華</t>
  </si>
  <si>
    <t>0909043093</t>
  </si>
  <si>
    <t>有地的參觀</t>
  </si>
  <si>
    <t>黃郁靜</t>
  </si>
  <si>
    <t>0986135832</t>
  </si>
  <si>
    <t>無地的參觀</t>
  </si>
  <si>
    <t>有去看過大雅的居林
也爬文過我們的資料
想親自感受實體木屋
預計與先生&amp;女兒一同去參觀
沒有基地,初期了解狀態
先生為公務員
想買苗栗基地</t>
  </si>
  <si>
    <t>范光禮</t>
  </si>
  <si>
    <t>0977032480</t>
  </si>
  <si>
    <t>平日下午1300-1800
35-65 / 中北部 / 退休度假興趣</t>
  </si>
  <si>
    <t>語音
涵3/14 未接</t>
  </si>
  <si>
    <t>陳旭薇</t>
  </si>
  <si>
    <t>0952323196</t>
  </si>
  <si>
    <t>平日下午1300-1800
35-65 / 中北部 / 退休度假興趣__</t>
  </si>
  <si>
    <t>語音
查看此人是誰決定是否接通</t>
  </si>
  <si>
    <t>安安 先生</t>
  </si>
  <si>
    <t>0916050345</t>
  </si>
  <si>
    <t>35-65 / 中部 / 露營興趣(0108+興趣)
子榕公務機</t>
  </si>
  <si>
    <t>Amy Ku
古英美</t>
  </si>
  <si>
    <t>0928266849</t>
  </si>
  <si>
    <t>35-65 / 中北部 / 退休度假興趣
住：台北
參訪 自駕
態度好，過年後預約(年前忙碌) 
+LINE@
2/26許 說目前很忙，還要準備掃墓(白眼太久了吧)，
說忙完有需要會再聯繫</t>
  </si>
  <si>
    <t>沈大雄</t>
  </si>
  <si>
    <t>0937182684</t>
  </si>
  <si>
    <t>35-65 / 中北部 / 退休度假興趣
會去看資訊 (詢問有無實體展示)
+LINE@</t>
  </si>
  <si>
    <t>王先生</t>
  </si>
  <si>
    <t>0958862111</t>
  </si>
  <si>
    <t>35-65 / 中北部 / 退休度假興趣
晚點看簡訊，(有點尷尬)</t>
  </si>
  <si>
    <t>莊秋芬</t>
  </si>
  <si>
    <t>0935560427</t>
  </si>
  <si>
    <t xml:space="preserve">不動產業務
想蓋一棟自己住的
聽到參觀要收費,就要考慮一下&lt;排在最後&gt;
強調自己經常參觀各式各樣廠商都沒在收費的
說的時候態度沒有太差,開玩笑這樣說
想看我們案例照片
有請她加官方line
</t>
  </si>
  <si>
    <t>黃慧英</t>
  </si>
  <si>
    <t>0928236267</t>
  </si>
  <si>
    <t>35-65 / 中部 / 露營興趣(0108+興趣)
找地中，有規劃想法
2P 夫妻，住：高雄 (約下午)
年紀：60+
過年後，第一周 已+LINE@約時間
涵3/14 有時會上苗栗,時間較不一定耶
沒有急迫性,已傳Line給小姐</t>
  </si>
  <si>
    <t>0988325488</t>
  </si>
  <si>
    <t>想明日到現場參觀</t>
  </si>
  <si>
    <t>花蓮基地
台中人~在花蓮有地...申請溫室有過了,
溫室 +有自有農場,目前種植咖啡樹ˇ3萬多棵
有睡覺的房間,缺客廳廚房餐廳 
可以買空屋?有一套廚具想自行安裝
預計年前回台中時間2/10~2/11
2/3 過年前無法回台中,預計年後再約
2/26許 說目前在花蓮忙，有回西部再跟我們聯絡</t>
  </si>
  <si>
    <t>張柏毅</t>
  </si>
  <si>
    <t>0930755401</t>
  </si>
  <si>
    <t>35-65 / 中北部 / 退休度假興趣
以為我們是民宿
住：基隆
基地在西螺 (都種田沒有打算要蓋)
會把我們資訊轉給另一位湯大哥朋友，說桃園有地可能比較有興趣</t>
  </si>
  <si>
    <t>Chen Mei 
陳小姐</t>
  </si>
  <si>
    <t>0927135883</t>
  </si>
  <si>
    <t>35-65 / 中北部 / 退休度假興趣
住：台北
住比較遠所以要來台中的時候才會事先預約
不清楚我們是台灣廠商，以及有園區的事情
已+LINE@ 
2/3 日後有意願參觀,有機會會先打電話</t>
  </si>
  <si>
    <t>蕭寶華</t>
  </si>
  <si>
    <t>0952752417</t>
  </si>
  <si>
    <t>35-65 / 中北部 / 退休度假興趣
住：新竹／老家：台中
無地 有興趣
因為血球有狀況(時高時低，每周都需要去抽血)
對這種生活有興趣(對紅屋不了解，似乎以為我們是開發社區)
(小姐需注意身體狀況隨時調整休息)
1/31 沒有租地，暫時就不來了</t>
  </si>
  <si>
    <t>陸東明</t>
  </si>
  <si>
    <t>0963457999</t>
  </si>
  <si>
    <t>35-65 / 中北部 / 退休度假興趣
要來再+LINE@</t>
  </si>
  <si>
    <t>Max</t>
  </si>
  <si>
    <t>0963777365</t>
  </si>
  <si>
    <t>無意願進一步了解</t>
  </si>
  <si>
    <t>林裕祥</t>
  </si>
  <si>
    <t>0915580632</t>
  </si>
  <si>
    <t>想預約</t>
  </si>
  <si>
    <t>室內設計師，工作有遇過一般建地蓋一般住家組合屋的情況，之後退休家中也有一般農地和小塊建地要看能不能妥善運用，事先理解
均翰室內裝修工程有限公司
工務主任 林裕祥</t>
  </si>
  <si>
    <t>謝永陽</t>
  </si>
  <si>
    <t>0988699399</t>
  </si>
  <si>
    <t>想過去參觀，FB有填</t>
  </si>
  <si>
    <t>南投魚池有兩塊基地(300坪&amp;200坪)建地
自己居住使用,一家四口
預算一個双院、一個3院
優先順序:先蓋双院,住得舒服在購買3院
唐山大普渡 主委 (彰化鹿港)
https://www.chcg.gov.tw/ch2/newsdetail.aspx?bull_id=416085&amp;utm_source=website&amp;utm_medium=rss&amp;utm_campaign=news01b
統一編號（統編）　	58020264
公司名稱	大陽精機廠股份有限公司
代表人姓名	謝式敏
公司所在地	彰化縣鹿港鎮頂番里埤頭巷29-1號  
電話	04-7773669
資本總額(元)	80,000,000
https://twincn.com/item.aspx?no=58020264</t>
  </si>
  <si>
    <t>李秀英</t>
  </si>
  <si>
    <t>0928275598</t>
  </si>
  <si>
    <t>平日早上0900-1200
35-65 / 中北部 / 退休度假興趣</t>
  </si>
  <si>
    <t>詹秀慈</t>
  </si>
  <si>
    <t>0918937811</t>
  </si>
  <si>
    <t>最近比較忙沒時間過去
過年後再聯繫
有基地</t>
  </si>
  <si>
    <t>0911128666</t>
  </si>
  <si>
    <t>35-65 / 中部 / 露營興趣(0108+興趣)
(早上在上課)下午聯繫
初步有興趣尚未有規劃</t>
  </si>
  <si>
    <t>孔娣芝</t>
  </si>
  <si>
    <t>0955560316</t>
  </si>
  <si>
    <t>35-65 / 中北部 / 退休度假興趣
下周在聯繫，客戶週六出門在迷路中(有點不爽接到電話)
木屋是在生涯規畫中的一環
目前無基地
住：台北
年後再約，會先跟先生討論，再朋友車上不方便電話</t>
  </si>
  <si>
    <t>徐靜湄</t>
  </si>
  <si>
    <t>0935689180</t>
  </si>
  <si>
    <t>教操作加line(老人家)
台東有一塊基地本身已有簡易屋了
想看有無可重新蓋過
住桃園林口
買地在台東是因為有親戚住在那邊
也覺得環境很不錯
想退休後到那邊生活
最近有空閒時間,想多了解蓋屋方式
預計農曆年後約時間
2/26許 說目前再上課，下課會自行連絡
統編 89717111 
公司名 浤鑫實業有限公司
資本額 1,000,000
負責人 吳定緯</t>
  </si>
  <si>
    <t>Peng Peng</t>
  </si>
  <si>
    <t>0915257508</t>
  </si>
  <si>
    <t>再忙,就掛電話了</t>
  </si>
  <si>
    <t>黃涵如</t>
  </si>
  <si>
    <t>0928231836</t>
  </si>
  <si>
    <t>說再忙，會再聯絡我們</t>
  </si>
  <si>
    <t>奇異果</t>
  </si>
  <si>
    <t>0931616718</t>
  </si>
  <si>
    <t>35-65 / 中部 / 露營興趣(0108+興趣)
開車中不方便(拜訪客戶)
不便透露行業別
已加我們官方line(貼圖目前不便操作)</t>
  </si>
  <si>
    <t>高京都</t>
  </si>
  <si>
    <t>0916780986</t>
  </si>
  <si>
    <t>35-65 / 中北部 / 退休度假興趣
1/31 打去時忙於搬家中
等2/3再聯繫</t>
  </si>
  <si>
    <t>林明書</t>
  </si>
  <si>
    <t>0933795906</t>
  </si>
  <si>
    <t>35-65 / 中北部 / 退休度假興趣
有興趣想了解木屋</t>
  </si>
  <si>
    <t>黃立業</t>
  </si>
  <si>
    <t>0937189347</t>
  </si>
  <si>
    <t>我想了解木屋資訊</t>
  </si>
  <si>
    <t>有基地淡水三芝 甲建
有問到承重問題
一定要合法
先不及參觀
 [ 要先詢問水電申請的事務 ]
認為小房屋我們的還是最細膩的廠商</t>
  </si>
  <si>
    <t>特殊</t>
  </si>
  <si>
    <t>是什麼紀銘修</t>
  </si>
  <si>
    <t>0930989600</t>
  </si>
  <si>
    <t>平日下午1300-1800
35-65 / 中部 / 露營興趣(0108+興趣)</t>
  </si>
  <si>
    <t>龍井 組合屋的廠商
平常很忙碌
已告知參觀要預約
會在加line(不積極)</t>
  </si>
  <si>
    <t>李先生
 Stephen Lee</t>
  </si>
  <si>
    <t>0927786888</t>
  </si>
  <si>
    <t>35-65 / 中部 / 露營興趣(0108+興趣)
幫佛堂增建事由做詢問
決策者不是自己
基地豐原圓環東路&amp;中正路附近佛場  (地目是綠地??)
有塊空地約40~50坪
基地因有高低差需要架高
因為讓師父下台中課程結束可以有地方休息
不需要衛浴空間,
考慮帶內部人員先來參觀了解
PS太太是卓蘭人
想約師父過來參觀 過年後再保持聯絡</t>
  </si>
  <si>
    <t>FB</t>
  </si>
  <si>
    <t>黃佳慧</t>
  </si>
  <si>
    <t>0923103193</t>
  </si>
  <si>
    <t>平日下午1300-1800
35-65 / 中部 / 露營興趣(0108+興趣)
無地的參觀
10:00~15:00 (不常使用電話,請盡量以line或簡訊聯繫)
有建地,但在台中市區。 主要希望帶媽媽了解另一種生活方式的可能。 但她雙腳無力,走路較慢,需持健走杖輔助 ,不需坐輪椅(我們昨天才搭火車去了通霄神社走走) 請問這樣適合參觀嗎？ 目前我們合適的時間： 2/9(一) 或 2/12(四) 希望能於15:00前結束參觀離開</t>
  </si>
  <si>
    <t>宋淑華</t>
  </si>
  <si>
    <t>0917358096</t>
  </si>
  <si>
    <t>問地點,以為我們是民宿OR可以住宿的
看有無收到簡訊</t>
  </si>
  <si>
    <t>Connie Frank
時先生</t>
  </si>
  <si>
    <t>0982109622</t>
  </si>
  <si>
    <t>週六下午1300-1800
35-65 / 中北部 / 退休度假興趣</t>
  </si>
  <si>
    <t xml:space="preserve">上班用公司手機(也不方便通話)
已請客人加官line
桃園人
爸爸在苗栗有基地(已有水電)
社區型農地
去山上的時候可以有一處木屋可以休息
不太清楚坪數 可能200坪
</t>
  </si>
  <si>
    <t>Lu Jing
盧小姐</t>
  </si>
  <si>
    <t>0978823381</t>
  </si>
  <si>
    <t>2/5 聯繫，下午3點半後有空，約四點再跟他聯絡
2/7聯繫 說下周二下午方便聯繫</t>
  </si>
  <si>
    <t>Pingen
Adriano Chan</t>
  </si>
  <si>
    <t>0910456277</t>
  </si>
  <si>
    <t>35-65 / 中部 / 露營興趣(0108+興趣)
這先生說FB名字與他不同,不是他留的資訊(可能電話留錯?)</t>
  </si>
  <si>
    <t>許小姐
areta hsu</t>
  </si>
  <si>
    <t>0916809167</t>
  </si>
  <si>
    <t>新竹寶山有一塊基地
買很久了,因為跟先生時常會去露營
想在寶山這邊放個屋子,
居住頻率約一個月1次
年前比較忙,需出差
年後再約參觀</t>
  </si>
  <si>
    <t>徐正雄</t>
  </si>
  <si>
    <t>0919655911</t>
  </si>
  <si>
    <t>平日早上0900-1200
35-65 / 中部 / 露營興趣(0108+興趣)</t>
  </si>
  <si>
    <t>沒有地，目前有想要規劃
想要找已經有農舍的地用偷天換日法操作
以加LINE</t>
  </si>
  <si>
    <t>楊巧鈺</t>
  </si>
  <si>
    <t>0970332606</t>
  </si>
  <si>
    <t>您好 想要預約參觀
2/5 1300</t>
  </si>
  <si>
    <t>自由工作者
與夥伴要一起住木屋(想住木屋)
正在蒐集資料做功課
目前2/5+2/6北南下會停留於中部
2/7就會在嘉義了確定無法安排
最慢2/5早上要告知可否約成</t>
  </si>
  <si>
    <t>蔡宗秩</t>
  </si>
  <si>
    <t>35-65 / 中部 / 露營興趣(0108+興趣)
有興趣多了解
再加Line跟我們約時間
住沙鹿 太太周六才放假可以參觀
line已將我們封鎖</t>
  </si>
  <si>
    <t>陳先生
Yi Chen</t>
  </si>
  <si>
    <t>0976212021</t>
  </si>
  <si>
    <t>電話打過去後
說已經不需要了解
已經購買別家木屋了</t>
  </si>
  <si>
    <t>許大千</t>
  </si>
  <si>
    <t>0983663520</t>
  </si>
  <si>
    <t xml:space="preserve">平日下午1300-1800
35-65 / 中部 / 露營興趣(0108+興趣)
</t>
  </si>
  <si>
    <t>接起來當說到我們是自然紅屋
就說 知道了 掰掰(掛電話)惹到你?</t>
  </si>
  <si>
    <t>鄭小琴</t>
  </si>
  <si>
    <t>0988259770</t>
  </si>
  <si>
    <t>客觀條件都沒有，會一直問問題(價錢、選配等)
說有土地的話想規劃，有需要再聯絡</t>
  </si>
  <si>
    <t>莊茵琪</t>
  </si>
  <si>
    <t>0921717983</t>
  </si>
  <si>
    <t>土地可用面積30坪
可否雙層樓&amp;辦公室空間
2/4再聯繫</t>
  </si>
  <si>
    <r>
      <rPr/>
      <t xml:space="preserve">欣上原 電動床公司，彰濱工業
6P(老闆+同事) 想做雙層樓&amp;辦公ˋ室空間
可用面積 30坪 再廠房旁邊
公司官網
https://www.starseeds.tw/
公司黃頁
</t>
    </r>
    <r>
      <rPr>
        <color rgb="FF1155CC"/>
        <u/>
      </rPr>
      <t>https://info.technews.tw/company/70673367-%E6%AC%A3%E4%B8%8A%E5%8E%9F%E8%82%A1%E4%BB%BD%E6%9C%89%E9%99%90%E5%85%AC%E5%8F%B8</t>
    </r>
  </si>
  <si>
    <t>范光
淼(ㄇ一ㄠˇ)</t>
  </si>
  <si>
    <t>0936454842</t>
  </si>
  <si>
    <r>
      <rPr>
        <rFont val="Arial"/>
        <color theme="1"/>
      </rPr>
      <t>住：雲林
看一下價格 (週二剛好到附近)
價格ok的話下周三可以再跑一趟台中
2/11 過年後 ，平日時間都可以約
3/17-22出國，</t>
    </r>
    <r>
      <rPr>
        <rFont val="Arial"/>
        <b/>
        <color rgb="FFFF0000"/>
      </rPr>
      <t xml:space="preserve">想約3/4or6
</t>
    </r>
    <r>
      <rPr>
        <rFont val="Arial"/>
        <color theme="1"/>
      </rPr>
      <t>3/4爽約</t>
    </r>
  </si>
  <si>
    <t>魏小姐</t>
  </si>
  <si>
    <t>0910053852</t>
  </si>
  <si>
    <t>1/31 陳梅華推薦
香港人(香港口音)
想2/5去參觀(已告知人數已滿)
若有取消在跟魏小姐說</t>
  </si>
  <si>
    <t>說沒有啦，就沒有說甚麼了，說之後再連絡</t>
  </si>
  <si>
    <t>Ming Ming Lee</t>
  </si>
  <si>
    <t>0912027584</t>
  </si>
  <si>
    <t>感覺是想要來露營的
說有需要會再聯繫</t>
  </si>
  <si>
    <t>趙子緯</t>
  </si>
  <si>
    <t>0932197857</t>
  </si>
  <si>
    <t>35-65 / 中北部 / 退休度假興趣
住：台北
距離太遠 目前沒想法</t>
  </si>
  <si>
    <t>邱佳煦</t>
  </si>
  <si>
    <t>0939990082</t>
  </si>
  <si>
    <t>Chen Chen</t>
  </si>
  <si>
    <t>0975143591</t>
  </si>
  <si>
    <t>袁淑美</t>
  </si>
  <si>
    <t>0911942709</t>
  </si>
  <si>
    <t>歐 小蓉 小姐</t>
  </si>
  <si>
    <t>0938955053</t>
  </si>
  <si>
    <t>35-65 / 中部 / 露營興趣(0108+興趣)
朋友有來過(當時沒收300)
有興趣沒地，想了解租地規劃
住：台中北區
過年前不確定要跟家人討論一下</t>
  </si>
  <si>
    <t>Winnie</t>
  </si>
  <si>
    <t>0966867686</t>
  </si>
  <si>
    <t>周六在上班
平常日在撥
約下周二2/10下午去電</t>
  </si>
  <si>
    <t>李蕙蕙</t>
  </si>
  <si>
    <t>0976250029</t>
  </si>
  <si>
    <t>有請客人確認有無收到簡訊
在上班,急忙掛電話</t>
  </si>
  <si>
    <t>Jamie
吉米小蓮</t>
  </si>
  <si>
    <t xml:space="preserve"> 住：新竹 (家人 自己在國外)
地：新竹峨嵋 (有兩塊地)
只想使用3-5年，預算有限(要先去整合總預算 水電跟吊車 怕預算不夠)，建議大單院
算好可以安排家人先來看</t>
  </si>
  <si>
    <t>葉先生
雲之子</t>
  </si>
  <si>
    <t>0919828580</t>
  </si>
  <si>
    <t>35-65 / 中部 / 露營興趣(0108+興趣)
無地
對於法規不清楚 要用農地還是建地
+LINE@ 聯絡3月的假日預約</t>
  </si>
  <si>
    <t>陳先生
Clement Chen</t>
  </si>
  <si>
    <t>0932181336</t>
  </si>
  <si>
    <t>台北人,因為目前沒有基地,目前沒想法
我先看一下你們的資料,有興趣我會再跟你們聯絡</t>
  </si>
  <si>
    <t>潘小姐</t>
  </si>
  <si>
    <t>0958765678</t>
  </si>
  <si>
    <t>家具舊客問題</t>
  </si>
  <si>
    <t>已回覆 找舊家具維修</t>
  </si>
  <si>
    <t>李佳純</t>
  </si>
  <si>
    <t>03-9680926</t>
  </si>
  <si>
    <t>0905770032</t>
  </si>
  <si>
    <t>住：宜蘭 
基地：宜蘭 農牧用地
要蓋農舍，細節都還再申請(現場討論)
有露營車，想順路去嘉義一趟
小孩，15y 17y</t>
  </si>
  <si>
    <t>張秀美</t>
  </si>
  <si>
    <t>0937700553</t>
  </si>
  <si>
    <t>週六下午1300-1800
35-65 / 中部 / 露營興趣(0108+興趣)</t>
  </si>
  <si>
    <t>林棠棠</t>
  </si>
  <si>
    <t>0925038103</t>
  </si>
  <si>
    <t>35-65 / 中北部 / 退休度假興趣</t>
  </si>
  <si>
    <t>洪翠紋</t>
  </si>
  <si>
    <t>0937433161</t>
  </si>
  <si>
    <t>禮貌, 再忙 下周再撥
已問我們參觀地點(石岡)</t>
  </si>
  <si>
    <t>蘇芳語</t>
  </si>
  <si>
    <t>0921921079</t>
  </si>
  <si>
    <t>退休了
嘉義老家有一塊地
思考2.5坪的休息空間或是可以2房的双院
尚未看過資料
已加過官方line關注一陣子</t>
  </si>
  <si>
    <t>特殊X</t>
  </si>
  <si>
    <t>吳德雄</t>
  </si>
  <si>
    <t>0937807452</t>
  </si>
  <si>
    <t>黃依婷</t>
  </si>
  <si>
    <t>0978552317</t>
  </si>
  <si>
    <t>&amp;合夥人在埔里有一茶園正在申請露營區(送審中)
詢問木屋是否可以申請合法? 可以
預計會忙到228之後
三月份約參訪
到時候會提前在line預約參觀</t>
  </si>
  <si>
    <t>蔡佩蓉</t>
  </si>
  <si>
    <t>0976700383</t>
  </si>
  <si>
    <t>住：台中
目前純好奇想參訪，以前曾經有想約兩天一夜，時間沒約上
參訪：自己2+朋友1</t>
  </si>
  <si>
    <t>ViolaChen</t>
  </si>
  <si>
    <t>0928635635</t>
  </si>
  <si>
    <t>想約2/11早上参觀，2人</t>
  </si>
  <si>
    <t>無地的參觀
問題比較多&amp;仔細的客人
未來可能朝這個方向規劃自己住的空間
過年前2/11有約,沒有約成功
參訪者: 朋友
職業:心理諮商師</t>
  </si>
  <si>
    <t>Ivy Wei</t>
  </si>
  <si>
    <t>0924170286</t>
  </si>
  <si>
    <t>平日下午1300-1800
35-65 / 中北部 / 退休度假興趣
有地的參觀
ivy.w2010@gmail.com</t>
  </si>
  <si>
    <t>Yu</t>
  </si>
  <si>
    <t>0920238023</t>
  </si>
  <si>
    <t>週六早上0900-1200
35-65 / 中部 / 露營興趣(0108+興趣)</t>
  </si>
  <si>
    <t>高先生</t>
  </si>
  <si>
    <t>0930597225</t>
  </si>
  <si>
    <t>要合法
正努力找地中
已經有加line</t>
  </si>
  <si>
    <t>李振德/
漢諾威國際有限公司</t>
  </si>
  <si>
    <t>0982858666</t>
  </si>
  <si>
    <t>註明3/3過後才安排參訪(元宵節後)
漢諾威 國際有限公司_
統編16380934
資本額:500萬
室內設計-裝修工程/土木營造-鋼構廠房
桃園龜山...等很多基地
同行業
目前半退休狀態,了解市場萎縮,
幫自己了解也幫客戶多了解組合屋的蓋屋方式
已電話約3/3參訪,等待Line回覆</t>
  </si>
  <si>
    <t>akai</t>
  </si>
  <si>
    <t>0932981148</t>
  </si>
  <si>
    <t>再忙
過年後再聯絡</t>
  </si>
  <si>
    <t>戴如青</t>
  </si>
  <si>
    <t>0937127155</t>
  </si>
  <si>
    <t>現在有中古屋嗎?</t>
  </si>
  <si>
    <t>桃園平鎮 
有地有水電
已蓋化糞池(未完成)
有問到宥勝是否要出清木屋,擔心木屋發霉
還沒參觀過實體木屋
建議先來參觀,說明會更清楚
戴小姐要我加她的line 傳資訊
過年戴小姐在跟家人敲時間來參觀木屋</t>
  </si>
  <si>
    <t>Crystal Chang</t>
  </si>
  <si>
    <t>0985303538</t>
  </si>
  <si>
    <t>吳氏俊國</t>
  </si>
  <si>
    <t>0977048357</t>
  </si>
  <si>
    <t>陳柏翰</t>
  </si>
  <si>
    <t>0936873253</t>
  </si>
  <si>
    <r>
      <rPr>
        <rFont val="Arial"/>
        <color theme="1"/>
      </rPr>
      <t>預計</t>
    </r>
    <r>
      <rPr>
        <rFont val="Arial"/>
        <b/>
        <color rgb="FFFF0000"/>
      </rPr>
      <t xml:space="preserve"> 3/20之後再聯繫</t>
    </r>
    <r>
      <rPr>
        <rFont val="Arial"/>
        <color theme="1"/>
      </rPr>
      <t xml:space="preserve"> 過年忙碌</t>
    </r>
  </si>
  <si>
    <t>祖傳基地在嘉義
想給孩子~跟土地有連結
孩子在新竹工作
在嘉義有看過其他組合屋廠商,不喜歡
陳先生住彰化
時間可以約,要喬一下</t>
  </si>
  <si>
    <t>張自明</t>
  </si>
  <si>
    <t>0933587810</t>
  </si>
  <si>
    <r>
      <rPr>
        <rFont val="Arial"/>
        <color theme="1"/>
      </rPr>
      <t xml:space="preserve">住:桃園
地: 苗栗
現地已經有三棟木屋,想再蓋我們2.5坪or4.5坪的屋款
有說到目前可蓋的地方都是斜坡,
目前是要自己使用
有打算未來可能轉成民宿經營
2/26許 未接2 (原本說過年後才有空)
</t>
    </r>
    <r>
      <rPr>
        <rFont val="Arial"/>
        <color rgb="FF980000"/>
      </rPr>
      <t>3月中才回國，近期不要打電話</t>
    </r>
  </si>
  <si>
    <t>沈先生</t>
  </si>
  <si>
    <t>0987377993</t>
  </si>
  <si>
    <t>現場客戶，已提供DM
一家人(沒看清楚後座是誰)
lexus 車主，夫妻倆看起來比較江湖中人
坪數價格? 你們觀網沒說要預約?</t>
  </si>
  <si>
    <t>Cyc Chou
周先生</t>
  </si>
  <si>
    <t>0910003205</t>
  </si>
  <si>
    <t>不願意多聊
表明現在很忙
有需要我在跟你們聯繫好嗎?</t>
  </si>
  <si>
    <t>廖鳳英</t>
  </si>
  <si>
    <t>0918518087</t>
  </si>
  <si>
    <t>現在先不需要
若要參觀,我會再撥電話</t>
  </si>
  <si>
    <t>金馗</t>
  </si>
  <si>
    <t>0913990050</t>
  </si>
  <si>
    <t>黃麗珠</t>
  </si>
  <si>
    <t>0978018019</t>
  </si>
  <si>
    <t>Vivian  Hsieh</t>
  </si>
  <si>
    <t>0923146949</t>
  </si>
  <si>
    <t>余麗琴</t>
  </si>
  <si>
    <t>0919807408</t>
  </si>
  <si>
    <t>劉孫英</t>
  </si>
  <si>
    <t>0983159311</t>
  </si>
  <si>
    <t>在忙,所以就掛電話</t>
  </si>
  <si>
    <t>張維哲</t>
  </si>
  <si>
    <t>0930222288</t>
  </si>
  <si>
    <t>2/24~3/4出國度假
后里人 / 公司在三義是觀光業/
基地:苗栗南庄 /農牧用地有含一丙建
一定要合法
目前基地申請農場已兩年了,還在跑流程(可能要再8個月)
想蓋給人住宿的
3/5年後再跟張先生約參訪時間</t>
  </si>
  <si>
    <t>陳滿祝</t>
  </si>
  <si>
    <t>0937519898</t>
  </si>
  <si>
    <t>在開車,之後聯絡OK</t>
  </si>
  <si>
    <t>黄明煌</t>
  </si>
  <si>
    <t>0928764508</t>
  </si>
  <si>
    <t>再忙,之後再連絡
2/26許 語音</t>
  </si>
  <si>
    <t>Kn Kn</t>
  </si>
  <si>
    <t>0915539190</t>
  </si>
  <si>
    <t>過年後聯絡
2/26許 語音</t>
  </si>
  <si>
    <t>陶菁樺</t>
  </si>
  <si>
    <t>0933782300</t>
  </si>
  <si>
    <t>有地想要規劃，想問價錢，有看過其他廠商，
說玻璃屋要200多萬，說有看過太空艙，
請他先加LINE@，再跟他聯繫</t>
  </si>
  <si>
    <t>高煌坤</t>
  </si>
  <si>
    <t>0922596122</t>
  </si>
  <si>
    <t>有一塊山坡地(其中也包含國有地的部分)
正在申請露營區,應該過年後就申請下來
有水有電,要如何規劃目前沒有想法
開擴音教加入官line,但因為正在忙所以無法當下加入
等先生收簡訊加我們
(老人家不知道怎麼加Line)
有意願到現場參觀</t>
  </si>
  <si>
    <t>向鳴德</t>
  </si>
  <si>
    <t>0931689508</t>
  </si>
  <si>
    <t>向鳴德 (臉書名稱Grace   Wang)
人生上半場曾是充滿教育熱忱的小學老師；退休後對舞蹈、戲劇產生濃厚興趣。上課、演出，玩得不亦樂乎！(臉書上搜到的)
未有基地
住台北/家人都在台中清水
所以蠻常回來台中
可能搭車自己先來參觀
2/26許 說現在沒空，會再主動聯絡，就掛電話了</t>
  </si>
  <si>
    <t>陳瑛琪</t>
  </si>
  <si>
    <t>0975335122</t>
  </si>
  <si>
    <t>已經加Line,先傳資料給小姐，年後再約參觀
2/26許 未接</t>
  </si>
  <si>
    <t>0921115276</t>
  </si>
  <si>
    <t>想要先了解，說年前很忙希望年後再聯繫
有看過簡訊內容，覺得不錯很棒
2/26許 說目前還在過年(傳產業)，說有需要會再聯繫，
就直接掛電話了</t>
  </si>
  <si>
    <t>Mandy Chiou</t>
  </si>
  <si>
    <t>0952630888</t>
  </si>
  <si>
    <t>說我們打錯喔,掛電話@@</t>
  </si>
  <si>
    <t>翁埈岳</t>
  </si>
  <si>
    <t>0933681727</t>
  </si>
  <si>
    <t>有地的參觀
基地為老屋 在台南鹽水市區
可聯繫時間  下午~晚上</t>
  </si>
  <si>
    <t>市區建地，想先了解哪種適合
擔心我們的房子在市區無法規劃，
有說可以到現場跟專員討論詳細內容
會跟有興趣的朋友(2-3位)上來參觀，日期待確認
2/26許 說早上有打過(?，目前還再討論時間</t>
  </si>
  <si>
    <t>0907004943</t>
  </si>
  <si>
    <t>建地位置：桃園</t>
  </si>
  <si>
    <t>說目前沒有這個需求</t>
  </si>
  <si>
    <t>黃琦珍</t>
  </si>
  <si>
    <t>0935517998</t>
  </si>
  <si>
    <t>35-65 / 中彰投 / 退休度假興趣(0212改地點)
電話暫時無法接聽</t>
  </si>
  <si>
    <t>許小姐</t>
  </si>
  <si>
    <t>0921644588</t>
  </si>
  <si>
    <t>35-65 / 中部 / 露營興趣(0108+興趣)
台北人，覺得很遠(有說北部客人蠻多專程跑一趟)，
改口坐火車如何轉車，
說話感覺人蠻好的，說服加LINE傳交通方式</t>
  </si>
  <si>
    <t>趙俊宏</t>
  </si>
  <si>
    <t>0936884711</t>
  </si>
  <si>
    <t>35-65 / 中彰投 / 退休度假興趣(0212改地點)
說晚一點，目前再忙， 之後未接</t>
  </si>
  <si>
    <t>韓美晴</t>
  </si>
  <si>
    <t>0988789188</t>
  </si>
  <si>
    <t>35-65 / 中彰投 / 退休度假興趣(0212改地點)
有再看地想購買及規劃，
但目前很忙沒空，已加LINE(可以多多推訊息~)</t>
  </si>
  <si>
    <t>陳英杰</t>
  </si>
  <si>
    <t>0921190770</t>
  </si>
  <si>
    <t>平日早上0900-1200
35-65 / 中彰投 / 退休度假興趣(0212改地點)</t>
  </si>
  <si>
    <t>目前不方便年後聯絡
2/26許 語音</t>
  </si>
  <si>
    <t>王貞</t>
  </si>
  <si>
    <t>0960366577</t>
  </si>
  <si>
    <t>平日下午1300-1800
35-65 / 中彰投 / 退休度假興趣(0212改地點)</t>
  </si>
  <si>
    <t>2/26許 說有再看地，又說朋友有1000坪地想分她一半，
想做退休之後規劃，覺得放一個木屋很棒，
說現在再上班，會找時間聯絡我們(已給LINE@)</t>
  </si>
  <si>
    <t>蕭庭如</t>
  </si>
  <si>
    <t>0978185302</t>
  </si>
  <si>
    <t>在坐車,沒辦法通話</t>
  </si>
  <si>
    <t>Betty Kuo
郭小姐</t>
  </si>
  <si>
    <t>0929605677</t>
  </si>
  <si>
    <t>表示先看簡訊，年後再約參觀
2/26許 說是傳給家人的訊息，他會叫家人聯絡</t>
  </si>
  <si>
    <t>林</t>
  </si>
  <si>
    <t>0933522140</t>
  </si>
  <si>
    <t>35-65 / 中彰投 / 退休度假興趣(0212改地點)</t>
  </si>
  <si>
    <t>黃惠玲</t>
  </si>
  <si>
    <t>0934139387</t>
  </si>
  <si>
    <t>35-65 / 中部 / 露營興趣(0108+興趣)</t>
  </si>
  <si>
    <t>Angel Cou</t>
  </si>
  <si>
    <t>0936932795</t>
  </si>
  <si>
    <t>馮小姐</t>
  </si>
  <si>
    <t>0910980272</t>
  </si>
  <si>
    <t>請問法2/28星期六早上有預約參訪的場次嗎？
想預約2/27下午或周六下午(一~五上班)</t>
  </si>
  <si>
    <t>有地參觀，有電沒有自來水
原本有鐵皮農舍在上面，再像是要翻修或更新
不太知道自來水要如何申請</t>
  </si>
  <si>
    <t>業主陳清池
建築師
陳思佐</t>
  </si>
  <si>
    <t>0975180288</t>
  </si>
  <si>
    <r>
      <rPr>
        <rFont val="Arial"/>
        <color theme="1"/>
      </rPr>
      <t xml:space="preserve">埔里建地_商店區，防火OK，退6m
商業(餐桌)+自住(生活)
定位點:https://maps.app.goo.gl/9jyEqKT15BtFSRWKA
建築師 </t>
    </r>
    <r>
      <rPr>
        <rFont val="Arial"/>
        <color rgb="FF34A853"/>
      </rPr>
      <t>陳思佐 0983693389</t>
    </r>
    <r>
      <rPr>
        <rFont val="Arial"/>
        <color theme="1"/>
      </rPr>
      <t xml:space="preserve">
凌際建築師事務所
地號: 南投縣埔里鎮新福興段36地號</t>
    </r>
  </si>
  <si>
    <t>業主一家3P(兒子30y) &amp; 建築師本人參訪
(2/25許 會改人數or延期)
2/26 榕 想改約 2/27
業主是東勢人</t>
  </si>
  <si>
    <t>陳怡君</t>
  </si>
  <si>
    <t>0932787553</t>
  </si>
  <si>
    <r>
      <rPr>
        <rFont val="Arial"/>
        <color theme="1"/>
      </rPr>
      <t>已經購買木屋的客人(二手屋)
純粹想參觀我們新款
說</t>
    </r>
    <r>
      <rPr>
        <rFont val="Arial"/>
        <b/>
        <color rgb="FFFF0000"/>
      </rPr>
      <t>3月才回來會再跟我們聯絡</t>
    </r>
  </si>
  <si>
    <t>嘉義人
來看木屋2次了,
5/2 態度好(想看合掌屋)
有土地的參觀,不急著規畫
合掌屋展示可約平日時間
參訪:可能1位或2位
6/2基地: 民雄 虎尾寮
現況: 200坪
已購買我們二手單院,
因為要退休長住想換大間一點
基地是弟弟的,到時候要協助水電糞管建議位置
我住的很喜歡</t>
  </si>
  <si>
    <t>黃美綺</t>
  </si>
  <si>
    <t>0933188337</t>
  </si>
  <si>
    <t>說丈夫有興趣這樣子的生活，
說3/15-20出去玩，請我們3月第再聯絡
希望是預約平日，沒有套到有沒有土地QQ</t>
  </si>
  <si>
    <t>張宇翔</t>
  </si>
  <si>
    <t>0981528028</t>
  </si>
  <si>
    <t>有地，苗栗通宵，一位參觀，
希望這個禮拜越快來看越好
你們什麼時候開始預約參觀呢？
如果方便的話 我想預約明天2/24過去參觀 謝謝</t>
  </si>
  <si>
    <t>休閒農業，2甲，喜歡木構(不要在基地上蓋一個鐵皮醜醜的)
住：台中
用途：先自住 休閒用，後續會打算用休閒農業的方式經營 (爸爸在國外)
組合屋：居林(道路無法直接吊掛，另一種做法要做 3-5個月施工)
完成時間：盡快(今年)
環境要照顧好
申請：農作物已經為了 固地種下(?)
化糞池：廠商多，建議他自己找
4/30 客戶帶朋友在來看，是同一塊地
統一編號（統編）　 54883417
公司名稱 達眾投資控股有限公司
代表人姓名 張晋棋
公司所在地 臺中市西屯區潮洋里朝富路213號19樓之9  
英文地址 
19F.-9, No. 213, Chaofu Rd., Chaoyang Vil., Xitun Dist., Taichung City 40757, Taiwan (R.O.C.)  
(來源:國貿局資料)
電話 
04-22543158
(來源:國貿局資料)
傳真 
04-22547997
(來源:國貿局資料)
公司狀況 核准設立
資本總額(元) 29,900,000</t>
  </si>
  <si>
    <t>謝秉璋</t>
  </si>
  <si>
    <t>0919069060</t>
  </si>
  <si>
    <t>兩大兩小，工作在桃園，老家在石岡附近，
建地，既有建築物30年以上，有詢問執照，
有計畫要規劃退休或平常渡假空間
已先提供可預約時間</t>
  </si>
  <si>
    <t xml:space="preserve">許小姐 </t>
  </si>
  <si>
    <t>0976546935</t>
  </si>
  <si>
    <t>你好，對青銀后土村的生活村民和生活村民有興趣，
想了解更多資訊，謝謝！</t>
  </si>
  <si>
    <t>語音*2
2/26許 說目前再忙，過幾天主動聯絡</t>
  </si>
  <si>
    <t>曹小姐</t>
  </si>
  <si>
    <t>0930404338</t>
  </si>
  <si>
    <t>請問是要有自己的土地才能嗎？
中午以後連續</t>
  </si>
  <si>
    <t>一個仁+寵物居住，已為我們是有包含土地的
已強烈推薦先來體驗(挺起來蠻猶豫的)，說住桃園
已提供可預約時間</t>
  </si>
  <si>
    <t>陳子陸</t>
  </si>
  <si>
    <t>0958983126</t>
  </si>
  <si>
    <t>早安您好，
想要預約參訪 3/7（六）下午兩點半 5位大人
剛剛打電話沒接，麻煩您了，謝謝(謝謝)</t>
  </si>
  <si>
    <t>之前有來看過(3院5院的時候)說結束沒有人可以問問題，
感覺是淺參訪
和家人一起參訪，今年爸媽準備退休
想要開始準備退休的地方給爸媽
目前沒有地，想帶爸媽來體驗一下感受
說家裡附近有鄰居購買，但無法進入參觀</t>
  </si>
  <si>
    <t>靳蔚文</t>
  </si>
  <si>
    <t>0938936190</t>
  </si>
  <si>
    <t>無地的參觀
可聯繫時間  均可</t>
  </si>
  <si>
    <r>
      <rPr>
        <rFont val="Arial"/>
        <color theme="1"/>
      </rPr>
      <t>沒有地，想帶家人專門來訪，
說要特地下來安排一趟
3月初國，說</t>
    </r>
    <r>
      <rPr>
        <rFont val="Arial"/>
        <b/>
        <color rgb="FFFF0000"/>
      </rPr>
      <t>四月再聯絡</t>
    </r>
  </si>
  <si>
    <t>張鈴銓</t>
  </si>
  <si>
    <t>0919729501</t>
  </si>
  <si>
    <t>有地的參觀
可聯繫時間 2/25周三早上0900-1700</t>
  </si>
  <si>
    <t>說想參觀了解，
電話中問我們有們有包含土地(地要確認，感覺可能沒有)
說人在外面，有加，稍後自行連絡</t>
  </si>
  <si>
    <t>Lulu</t>
  </si>
  <si>
    <t>0967399866</t>
  </si>
  <si>
    <t>35-65 / 桃竹苗 / 長輩休閒</t>
  </si>
  <si>
    <t>魏Ivy</t>
  </si>
  <si>
    <t>ivy.w2010@gmail.com
有地的參觀</t>
  </si>
  <si>
    <t xml:space="preserve">5月中旬後再聯絡參訪時間
因為要去國外,
基地在沖繩
參訪者:夫妻
提到,朋友買加拿大木屋在台灣組裝
</t>
  </si>
  <si>
    <t>已加LINE，基地是再巷弄裡，來時討論是否可以施作，
既有老屋想要拆，是兄弟的想規劃要重新拆除，
已有水有電，重拆說要重拉水電
3月下旬有空，確定可參訪時間會再聯絡</t>
  </si>
  <si>
    <t>曾建成</t>
  </si>
  <si>
    <t>0938899712</t>
  </si>
  <si>
    <t>這是有沒有合作的機會
我們有土地但不會經營休閒
露營法規太嚴格 農場又難申請 其他休閒產業比較適合
已查：地南投國姓
粉專 _ 北港村阿爸天養檸檬
https://www.facebook.com/share/r/1EDovDdtfP/</t>
  </si>
  <si>
    <t>地南投國姓，已有資材室，有自己經營小農場粉專，
問有沒有合作的機會，他提供土地，
已告知我們是鋼構木屋的廠商，
有推薦他可以先過來看及感受木屋氛圍與空間，
原地上有資材室想要拓寬讓2F多一個大露臺</t>
  </si>
  <si>
    <t>歐秀芬</t>
  </si>
  <si>
    <t>0916185594</t>
  </si>
  <si>
    <t>您好，有興趣了解，謝謝
我想請問：是不是要先有一塊地才能買行動屋</t>
  </si>
  <si>
    <t>目前沒有地再規劃，有考慮要買農地，
娘家在台中市區，說回有時間會來訪，
已加LINE，且先給可預約時間</t>
  </si>
  <si>
    <t>林珮甄</t>
  </si>
  <si>
    <t>0988295909</t>
  </si>
  <si>
    <t>您好，請問三院/雙院/湯屋需要的土地至少要幾坪？
時間都方便，請問2/25能否預約參觀？
目前考慮雙院或三院，想實際參觀後再評估，
和家人自住，已有建地約40坪，
但仍在準備購屋預算，請問購屋有分期付款的選項嗎？</t>
  </si>
  <si>
    <t>建地與他人持分(有40坪)，目前還在畫分，
資料有看，說3款的長寬都可以，有請他提供地號
會帶一位有興趣的朋友，有小狗(坐推車)</t>
  </si>
  <si>
    <t>范碧鈺</t>
  </si>
  <si>
    <t>0919921744</t>
  </si>
  <si>
    <t>問家具 床椅維修</t>
  </si>
  <si>
    <t>家具舊客(台北文昌店)
想訂製一個竹蓆床椅可以嗎?
長190*寬100*高42(可更高)
時間不緊急,已告知特殊訂製會比較不划算
要與老闆確認是否可訂做
2/26 已回絕處理(客人表示/希望落空)</t>
  </si>
  <si>
    <t>張珮珣</t>
  </si>
  <si>
    <t>0988731151</t>
  </si>
  <si>
    <t>預約參訪
今天或明天下午</t>
  </si>
  <si>
    <t>是幫公司確認蓋屋形式
先自己來參觀做確認</t>
  </si>
  <si>
    <t>蔡小姐</t>
  </si>
  <si>
    <t>0930089908</t>
  </si>
  <si>
    <t>問家具...可能要搬家所以詢問我們可否幫忙拆卸大型家具
說搬家公司不會拆,願意付工資 台北家具舊客
2/25許 已告知客人家具部門已關，
但說問過N家搬家公司沒有人會拆裝</t>
  </si>
  <si>
    <t>丘仲賓</t>
  </si>
  <si>
    <t>0932526363</t>
  </si>
  <si>
    <t>黃淑惠</t>
  </si>
  <si>
    <t>0933707011</t>
  </si>
  <si>
    <t>黃淑玲</t>
  </si>
  <si>
    <t>0963030711</t>
  </si>
  <si>
    <t>徐靖宜</t>
  </si>
  <si>
    <t>0955408185</t>
  </si>
  <si>
    <t>王美珍</t>
  </si>
  <si>
    <t>0988587332</t>
  </si>
  <si>
    <t>康先生</t>
  </si>
  <si>
    <t>0912008296</t>
  </si>
  <si>
    <t>住卓蘭，地也在卓蘭
有香港口音
2P參訪
3月平日假日都可安排，目前先詢問她2/27週五 是否有空</t>
  </si>
  <si>
    <t>自己沒有來看過(有推薦他要來)，
說家人負責建造的有來看過了，
目前有再考慮其他廠商</t>
  </si>
  <si>
    <t>HsiuYuan Wu</t>
  </si>
  <si>
    <t>0932934306</t>
  </si>
  <si>
    <t>王良文</t>
  </si>
  <si>
    <t>0902378562</t>
  </si>
  <si>
    <t>平日早上0900-1200
35-65 / 桃竹苗 / 長輩休閒</t>
  </si>
  <si>
    <t>成金春</t>
  </si>
  <si>
    <t>p:+88665749175</t>
  </si>
  <si>
    <t>電話錯誤</t>
  </si>
  <si>
    <t xml:space="preserve">許智城 </t>
  </si>
  <si>
    <t>0972704674</t>
  </si>
  <si>
    <t>來電話想預約明天兩位參觀</t>
  </si>
  <si>
    <t>目前已經有再看土地想要購買，
想規劃退休度假生活空間，
改4+1(四歲，已告知要顧好小朋友，不要跑跳怕受傷)，
和有興趣的家人(大哥)</t>
  </si>
  <si>
    <t>0919720833</t>
  </si>
  <si>
    <t>無地的參觀
可聯繫時間 皆可
新竹縣市有嗎？</t>
  </si>
  <si>
    <t>以為我們是有木屋含基地販售
暫時沒有規劃自己找地
已看過資料~,若要預約再跟我們說</t>
  </si>
  <si>
    <t>蔡慶勇</t>
  </si>
  <si>
    <t>0917768001</t>
  </si>
  <si>
    <t>已加Line ,寄資訊給蔡先生
待讀過資訊 ,晚點再撥給他</t>
  </si>
  <si>
    <t>卓承哲</t>
  </si>
  <si>
    <t>0989473509</t>
  </si>
  <si>
    <t>平日6點後方便通話,不然就是周六
上班時間不方便電話
已告知有寄簡訊
屋款&amp;參訪資訊</t>
  </si>
  <si>
    <t>潘大雄</t>
  </si>
  <si>
    <t>0986178775</t>
  </si>
  <si>
    <t>已告知有寄簡訊
屋款&amp;參訪資訊
客人想先看過資料再聯絡</t>
  </si>
  <si>
    <t>Irene Chen</t>
  </si>
  <si>
    <t>0973533799</t>
  </si>
  <si>
    <t>開車中,不方便長談</t>
  </si>
  <si>
    <t>School LO</t>
  </si>
  <si>
    <t>0930977104</t>
  </si>
  <si>
    <t>黃琦雯</t>
  </si>
  <si>
    <t>0953260688</t>
  </si>
  <si>
    <t>Yixuan Chen</t>
  </si>
  <si>
    <t>0938367771</t>
  </si>
  <si>
    <t>吳金鼎</t>
  </si>
  <si>
    <t>0928779316</t>
  </si>
  <si>
    <t>劉淼鑫</t>
  </si>
  <si>
    <t>0968719068</t>
  </si>
  <si>
    <t>子良</t>
  </si>
  <si>
    <t>0917771093</t>
  </si>
  <si>
    <t>楊綠芬</t>
  </si>
  <si>
    <t>0933249938</t>
  </si>
  <si>
    <t>桃園人
在日月潭附近有一塊基地
想蓋木屋,先來參觀了解
參觀的話平日2或4比較方便</t>
  </si>
  <si>
    <t>黃昱騰</t>
  </si>
  <si>
    <t>0939367469</t>
  </si>
  <si>
    <t>有幾塊地打算購買&amp;放置木屋
台北人,蠻常下台中
已告知要提前預約參訪</t>
  </si>
  <si>
    <t>蕭子芬</t>
  </si>
  <si>
    <t>0919302605</t>
  </si>
  <si>
    <t>您好，有好友推薦紅屋，有問題想請教
1.組合屋需向政府單位申請建照或跑什麼流程？
2.以都蘭衝浪小屋為基準，完整流程到整地及組合屋安置需花費多少錢，坪數多少？
3.我在台東縣東河鄉</t>
  </si>
  <si>
    <t>2P夫妻
住：新竹
地：台東東河 (東河肉包附近) ，建地 無水電
遠親推薦紅屋(應該沒有蓋)
時間：先生再過幾年退休，目前正在看要用哪種房子
不想蓋太大間，(考慮RC後來放棄 太大間無用又貴)
表妹 室內設計／姪女 建築設計</t>
  </si>
  <si>
    <t>葉淑微</t>
  </si>
  <si>
    <t>0937723968</t>
  </si>
  <si>
    <t>請問明天可ㄘ參觀嗎？</t>
  </si>
  <si>
    <t>假日較方便參觀
在line跟我們說人數(確認小孩時間)</t>
  </si>
  <si>
    <t>謝惠雅</t>
  </si>
  <si>
    <t>0988142381</t>
  </si>
  <si>
    <t>有地的參觀
請撥電話～隨時可接
想和先生預約看看 有山坡地……在后里 車子上不去 今年50歲了，想給自己一個目標，可以有更好的念想，好好生活 *可以的時間週二、六早上 非常感謝～</t>
  </si>
  <si>
    <t>后里人,上午較有空</t>
  </si>
  <si>
    <t>詐騙集團</t>
  </si>
  <si>
    <t>0917878778</t>
  </si>
  <si>
    <t>有地的參觀
h910285639@gmail.com
詐騙集團的手法</t>
  </si>
  <si>
    <t>梁瓊文</t>
  </si>
  <si>
    <t>0928042108</t>
  </si>
  <si>
    <t>高雄人, 看到圖片覺得很漂亮點進來.詢問是賣屋還是休閒業者/考慮要買地/沒看到簡訊有請小姐家官方LINE</t>
  </si>
  <si>
    <t>孫慧芳</t>
  </si>
  <si>
    <t>0933442168
04-7235754</t>
  </si>
  <si>
    <t>彰化，電話要+04</t>
  </si>
  <si>
    <t>參訪：2P 女+母
找地中：南投，農林地，240坪，正在看 但這塊會有水窪的平地
工作：南投
住：彰化
要說服媽媽一起住(媽想住彰化)</t>
  </si>
  <si>
    <t>黃品綺</t>
  </si>
  <si>
    <t>0971209773</t>
  </si>
  <si>
    <t xml:space="preserve">詢問村民計畫
台中人
週六較方便安排參觀
</t>
  </si>
  <si>
    <t>Vernal Chao</t>
  </si>
  <si>
    <t>0958333098</t>
  </si>
  <si>
    <t>Wan Chun Chang</t>
  </si>
  <si>
    <t>0910285526</t>
  </si>
  <si>
    <t>0937001953</t>
  </si>
  <si>
    <t xml:space="preserve">今天下午可以參觀嗎?
</t>
  </si>
  <si>
    <t>忙碌中 會用LINE@跟我們連繫
3/11，3位，1位2歲小孩，已告知收費及注意事項 。</t>
  </si>
  <si>
    <t>巢瓊霞</t>
  </si>
  <si>
    <t>0928113373</t>
  </si>
  <si>
    <t>住：新北山區
1人住
尚未開始找地，喜歡山區，可能會有很多產業道路</t>
  </si>
  <si>
    <t>王鈜</t>
  </si>
  <si>
    <t xml:space="preserve">0968280630
</t>
  </si>
  <si>
    <t>我們這邊是海軍基隆後勤支援指揮部
想洽詢辦理團體參訪事宜
是否有專人可以接洽
時間0318上午</t>
  </si>
  <si>
    <t>30人參訪
對木屋沒有興趣，只是想找貨櫃屋的廠商，聽到要收費
第二接洽人 陳先生02-24286783、0920956568
後續真的有想要再請他自行來電</t>
  </si>
  <si>
    <t>劉小姐</t>
  </si>
  <si>
    <t>0911128025</t>
  </si>
  <si>
    <t>可以預約今天下午參觀嗎?
我自己看就可以
台中人,假日較方便安排參觀</t>
  </si>
  <si>
    <t>目前沒有基地
願意來現場參觀感受
要與另外2位朋友喬參訪時間
會在line跟我們說(尚未加line)</t>
  </si>
  <si>
    <t>現場</t>
  </si>
  <si>
    <t>廖小姐</t>
  </si>
  <si>
    <t>0932635265</t>
  </si>
  <si>
    <t>7年前看過青山
現場跑來問能否參觀</t>
  </si>
  <si>
    <t>以前的家具客戶，有錢
純粹想參觀，沒有太多要蓋的想法。
要來才會自己來電預約</t>
  </si>
  <si>
    <t>傅小姐</t>
  </si>
  <si>
    <t xml:space="preserve"> 0988606896</t>
  </si>
  <si>
    <t>你好，想請問費用，謝謝
時間比較彈性，如果在忙會告知謝謝
貓狗救援</t>
  </si>
  <si>
    <t>有一塊300坪建地，還在賣(完全合法鋼構屋，但因為救援貓狗，所以還是被鄰居一直檢舉)
把貓狗救援視為自己的使命 (要帶著走)
住桃園，找桃園 龍潭 or 北埔
找一塊 沒有鄰居的地
主要好奇合掌屋 但需求坪數300坪
已有看 龍潭 有100坪 相連(吉村農地) 含水電，但怕基地太小，不合法，鄰居又檢舉麻煩
建議他找大塊農地，沒有鄰居的，就不用申請 麻煩
馬廄民宿(https://share.google/FSGLLpecmvo93TWjE)
有本職(馬廄民宿)，才收養貓狗
紅屋觀察很久
問朋友能不能開車載 3/17二or3/19四</t>
  </si>
  <si>
    <t>馮太太</t>
  </si>
  <si>
    <t>0926106785</t>
  </si>
  <si>
    <t>謝玉英        0926248537</t>
  </si>
  <si>
    <t>基督徒，推測已80歲
地：屏東楓港 (比枋寮更南邊，載一公里就轉到台東的地方) 祖產，150坪+ 農地，水電尚無 在申請分割中
有看過其他木屋廠商(從越南、東南亞進口木材不喜歡)、貨櫃組合屋廠商不喜歡(但又有價格考量)
小孩已經60歲，傳紅屋的連結給老爸媽看
3/17 下午兩點 老夫妻 確認中</t>
  </si>
  <si>
    <t>0955867338</t>
  </si>
  <si>
    <t>請問預約行程是怎麼樣的方式？
(iphone 語音)</t>
  </si>
  <si>
    <t xml:space="preserve">不是退休後才想使用,但是我目前沒有基地
</t>
  </si>
  <si>
    <t>宋小姐</t>
  </si>
  <si>
    <t>0937763198</t>
  </si>
  <si>
    <t>請問價格是如何計算呢？</t>
  </si>
  <si>
    <t>5點後接送小孩比較不方便
參訪：1+1(小孩3歲很穩定)P
住：台中
找地：東勢，本周要去看地
小孩，華德福
住：只有自己跟小孩
目標、短2院or展示屋移轉
理念 A~</t>
  </si>
  <si>
    <t>廖涓茜</t>
  </si>
  <si>
    <t>0919058070</t>
  </si>
  <si>
    <t>請問建築費用怎算</t>
  </si>
  <si>
    <t>A 三分農地
嘉義 梅山 斷層，想了10年
現在每天要15分鐘往返 有時候農忙12點才回家，也只是睡個覺，不喜歡透天
簡單的住的地方，夫妻兩人 (極簡生活)
工作：水果大盤商(工作在附近) 水果集貨場 橘子場
假日佛教課程
最近剛好農忙結束下周可約
3/17 19 這兩日詢問中</t>
  </si>
  <si>
    <t>0981269240</t>
  </si>
  <si>
    <t>海悅廣告股份有限公司
代銷公司 要做展示屋 (客製)
之前已有同事來看過，若確定有需求想要現場參訪+洽談再請他主動聯繫我們</t>
  </si>
  <si>
    <t xml:space="preserve">唐先生 </t>
  </si>
  <si>
    <t>0978142388</t>
  </si>
  <si>
    <t>老闆您好，我想了解合掌屋範例的室內坪數及不含家居設備、軟裝、家電…等，的預算大約落在什麼區間</t>
  </si>
  <si>
    <t>已有看資料，預計3月底4月初來訪，下周會提供想安排參訪的時間!</t>
  </si>
  <si>
    <t>0930381388</t>
  </si>
  <si>
    <t>了解一下我們收300是純活動，還是在賣木屋做木屋參訪，要來訪在來電。
已告知資訊看完，我們會再安排人員去電聯繫。</t>
  </si>
  <si>
    <t>找露營車，已+LINE@，先看資料</t>
  </si>
  <si>
    <t>陳金濶</t>
  </si>
  <si>
    <t>0920472761</t>
  </si>
  <si>
    <t>抗強風嗎?
澎湖有服務嗎?</t>
  </si>
  <si>
    <t>3/17未接,軍3/17有回電.3/18人現在在宜蘭有傳過WIX.地在澎湖54P想規劃30P.有提到法規怎麼處裡.若有木屋預計希望暑假動工.要來時會再聯絡. 不會加line@</t>
  </si>
  <si>
    <t>張嘉麟</t>
  </si>
  <si>
    <t>0908601751</t>
  </si>
  <si>
    <t>參訪要預約？ 先+LINE@</t>
  </si>
  <si>
    <t>LINE@
1-2年後規劃，建地 21坪(都計內)
沒有緊急規劃，建議他趕快排時間來看</t>
  </si>
  <si>
    <t>黃奕濬</t>
  </si>
  <si>
    <t>0900110099</t>
  </si>
  <si>
    <t>請問一間大約多少錢</t>
  </si>
  <si>
    <t>可能是風水老師?
已有看資料，預計3月底4月初來訪，下周會提供想安排參訪的時間!</t>
  </si>
  <si>
    <r>
      <rPr/>
      <t xml:space="preserve">二手
彰化縣福興鄉秀厝街
彰化縣福興鄉秀安段(0335)1563地號
陳通紀念花園
</t>
    </r>
    <r>
      <rPr>
        <color rgb="FF1155CC"/>
        <u/>
      </rPr>
      <t>https://share.google/8VMiAb6e9CsG5udcw</t>
    </r>
  </si>
  <si>
    <t>第一通電話，正在簽約(千啥不知道)
陳通的兒子，幫老爸蓋的紀念園區
住：台北
地：彰化縣福興鄉秀安段(0335)1563地號
陳通紀念花園
https://share.google/8VMiAb6e9CsG5udcw
不一定要展示屋，4月初~4月中會回彰化，可安排平日來訪</t>
  </si>
  <si>
    <t>何昕曇</t>
  </si>
  <si>
    <t>0972010195</t>
  </si>
  <si>
    <t>想詢問是否可以參觀后土村，謝謝</t>
  </si>
  <si>
    <t>住：高雄
地：家裡有空地 建地，屏東 枋寮
參訪：家人
明日確認是否要預約本週六3/14</t>
  </si>
  <si>
    <t>吳之琳</t>
  </si>
  <si>
    <t>0906950910</t>
  </si>
  <si>
    <t xml:space="preserve">有興趣了解，
吳之琳
0906950910
基地
雲林縣古坑鄉山峰國小旁
經由和家人討論後決定還是不考慮展示屋。
你好，我想預約4/3早上。現場參訪、看看各個規格的紅屋。
</t>
  </si>
  <si>
    <t>無法接聽
教職業,上班可能無法電話
想了解長3院
居住人:老父母+自己+孩子
參訪:上述4位</t>
  </si>
  <si>
    <t>0933012859</t>
  </si>
  <si>
    <t>请問有更详细內容嗎</t>
  </si>
  <si>
    <t>新店的基地(林地),有水電
放泳池(沒有下挖)兩天就有人連絡要勘查了,因為泳池沒有下挖,後來就沒有被罰,擔心木屋放上去也會被空拍檢舉,會不會難處理
兩年前參觀過,要來了解(先與先生商量)
已經給時間</t>
  </si>
  <si>
    <t>呂居諾</t>
  </si>
  <si>
    <t>0919748418</t>
  </si>
  <si>
    <t xml:space="preserve">請問尺寸大小。謝謝。
請問吊裝及運費？
在東勢上城區新城國小邊。謝謝。
</t>
  </si>
  <si>
    <r>
      <rPr>
        <rFont val="Arial"/>
        <color rgb="FFFF0000"/>
      </rPr>
      <t>尚未參訪過木屋</t>
    </r>
    <r>
      <rPr>
        <rFont val="Arial"/>
        <color theme="1"/>
      </rPr>
      <t>(感覺蠻忙碌)
或是動力不足??
說在跟我們約時間
盡力邀約參訪中</t>
    </r>
  </si>
  <si>
    <t>崔小姐</t>
  </si>
  <si>
    <t>0986863597</t>
  </si>
  <si>
    <t>花蓮國福街</t>
  </si>
  <si>
    <t xml:space="preserve">人旅居於國外~不確定何時回台灣(說在幫我們告知)
電話接起來是崔小姐的親人~男生
</t>
  </si>
  <si>
    <t>駱小姐</t>
  </si>
  <si>
    <t>0963085060</t>
  </si>
  <si>
    <t>請問面積幾坪？謝謝</t>
  </si>
  <si>
    <t>參訪者：夫妻
居住：?
預算：?
用途：現在農舍要蓋，在旁邊做二工，給婆婆跟姑姑住。2房、1衛浴。
基地：桃園／地目：農地 ／面積：756+
水電：農舍／基地現況：尚未動工
取得方式：
合法性：木屋不申請／完工時間：等農舍蓋好 (2月底建築師交圖)
認識管道：好幾年前跟建築師來聊過木構(餐廳)，20幾萬/一評，太貴不做／看過廠商：日式輕鋼構，二工看中紅屋快 可拆 居家
小家園理念傳達： yes
涵3/14 
申請休閒農莊()正在來回與建築師規劃中,種樹&amp;園藝
預計明年初才會放入房子,想要17坪屋款,
2025來參觀過,不過還沒有看過17坪的</t>
  </si>
  <si>
    <t>葉坤益</t>
  </si>
  <si>
    <t>0928223538</t>
  </si>
  <si>
    <t>住：桃園市桃園區</t>
  </si>
  <si>
    <t>職業：葉代書
要先參訪</t>
  </si>
  <si>
    <t>賴志誠</t>
  </si>
  <si>
    <t>0975587151</t>
  </si>
  <si>
    <t>請問這3院的總面積？</t>
  </si>
  <si>
    <t>兩年前參觀過木屋
有基地可規劃,正在評估
有意願來參觀新款~
在line時間給客戶</t>
  </si>
  <si>
    <t>林亞蒨</t>
  </si>
  <si>
    <t>0975633688</t>
  </si>
  <si>
    <t xml:space="preserve">能再詳細看一下嗎
方便給我長、寬尺寸嗎？
</t>
  </si>
  <si>
    <r>
      <rPr>
        <rFont val="Arial"/>
        <color rgb="FFFF0000"/>
      </rPr>
      <t>沒有來看過木屋~</t>
    </r>
    <r>
      <rPr>
        <rFont val="Arial"/>
        <color theme="1"/>
      </rPr>
      <t xml:space="preserve">
要來參訪會需要買高鐵車票
下周再跟我們約時間
朋友有買我們木屋</t>
    </r>
  </si>
  <si>
    <t>陳志文</t>
  </si>
  <si>
    <t>0909333738</t>
  </si>
  <si>
    <t>https://maps.app.goo.gl/Nw2NcAqC2V2qghvG6?g_st=al</t>
  </si>
  <si>
    <t>"加榕line，0314出國
3年前有跟我們連繫過(不喜歡自己測量基地的客戶，可接受場勘)
回國後會丟土地資訊給我
目前這塊：祖產、都計內、總共有兩塊要確認哪一塊是他的地號"</t>
  </si>
  <si>
    <t>盧先生</t>
  </si>
  <si>
    <t>0911653688</t>
  </si>
  <si>
    <t>有釋出展示屋的外觀及尺寸嗎？</t>
  </si>
  <si>
    <r>
      <rPr>
        <rFont val="Arial"/>
        <color rgb="FFFF0000"/>
      </rPr>
      <t xml:space="preserve">尚未看過木屋
</t>
    </r>
    <r>
      <rPr>
        <rFont val="Arial"/>
        <color theme="1"/>
      </rPr>
      <t>基地在台南面寬只有4.2米
也有別塊基地,是農地,只是怕法規的問題
盡力邀約參訪中
詢問外觀尺寸
4/11</t>
    </r>
  </si>
  <si>
    <t>林怡君</t>
  </si>
  <si>
    <t>0912382848</t>
  </si>
  <si>
    <t>能去貴司參觀嗎？須付費嗎？</t>
  </si>
  <si>
    <t>林小姐有基地~
說,買木屋的金額不會是自己而已,有幾位需要一起了解
因為有幾位朋友一起來參觀,大家時間要喬一下
4/11 語音</t>
  </si>
  <si>
    <t>孫語婕</t>
  </si>
  <si>
    <t>0905282701</t>
  </si>
  <si>
    <t>六龜區公所鄰邊建地59坪
約幾坪
可住多久
請問單院能否架3院2樓</t>
  </si>
  <si>
    <t>本週六沒空，之後再約平日時間
b
展示品出清，2年前看過
想做為自宅，建照問題、兩額外搭建2樓，都暫時先不回
4/11 最近很忙,有想安排參觀
先傳資訊&amp;照片</t>
  </si>
  <si>
    <t>余翡苓</t>
  </si>
  <si>
    <t>0921603377</t>
  </si>
  <si>
    <t>嚮往這種生活
有問到客人買了後也二手轉賣嗎?有案例嗎?
兩三年前來看過
有機會想再次參訪
盡力邀約中
4/11 客人說用LINE聯絡
客人抱怨太久聯絡我
5/22 榕，3月 約到4月 都沒約成功，客人只說習慣用LINE@ 聯絡，若無回復就先暫緩</t>
  </si>
  <si>
    <t>周靚芬</t>
  </si>
  <si>
    <t>0919329720</t>
  </si>
  <si>
    <t>請問你們是在台中哪裡？
想了解一下</t>
  </si>
  <si>
    <t xml:space="preserve">
住: 桃園
基地: 桃園大園(公婆家留下的)
決策: 夫妻兩
職業: 退休化學老師
工作: 目前教一些大自然療癒身心的課程
預算: 僅說需精打細算
法規: 怕,有疑慮
4/16
可能要約端午節後(學生課程告一個段落)
會專程來體驗木屋夏日室內的感受
參訪: 夫妻+ 孩子
6/9涵  最近忙,時間可約會line或電話</t>
  </si>
  <si>
    <t>黃瑞娟</t>
  </si>
  <si>
    <t>0932988321</t>
  </si>
  <si>
    <t>請問有詳細照片嗎？房屋坪數？</t>
  </si>
  <si>
    <t>跟先生自己開公司
時間自由~但是要跟先生喬時間
台南人
尚未看過實體木屋
4/11語音信箱</t>
  </si>
  <si>
    <t>陳月霞</t>
  </si>
  <si>
    <t>0916100799</t>
  </si>
  <si>
    <t>請聯絡</t>
  </si>
  <si>
    <t>先生重聽
是否要安排來看現場會再聯繫
住台北，有地，車庫要拆除，已知道尺寸7.5M*6M 要去量尺寸~
2-3年前有來看過</t>
  </si>
  <si>
    <t>楊沛諭</t>
  </si>
  <si>
    <t>0935887715</t>
  </si>
  <si>
    <t xml:space="preserve">
基地在竹山（到竹山交流道車程10分鐘）
地勢平坦</t>
  </si>
  <si>
    <t>以前家具客人
還沒看過木屋
還要跟老公喬參觀時間
竹山/農林用地1000坪
在line我們
3/17先生比較忙~時間難確認
在跟我們提前約參訪
4/11語音</t>
  </si>
  <si>
    <t>曾太太</t>
  </si>
  <si>
    <t>0972382900</t>
  </si>
  <si>
    <r>
      <rPr>
        <rFont val="Arial"/>
        <color theme="1"/>
      </rPr>
      <t xml:space="preserve">2..3年前看過,
基地在嘉義民雄農(700平)建地(400平)
是因為看到3院展品出清消息
想問可申請合法嗎?
週六才方便安排到現場
</t>
    </r>
    <r>
      <rPr>
        <rFont val="Arial"/>
        <color rgb="FFFF0000"/>
      </rPr>
      <t xml:space="preserve">
LINE 沒有搜尋到此人</t>
    </r>
  </si>
  <si>
    <t>蔡博勝</t>
  </si>
  <si>
    <t>0976824287</t>
  </si>
  <si>
    <t>詢問出清款木屋: 全設備嗎?要申請建照嗎?
蔡博勝 0976824287
新北市淡水區樹林口</t>
  </si>
  <si>
    <r>
      <rPr>
        <rFont val="Arial"/>
        <color theme="1"/>
      </rPr>
      <t xml:space="preserve">自己&amp;老父親使用,土地為共同持有(3人)
</t>
    </r>
    <r>
      <rPr>
        <rFont val="Arial"/>
        <color rgb="FFFF0000"/>
      </rPr>
      <t>尚未來看過木屋</t>
    </r>
    <r>
      <rPr>
        <rFont val="Arial"/>
        <color theme="1"/>
      </rPr>
      <t>,嫌路程遙遠,
如果要安排是週四較合適
下周在與客人確認可參觀日期
4/11 未接</t>
    </r>
  </si>
  <si>
    <t>吳曄真</t>
  </si>
  <si>
    <t>0913977225</t>
  </si>
  <si>
    <t>給我兩天時間，我想一下好嗎？
看空間是否適合
含基礎是嗎？
水電施工</t>
  </si>
  <si>
    <t>上午打過去在上課
會再跟我們聯繫
是室內設計師,幫客戶了解
吳小姐回覆:客戶目前不計劃買木屋，將來有機會再合作哦，謝謝您！</t>
  </si>
  <si>
    <t>邱雨桐</t>
  </si>
  <si>
    <t>0922931111</t>
  </si>
  <si>
    <t>請問這個如被列入違章，該能怎麼處理？
請下午三點後再來電</t>
  </si>
  <si>
    <t>打過去馬上說忙
約時間 下周三4/15 下周五4/17，下午14:30以後可以電話聯繫
苗栗
一定要合法,口氣態度很強硬
希望我們講清楚到底能否合法?
有相關苗栗農地資料參考?
去一趟結果不能合法,不值得花這個時間</t>
  </si>
  <si>
    <t>楊豐兆</t>
  </si>
  <si>
    <t>0955884078</t>
  </si>
  <si>
    <t>這只能在建地或是足坪農地才可以蓋吧
我有農地想蓋，但這沒辦法，因為不足坪，至少要756.25坪，不然我就買了</t>
  </si>
  <si>
    <t>2023/9/21已電話聯繫過，但尚未來訪
客戶基地宜蘭三星農地，自己已有透天，所以看木屋主要是想作農舍。(不確定比例上還能否申請)
想要做民宿，但又很擔心法規問題，基地是家族產，還有兩位堂弟擁有繼承權，故兩位堂弟是股東，都要同意才可能執行，地上已經有農舍，隔一條馬路對面的地也是自家的</t>
  </si>
  <si>
    <t>0938612067</t>
  </si>
  <si>
    <t xml:space="preserve">我要知道幾坪，什麼木頭？包括安裝费嗎？
</t>
  </si>
  <si>
    <t>人在國外
留言:之後如果有回台灣，可以先跟我們說一聲～幫您安排時間現場看，會更清楚(傳照片)</t>
  </si>
  <si>
    <t>陳國誼MAX</t>
  </si>
  <si>
    <t>0963330921</t>
  </si>
  <si>
    <t>宜蘭縣政中心建地
國外出差明天回國
能合法申請嗎</t>
  </si>
  <si>
    <t>下周二4/14確認時間
想安排跟太太一起參訪(意願高)
台北工作
基地: 宜蘭
需求:假日屋
4/14因為基地水電還沒處理完
再加上最近比較忙碌
我們有要安排參訪會再來電</t>
  </si>
  <si>
    <t>許阿田</t>
  </si>
  <si>
    <t>0928234887</t>
  </si>
  <si>
    <t>無地的參觀
想請教在現有農地温室內蓋木屋.
可聯繫時間 3/14上午9點</t>
  </si>
  <si>
    <t>參訪：需要小孩載
林宏田 0928493369 (小孩)林先生匯款完成
好幾年看過
基地：桃園？</t>
  </si>
  <si>
    <t>楊雅琇</t>
  </si>
  <si>
    <t>0933628753</t>
  </si>
  <si>
    <t>您好 可以提供坪數與尺寸嗎? 謝謝
我目前並沒有合適的土地 ...</t>
  </si>
  <si>
    <t>來看過兩次了
因為要找地需要知道我們的屋款尺寸</t>
  </si>
  <si>
    <t>徐莉玲</t>
  </si>
  <si>
    <t>0928580610</t>
  </si>
  <si>
    <t>去年8月來參觀過~有位小姐子榕介紹的
想了解出清屋款,有基地(還沒整地可以嗎?)
也想了解合掌屋
3/14週六剛好回台中~可以安排嗎?
新竹縣關西鎮</t>
  </si>
  <si>
    <t>想約0314.1100現場了解
已告知可先場勘。</t>
  </si>
  <si>
    <t>蕭文勇</t>
  </si>
  <si>
    <t>0956632565</t>
  </si>
  <si>
    <r>
      <rPr/>
      <t xml:space="preserve">早安，請問有詳細資料？照片、配件，謝謝
花蓮壽豐
</t>
    </r>
    <r>
      <rPr>
        <color rgb="FF1155CC"/>
        <u/>
      </rPr>
      <t>https://maps.app.goo.gl/eUJUdUSbJks12nbq9?g_st=il</t>
    </r>
  </si>
  <si>
    <t>問問而已，以為是6進大院。2025有基地資料</t>
  </si>
  <si>
    <t xml:space="preserve">林憶華 </t>
  </si>
  <si>
    <t>0952520876</t>
  </si>
  <si>
    <t>最低多少錢?
請我們直接跟先生聯絡~才不用轉述
0939267277曾先生</t>
  </si>
  <si>
    <t>有基地、水電了
請我們直接跟先生聯絡~才不用轉述
0939267277曾先生
與先生兩年前參觀過
有兩三塊基地,木屋主要想做招待所
3/17 曾先生先了解價格區間~就說自己在評估看看
匆忙掛電話,看似沒有要積極了解,已傳美照片給他們</t>
  </si>
  <si>
    <t>許庭菀</t>
  </si>
  <si>
    <t>0953006321</t>
  </si>
  <si>
    <t>台東長濱</t>
  </si>
  <si>
    <t>3年前已參訪過, 想放在新買的地上,還有些準備期,</t>
  </si>
  <si>
    <t>蔡奇玲</t>
  </si>
  <si>
    <t>0953707008</t>
  </si>
  <si>
    <t>清水基地 還在整地,預計會填土150cm,因為是填新土,蓋木屋會有甚麼要注意嗎?
農地,
蔡小姐說114年7-8月份來看過此款出清屋</t>
  </si>
  <si>
    <t>清水 90坪建地，基地小鄰路，不喜歡水泥太多
但最近土方問題大，也還在談填土價格中
已+榕LINE，屬於慢慢談客戶
參訪：11407~11408
講話很慢(感覺也是動作很慢的人)</t>
  </si>
  <si>
    <t>蘇建豪</t>
  </si>
  <si>
    <t>0912032722</t>
  </si>
  <si>
    <t>能了解土地需具備什麼條件嗎？</t>
  </si>
  <si>
    <t>2+3(1Y6Y11Y)p 蘇建豪 0912032722 (收費五位)
無地，疫情前就想看，現在還沒有地</t>
  </si>
  <si>
    <t>陳文熙</t>
  </si>
  <si>
    <t>0972895389</t>
  </si>
  <si>
    <t>基地在田尾鄉公路花園附近。明天早上是否可以看屋。</t>
  </si>
  <si>
    <t>沒參訪過的客戶，直接看展示屋移轉(客戶說他心裡有個底)
住：台中
地：田尾鄉公路花園附近
0314現場，客戶真的不太懂，說後續會再約</t>
  </si>
  <si>
    <t>鄭亦修</t>
  </si>
  <si>
    <t>0972120369</t>
  </si>
  <si>
    <t>基地位置：台東市知本段7458號, 有農用水電</t>
  </si>
  <si>
    <t>僅網路看過原比較居林, 約家人來, 提到法規,滿積極</t>
  </si>
  <si>
    <t>謝雅穎</t>
  </si>
  <si>
    <t>0922208304</t>
  </si>
  <si>
    <t>詢問周末是否可以參觀</t>
  </si>
  <si>
    <t>彰化</t>
  </si>
  <si>
    <t>邱梅鳳</t>
  </si>
  <si>
    <t>0928978733</t>
  </si>
  <si>
    <t>21號星期六上午帶朋友去看可否</t>
  </si>
  <si>
    <t>南投 魚池 木屋舊客,帶妹妹來看展品移轉3院
妹妹基地在隔壁,有水有電,全額付款OK
3P(邱梅鳳夫妻+妹妹 妹妹的先生在大陸工作，無法來)
3/19 榕 約展示屋移轉</t>
  </si>
  <si>
    <t>張文放</t>
  </si>
  <si>
    <t>0963182555</t>
  </si>
  <si>
    <t>朋友告知他我們有出清屋款
有土地&amp;水電
台中大坑129縣道11公里處</t>
  </si>
  <si>
    <t>已退休
平常都在大坑這塊地休閒
與太太喬時間過去 平日可以安排
想要申請合法(文件正在申請中)
官line給定位點:https://maps.app.goo.gl/dioDYhd69s6vFafC7
台中市北屯區東山路二段176-4號</t>
  </si>
  <si>
    <t>劉熾營</t>
  </si>
  <si>
    <t>0929881580</t>
  </si>
  <si>
    <t>東勢人，現在住高雄，本周剛好來東勢想參訪
有老宅921倒塌 想要重蓋
參訪：夫妻</t>
  </si>
  <si>
    <t>吳經文</t>
  </si>
  <si>
    <t>0912016707</t>
  </si>
  <si>
    <t>問,是否有可以住宿2天可以體驗?
問參觀地址,大眾運輸可以到嗎?</t>
  </si>
  <si>
    <t>在苗栗有2塊地
其中一處已有在住,
另一基地要蓋起來作為招待所
想蓋雙層樓,提議先來看過在討論
有看過居林
參觀: 夫妻
4/21 再撥過去跟吳先生確認參觀時間
4/21未接2通 已留言</t>
  </si>
  <si>
    <t>0918016259</t>
  </si>
  <si>
    <t>您好
請問週二賞屋的時段是幾點到幾點呢？
方便聯繫的時間是
週一到週五10：30-14：30
再麻煩您下週來電</t>
  </si>
  <si>
    <t>4/21 說明天11點到下3點前電話可聯絡
已經在傳最新資訊給林小姐(林很開心終於接到電話)</t>
  </si>
  <si>
    <t>陳若穎</t>
  </si>
  <si>
    <t>0933810243</t>
  </si>
  <si>
    <t>台中清水，何時可參觀</t>
  </si>
  <si>
    <t>原打算清明連假帶父母來參觀木屋
時間要在與家人橋看看,
貼美照片&amp;時間給陳小姐
4/11未接</t>
  </si>
  <si>
    <t>曾泰睿</t>
  </si>
  <si>
    <t>0929357577</t>
  </si>
  <si>
    <t>嘉義縣民雄鄉民權路40之88號,想了解屋子的長寬高度
星期六想去參觀</t>
  </si>
  <si>
    <t>電話有誤 空號</t>
  </si>
  <si>
    <t>莊才昇</t>
  </si>
  <si>
    <t>0933254679</t>
  </si>
  <si>
    <t>桃園市中壢區內定二十街127號 附近。</t>
  </si>
  <si>
    <t>鍾岱蓉</t>
  </si>
  <si>
    <t>0910628953</t>
  </si>
  <si>
    <t>有興趣
你們先來我這邊看看能不能施工,等3月26日再開始</t>
  </si>
  <si>
    <r>
      <rPr>
        <rFont val="Arial"/>
        <color theme="1"/>
      </rPr>
      <t xml:space="preserve">兩年前關注過我們
朋友推薦他去龍潭農田(很多組合屋方式)
但是鍾小姐沒有去了解
參觀: 自己 (兒子可能要約看看)
基地: 中壢
</t>
    </r>
    <r>
      <rPr>
        <rFont val="Arial"/>
        <color rgb="FFFF0000"/>
      </rPr>
      <t>預算:40~400萬(鍾小姐說中價位可接受)</t>
    </r>
    <r>
      <rPr>
        <rFont val="Arial"/>
        <color theme="1"/>
      </rPr>
      <t xml:space="preserve">
電話中提到資訊:
1.基地怪手能進去
2.長型基地
3.土壤不能灌水泥(力邀來參觀實體先了解架構)
4/18參訪日未到,去電也未接未回電</t>
    </r>
  </si>
  <si>
    <t>張美紅</t>
  </si>
  <si>
    <t>0921046026</t>
  </si>
  <si>
    <t>田中鎮中州路一段144號</t>
  </si>
  <si>
    <t>台中.只想看展示屋, 不想參加團體參觀,2/22後要出國, 可以約時間純看展示屋</t>
  </si>
  <si>
    <t>林勝正</t>
  </si>
  <si>
    <t>0918195616</t>
  </si>
  <si>
    <t>有傳基地位置圖片，看不太懂</t>
  </si>
  <si>
    <t>去電,他說搞錯沒有啊 可能沒聽懂 先這樣</t>
  </si>
  <si>
    <t>張芳榛</t>
  </si>
  <si>
    <t>0978156656</t>
  </si>
  <si>
    <t>基地面積約49坪
基地面積面寬約7米左右
基地深度約24米</t>
  </si>
  <si>
    <t>和兒子商量一下預約日期. 3/18取消</t>
  </si>
  <si>
    <t>(家具裝潢)
劉芸榛</t>
  </si>
  <si>
    <t>0912398518</t>
  </si>
  <si>
    <t>幾坪？3/18沒有要買</t>
  </si>
  <si>
    <t>黃盈豪</t>
  </si>
  <si>
    <t>0920898108</t>
  </si>
  <si>
    <t>出售展示屋要去哪裡看？</t>
  </si>
  <si>
    <t>之前已經有看過了,有詢問價格是否含吊運. 若有需要再聯繫</t>
  </si>
  <si>
    <t>王人庠</t>
  </si>
  <si>
    <t>0932983164</t>
  </si>
  <si>
    <t>沒有參觀過
想了解出清3院細節</t>
  </si>
  <si>
    <t>台南人
基地在新竹橫山
會跟太太一同先來參觀了解
跟客人約3/17~等待確認太太的時間
會帶一隻中型狗狗</t>
  </si>
  <si>
    <t>張珮瑤</t>
  </si>
  <si>
    <t>0922556363</t>
  </si>
  <si>
    <t>您好；
張小姐
0922-556-363
想預約參觀：3/17 (二) </t>
  </si>
  <si>
    <t>嘉義人
尚未有基地,了解參訪流程
先過來了解</t>
  </si>
  <si>
    <t>陳裕旻</t>
  </si>
  <si>
    <t>0921986065</t>
  </si>
  <si>
    <t>請問目前政府法規，自行購買農地已經無法變更為建地。那如何買地放紅屋？
3/19來電, 問法規, 目前無地,已有看過資料.  下午4.5點可回電
后里</t>
  </si>
  <si>
    <t>約參訪OK
3/26再連絡(3/25在忙工作)
4/11 接通直接說不用掛電話</t>
  </si>
  <si>
    <t>李美珠
吳太太</t>
  </si>
  <si>
    <t>0932390554</t>
  </si>
  <si>
    <t xml:space="preserve">朋友在宜蘭有千坪農地可以給我們蓋一棟木屋
計畫不急,先了解一下
希望11/1下午可以確定,有沒有約參觀成功,不然我就要先看別間
11/6 2026 2月過年後才有空，屆時另約
3/17請問3/25下午2至3點想去参關觀行動紅屋 OK嗎？
吳豐裕 0932390554
</t>
  </si>
  <si>
    <t>以下是line討論
原本預約4/15(三)要來參訪
後來取消了，給他其他近期參訪日期他說暫時不用了
後續應該可以詢問一下原因
4/11語音</t>
  </si>
  <si>
    <t>陳桃霞</t>
  </si>
  <si>
    <t>0958586876</t>
  </si>
  <si>
    <t>請問 建地可以蓋嗎？</t>
  </si>
  <si>
    <t>基地: 宜蘭南澳
工作:桃園
評估蓋RC太貴了
建照許可快到期,考慮改木屋,紅屋能協助嗎?
預算:120萬 (想參考單院)
老家建地,掃墓&amp;度假用
4/11 LINE問大單價格</t>
  </si>
  <si>
    <t>竇廣玲</t>
  </si>
  <si>
    <t>0938077117</t>
  </si>
  <si>
    <t>展示屋
有地，規劃中，已有建築物 是鋼構
團隊，除了自住之外也會有對外開放
3P</t>
  </si>
  <si>
    <t>三位朋友一起規畫園區,有公共空間(當作教室教學)
想要三個各自的臥室空間
竇小姐另兩位朋友有公司行號</t>
  </si>
  <si>
    <t>呂小姐</t>
  </si>
  <si>
    <t>0937148441</t>
  </si>
  <si>
    <t>預約，今日
FB上看到資訊，已+LINE@</t>
  </si>
  <si>
    <t>會後找老闆聊基地規劃,教會相關
媽媽長得像蔡英文</t>
  </si>
  <si>
    <t>吳朝瑞</t>
  </si>
  <si>
    <t>0937544268</t>
  </si>
  <si>
    <t>有一個農地要放,想說我們有展示屋出清
但是他的預算僅30萬</t>
  </si>
  <si>
    <t>郭順益</t>
  </si>
  <si>
    <t>0911119010</t>
  </si>
  <si>
    <t>大雪山社區 建地90坪 可用原來舊屋整修方式更換</t>
  </si>
  <si>
    <t>跟我們老闆打拳的同學認識
台中北屯人
大雪山基地,有房子太老舊
考慮整修或直接蓋我們木屋
正在評估階段
與太太參觀
(應該是)
公司名稱 :	英材電腦科技有限公司
統一編號 :	16939967
主要產品 :	印表機維修
　連絡人 :	郭順益
公司地址 :	台中市北屯區永定2街95號
連絡電話 :	04-22303787</t>
  </si>
  <si>
    <t>余湘筠</t>
  </si>
  <si>
    <t>0989931560</t>
  </si>
  <si>
    <t>基地於:苗栗西湖森林之歌二期
有地的參觀
聯繫時間 每日的13:30過後</t>
  </si>
  <si>
    <t>美術老師
參訪會帶一位學生
是一間民宿經營者,
現在想在這間民宿旁邊的基地
蓋一個花園小屋,可讓人在這邊用餐等等
空間可以容納14人嗎?要落地門
擔心法規問題,
展示屋是可以接受的
參訪後：想蓋合掌屋</t>
  </si>
  <si>
    <t>李懿修</t>
  </si>
  <si>
    <t>0922365384</t>
  </si>
  <si>
    <t>請問萬里加投小段地號0184-0004這裡可以蓋嗎？謝謝您！
如果可行的話，鋼琴搬進去的話能承載這重量嗎？
大約300公斤，</t>
  </si>
  <si>
    <t>主要使用者: 父母
基地:祖傳留下的基地,目前是自己&amp;母親持分
父母目前住台中西區
打算賣掉搬鄉下住,
這基地離市區車程50分鐘
水電:無
現況:
職業:補教業
居住:住士林
放鋼琴是自己的想法&amp;需求</t>
  </si>
  <si>
    <t>黃惠如</t>
  </si>
  <si>
    <t>0922212227</t>
  </si>
  <si>
    <t>我對這1棟有興趣可以跟我聯絡嗎？
基地在屏東縣枋寮鄉</t>
  </si>
  <si>
    <t>客人3/22要出國,會玩五天
起因是朋友有來參觀過推薦他自然紅屋
在屏東縣枋寮鄉的基地,想要蓋給爸爸住
也是詢問展示屋移轉,沒看過實體屋
台中人
4/1長住日本(因女兒在日本讀書)
所以4/7會回日本,預計回來時間5月
想參觀了解紅屋產品&amp;理念
確定時間在跟我們說
參訪: 黃小姐&amp;朋友
希望約平日時間</t>
  </si>
  <si>
    <t>郭小姐</t>
  </si>
  <si>
    <t>0952785600</t>
  </si>
  <si>
    <t>2026/12月聯繫過,內容如下
無地的參觀
目前在餐廳打工
未來想成為結合生態,環保永續的餐廳老闆
魚菜共生,雨水廢水回收再利用
跟周遭朋友講這個計畫都被嘲笑,
兩天前看到我們的廣告,很認同理念與造屋方式
之前也看過太空艙&amp;其他組合屋
想找新北市郊區的基地
榕11/28 call想參訪，但假表月底主管才會排，要等假表出來才會有辦法預約，已請他先傳假表到LINE上</t>
  </si>
  <si>
    <t>陳嘉琳</t>
  </si>
  <si>
    <t>0931082758</t>
  </si>
  <si>
    <t>24/3/1朋友有意願租地給他們使用，他們也有在考慮。朋友：馮樺雯0972777360
25/4/22：太太常出差大陸工作，台灣到處跑。台北台中都有小宅，目前要到雲林(孩子華德福就學的地方，說是野孩子)找一個可以真正讓小孩落實生活的地方。</t>
  </si>
  <si>
    <t>張喬治</t>
  </si>
  <si>
    <t>0911562762</t>
  </si>
  <si>
    <t>line名稱寫: Green Journey綠喬園
(網路查是彰化員林綠喬園建設公司)
再確認下週平日時間3or5(家庭成員2大3小)</t>
  </si>
  <si>
    <t>3/28太太時間喬不出來
有詢問3院展示屋,已告知售出
已留line文字,請客人傳可參觀日期</t>
  </si>
  <si>
    <t>王耀德</t>
  </si>
  <si>
    <t>0988952080</t>
  </si>
  <si>
    <r>
      <rPr>
        <rFont val="Arial"/>
        <color theme="1"/>
      </rPr>
      <t>二訪客,好幾年前參觀過
王先生一直很忙(打過去都在會議中)
請我們</t>
    </r>
    <r>
      <rPr>
        <rFont val="Arial"/>
        <color rgb="FFFF0000"/>
      </rPr>
      <t>聯絡蘇小姐約時間0926814060</t>
    </r>
  </si>
  <si>
    <t>樸門團體,五位為朋友同好~蘇小姐&amp;王先生是夫妻~
本次參訪：自己+同學(另外有三位夥伴)
出錢：老師(夥伴中有認同也有反對挑戰)
第一階段居住：自己+爸爸也有興趣
土地：新北市 坪林 十幾甲(名字：爸爸+叔伯的)部分地為水保地(對生態比較嚴格)
要做一個自己的露營區 (公司 樸門露營)
理想目標：百棟木屋，租人、安裝雨水發電，(自己是人工智慧水質研究，準備要拿博士)
賣氫能源給toyota(日本技術)
評估過我們的房子對土地破壞性極小,較有力量去說服要投資的夥伴
說2024參觀時老闆也都講到會繞過去場堪基地~
後來都沒有下文(客戶換手機，當時是一位先生接洽)
也說過再次來不收取參觀費用(?)
統一編號（統編）　        90560453
公司名稱        樸門露營社會企業有限公司
代表人姓名        王耀德
公司所在地        桃園市大溪區仁善里仁善街208號四樓之5  
公司狀況        核准設立
資本總額(元)        100,000</t>
  </si>
  <si>
    <t>陳巧宜</t>
  </si>
  <si>
    <t>0910345286</t>
  </si>
  <si>
    <t>基地在桃園，請問可以實體參訪？</t>
  </si>
  <si>
    <t>4/21 在發最新參訪資訊給陳小姐
過兩天在確認可參訪時間
態度有一點點不耐</t>
  </si>
  <si>
    <t>張耘瑄</t>
  </si>
  <si>
    <t>0938005815</t>
  </si>
  <si>
    <t>請問如何預約參觀</t>
  </si>
  <si>
    <t xml:space="preserve">基地: 宜蘭
職業: 藝術家
更多資訊: </t>
  </si>
  <si>
    <t>陳志政</t>
  </si>
  <si>
    <t>mail 暫時留存
敬啟者:
我是一位年過50的科技人, 畢業於台灣科技大學電子系, 有20多年的程式設計經驗, 目前任職於電子製造大廠的自動化設備單位, 擔任軟體部門的處級主管.
在面對父親過世, 自己的健康出現狀況, 經常思考著是否應該放慢腳步, 重新生活.
偶然間在FB看到自然紅屋的介紹, 一方面想了解這樣的建築是否能通過建照和使照的申請與使用壽命, 建造價格大概是多少.另一方面關於農食住的內容
謝謝
陳志政</t>
  </si>
  <si>
    <t>劉曉燕</t>
  </si>
  <si>
    <t>0923600219</t>
  </si>
  <si>
    <t>今日下午1位參訪，目前人在台南，關注我們很久</t>
  </si>
  <si>
    <t>本身是有基地,但是想換地
先了解木屋找地才有方向再執行
有詢問木屋可否住宿體驗</t>
  </si>
  <si>
    <t>0923360723</t>
  </si>
  <si>
    <t>很小聲</t>
  </si>
  <si>
    <t>在台北家具店買過一張床想要做維修
乳膠床墊已經脆化,想更換乳膠可以嗎?
已請先生找坊間家具維修</t>
  </si>
  <si>
    <t>廖素珍</t>
  </si>
  <si>
    <t>0912049228</t>
  </si>
  <si>
    <t>職業:代書 (已退休現在是女兒在做)
目前與女兒住一起(台中市)
看到我們的影片,嚮往這樣退休生活
想跟先生一起過來參觀了解</t>
  </si>
  <si>
    <t>引導加Line
沒有基地,還探不出是否有實際條件買地買屋
有看到我們租地買屋的方案,對這個較有興趣</t>
  </si>
  <si>
    <t>周敏惠</t>
  </si>
  <si>
    <t>0910528926</t>
  </si>
  <si>
    <t>想今天參觀
3/19 軍下午回電, 討論下週可以參訪的日期</t>
  </si>
  <si>
    <t>基地:清水
地目:農地
說都看過實體了(花博)
與先生討論過
暫時還沒有要規劃了</t>
  </si>
  <si>
    <t>呂奕嫻</t>
  </si>
  <si>
    <t>0919822042</t>
  </si>
  <si>
    <t>呃 您好！不知道是否方便要一下圖面？點照片要放大一直跳出預設訊息😆</t>
  </si>
  <si>
    <t>4/11 傳資訊說正在看
10分鐘後已不接也不讀
後來告知是帶孩子太忙漏訊息
4/21 豐原人
認為不需要用到全實木空間(價格超出預算)
先生說太太決定就好(買哪一個)
蘋果倉看過了需要擴建,認為我們標的價格一樣會往上加
認為山上的空間一個月才去3、4次
平日參訪也OK時間要喬
已加梓涵公務機</t>
  </si>
  <si>
    <t>吕東霖</t>
  </si>
  <si>
    <t>0922826000</t>
  </si>
  <si>
    <t>Line留言
預約參訪洽談購置組合屋，安裝在都市計劃住宅區土地，規劃40坪面積雙主臥。
四月第一個禮拜，什麼時間可以安排？安裝地點在新北市三芝區。
以上
2022.11.25參觀過</t>
  </si>
  <si>
    <t>長期都在國外住,最近才回台打算定居
看過那麼多種組合屋,認為我們的木屋與他們價值觀較相近
也想給孩子天然無毒的環境成長(孩子目前1歲)
有4台車,蓋在建地生活一段時間,願意付工程費把房子拆到緊鄰的自己農地上,原地要申請建照使照蓋RC房屋
太太還在攻讀博士(準備論文等等)
參訪者：先生(美國)、太太(英國)
居住：新北市三芝
基地：等待基地資訊...
地目：建地+農地
面積：247坪建地,農地??
水電：
基地現況：土地緊鄰12米大馬路,工程車沒問題
取得方式：自購
合法性：???
完工時間：
預算：???
用途：長住,
認識管道：多年前有參觀過
看過廠商：
2022.11.4初次聯絡
長期國外工作，偶回台灣，但不喜歡都市，想住花蓮農地，閒置已久，看過馬斯克的迷你屋，但覺得紅屋更完整完善，不懂法律擔心合法性，想跟業務談，預計11/8從德國回台，可電聯
記得馥寧(第一次客服)聲音，需要業務再回復以下3需求，1. 旁邊加蓋車庫 2. 長住3院 3. 茶屋，起初認為3院太小，想要大片水泥，同意明白環保通風二行館，就依我們標準
呂先生六&amp;日要照顧小孩
太太時間真的很難喬
4/7 客人說計畫暫緩</t>
  </si>
  <si>
    <t>蔡一師
（蔡欽印</t>
  </si>
  <si>
    <t>0921998914</t>
  </si>
  <si>
    <t>請傳更多格局的圖片照片
到花蓮秀林鄉運費及安裝多少$
還有房屋的尺寸</t>
  </si>
  <si>
    <r>
      <rPr>
        <rFont val="Arial"/>
        <color rgb="FFFF0000"/>
      </rPr>
      <t>看過廠商: 太空艙</t>
    </r>
    <r>
      <rPr>
        <rFont val="Arial"/>
        <color theme="1"/>
      </rPr>
      <t xml:space="preserve">
有實際住過朋友的太空艙120萬就能住4位,有遮陽棚,也不熱 (R已正面回覆)
基地: 花蓮
預算:200內
度假屋:.偶而住4位,主要夫妻一起住
最慢7月會做出決定
認為我們價格是BMW等級,
展示品出清可再告知他們 (R沒看過不可以)
聽到參觀會收取費用有點不開心
已傳漂亮照片&amp;可預約日期
4/18 H要參加白沙屯繞境
4/21 H去電說正在會議,隨即掛電話,已留言
4/22 R認為要花 $2-3千，兩夫妻要從台北來，啟蒙質不好，如果不能不花錢就來，就不來。
啥都想拿，假白鵝，直接掛我電話很沒禮貌。</t>
    </r>
  </si>
  <si>
    <t>林佾(一ˋ)璇</t>
  </si>
  <si>
    <t>0978121611</t>
  </si>
  <si>
    <t>想約4/11(六)下午四點
已引導加line</t>
  </si>
  <si>
    <t>上班不方便電話,若沒接到電話,看到會回
目前還沒有基地,
三位朋友先來參觀了解
台北工作
3/25 來電+1位</t>
  </si>
  <si>
    <t>胡燕妮</t>
  </si>
  <si>
    <t>0933986801</t>
  </si>
  <si>
    <t>問長3的費用, 先發WIX</t>
  </si>
  <si>
    <t>先生沒體驗過,主要約先生來看,
胡小姐有住過知本客人的木屋兩次,看到我們有長3院,覺得空間很適合自己,有說道木屋主在緬甸,知本木屋給同事管理,胡小姐因為宗教關係認識,有住過2次
胡小姐是花蓮人,有基地</t>
  </si>
  <si>
    <t>林煜騰</t>
  </si>
  <si>
    <t>0963638877</t>
  </si>
  <si>
    <t xml:space="preserve">pm15:45人已開車到達停車場,詢問今日可否參觀
回絕,留客戶資訊另約時間
</t>
  </si>
  <si>
    <t>看我們很多影片,
比較過很多廠商,比較喜歡我們的產品
主要居住者:自己 (其他家人來來去去)
桃園人
基地桃園,會自己慢慢去規劃</t>
  </si>
  <si>
    <t>黃佳屏</t>
  </si>
  <si>
    <t>0988353153</t>
  </si>
  <si>
    <t>基地宜蘭 
是想問這套還有在嘛？</t>
  </si>
  <si>
    <t>地很多~
都在宜蘭地區,可能自住或是蓋起來租出去的想法
蠻喜歡我們的風格
要自己蓋又很難掌控預算
有考慮直接用我們的就好
最近比較忙,有需要會再聯繫我們
推薦再來參觀 [合掌屋]</t>
  </si>
  <si>
    <t>陳美玲</t>
  </si>
  <si>
    <t>0919263786</t>
  </si>
  <si>
    <t>基地：用哪一塊地 很多農地，水電沒有
想問展示屋，但不一定要
三個朋友一起來
4/3週五 (假日) 或 3/27周五(其中有一位要上課)</t>
  </si>
  <si>
    <t>客人留line: 預約4/11 14:00場次4位
桃園</t>
  </si>
  <si>
    <t>莊雅茹</t>
  </si>
  <si>
    <t>0966786729</t>
  </si>
  <si>
    <t>非常有興趣貴公司行動木屋，請儘速聯繫，欲知詳情與預算，謝謝！</t>
  </si>
  <si>
    <t>居住:桃園中壢
基地:桃園中壢
地目:乙種工業用地
坪數: 1000多坪
原因: 目前就是住美式木屋(三層樓,一層樓就100多坪)
房間都是套房式,因為目前居住人口不多,不需要那麼多空間
想在這塊基地蓋一間空間不用太大的木屋,我&amp;先生居住,價格,參觀都不是問題,要合法,理解合法要額外費用&amp;時間
莊小姐最近忙,時間要再看一下</t>
  </si>
  <si>
    <t>0986665566</t>
  </si>
  <si>
    <t>基地位置新竹縣峨眉鄉湖光村</t>
  </si>
  <si>
    <t>人在國外
回國再聯絡我們</t>
  </si>
  <si>
    <t>周思伶</t>
  </si>
  <si>
    <t>建設公司/銷售人員</t>
  </si>
  <si>
    <t>高佳荷</t>
  </si>
  <si>
    <t>0929613286</t>
  </si>
  <si>
    <t>你好
我要預約星期三參觀
4位</t>
  </si>
  <si>
    <t>4/21 尚未有基地,四位朋友時間不好喬
已告知可以1位或2位先來參觀
5/15 在看6月的時間~會再跟我們說</t>
  </si>
  <si>
    <t>黃小姐</t>
  </si>
  <si>
    <t>0905208657</t>
  </si>
  <si>
    <t>原本要問展示屋
之前有關注我們
再和先生討論可參訪的日期
也許4月中旬
農地 有問到申請&amp;申請用到好價格</t>
  </si>
  <si>
    <t>4/17正在上課
4/28 口誤~我說我姓黃
一直有想做規劃,想參觀
預計5月底&amp;6月初才有時間
參訪:夫妻
居住:桃園
職業:房產業
5/15
告知5月份無法安排~在跟我們保持聯繫</t>
  </si>
  <si>
    <t>羅桂華</t>
  </si>
  <si>
    <t>0963158190</t>
  </si>
  <si>
    <t>發WIX
2023/6/26聯繫:住潭子，石岡農地，10年前購買現荒廢，無思考用途，3P 先生小孩
2023/7/8參訪過</t>
  </si>
  <si>
    <t>想約早上1000
住: 潭子
基地:石岡(土牛派出所旁)
參訪: 夫妻
疑慮: 1.合法
         2.水電工程</t>
  </si>
  <si>
    <t>劉天</t>
  </si>
  <si>
    <t>0972434423</t>
  </si>
  <si>
    <t>可以申請建照及使用執照嗎？
約幾坪？謝謝！</t>
  </si>
  <si>
    <t xml:space="preserve">腳韌帶斷裂,現在正在休養中
可能晚一些時間跟我們約參訪
想要申請合法
</t>
  </si>
  <si>
    <t>陳黑龍</t>
  </si>
  <si>
    <t>0922988273</t>
  </si>
  <si>
    <t>詢問價格,詢問小琉球有案例嗎?</t>
  </si>
  <si>
    <t>基地太小~
預算不高</t>
  </si>
  <si>
    <t>鄭惠分</t>
  </si>
  <si>
    <t>0910699428</t>
  </si>
  <si>
    <t xml:space="preserve">官網看到我們案例
苗栗通霄黃連發(3院) 山壁
說他基地類似但沒有案例這麼危險
(有做水土保持)
</t>
  </si>
  <si>
    <t>台南人
參訪者: 母女(兩家人)，主要要買的人是女兒
基地:台南 南化區(水電申請中)
4月中後回國,再安排參訪
4/17 榕 補充資料，主要要買的是女兒，女兒只有4/22有空 (女兒18號還在日本、24號去越南，之後就要回美國。)
5/8 5P 不願意改時間</t>
  </si>
  <si>
    <t>楊博文</t>
  </si>
  <si>
    <t xml:space="preserve">
0933183284
楊太太(沈慧玲)</t>
  </si>
  <si>
    <t>現場客戶，到附近用餐，兩家人，說另一位楊先生比較急，楊先生自己說還好</t>
  </si>
  <si>
    <t>下周到4/25都不再台灣(出國玩)
原則上約5月初的時間</t>
  </si>
  <si>
    <t>林先生</t>
  </si>
  <si>
    <t>0916165522</t>
  </si>
  <si>
    <t>現場客戶，到附近用餐，兩家人，說另一位楊先生比較急，楊先生自己說還好
##林先生是沈慧玲表弟</t>
  </si>
  <si>
    <t>目前不方便電話
晚點打給我們
主要跟楊先生0933183284確認時間,他們會一起來參訪</t>
  </si>
  <si>
    <t>林維頌</t>
  </si>
  <si>
    <t>0918121936</t>
  </si>
  <si>
    <t>預計4月底會去彰化
參訪人:夫妻
居住:台北
基地:宜蘭
地目:丙建
水電: 有
基地現況:荒地,尚未整地
想法: 
沒看過資料,目前先讓客人加line
打去請客人傳貼圖,他問說最近生意好嗎?
客人說晚上6點後參觀可行嗎?
覺得客戶很白鵝心態並不想特別花時間參訪，暫時不聯繫</t>
  </si>
  <si>
    <t>劉奕呈</t>
  </si>
  <si>
    <t>0919271217</t>
  </si>
  <si>
    <t>2-3年有來園區參訪過
現在有想規劃在高雄, 1-2人長住
問官網的長院價格
-&gt;先傳WIX
(太太是林彥杏0928999971)</t>
  </si>
  <si>
    <t>上次參訪約2024年前
參訪：夫妻
正在談高雄建地(100坪)+50年老屋(60坪)
因為兩夫妻沒有看到長3院，但他們想了解長3院，所以先推薦他們趕快來看，為主。
先不要買地，美濃大峽谷現在清運很貴</t>
  </si>
  <si>
    <t>洪小姐</t>
  </si>
  <si>
    <t>0918390068</t>
  </si>
  <si>
    <t>想預約參觀</t>
  </si>
  <si>
    <t>參訪: 夫妻、可能找妹妹一家(嫁去南部有地)
基地: 無地,想找
已告知至少提前一兩周預約參訪時段</t>
  </si>
  <si>
    <t>卓财成</t>
  </si>
  <si>
    <t>0910472910</t>
  </si>
  <si>
    <t xml:space="preserve">
慾想評估鋼構屋或與木構結合的組合屋.
農地自建一層, 房約9坪+ 雨棚5 坪= 14</t>
  </si>
  <si>
    <t>大甲人，大甲區經國路1173 巷5 號
基地離住家50米
水電:有
不喜歡貨櫃屋那種
居住人:自己
想法:想規劃退休後長住的空間
想申請合法 ,問過經辦目前有一項沒符合
參訪有問題想問</t>
  </si>
  <si>
    <t>顏文杰</t>
  </si>
  <si>
    <t>0912155925</t>
  </si>
  <si>
    <t>問高雄有沒有施作</t>
  </si>
  <si>
    <t>已看過資料
客人說他計畫暫緩</t>
  </si>
  <si>
    <t>吳郁君</t>
  </si>
  <si>
    <t>0921809876</t>
  </si>
  <si>
    <t>打來說要參訪</t>
  </si>
  <si>
    <t>從台北坐車下來
常住淡水
基地愈買台東(因為喜歡這邊)</t>
  </si>
  <si>
    <t>蔡惠婷</t>
  </si>
  <si>
    <t>0936263489</t>
  </si>
  <si>
    <t xml:space="preserve">家具遊龍沙發
內部泡棉可以更換嗎?
</t>
  </si>
  <si>
    <t>已回覆
沒有生產線</t>
  </si>
  <si>
    <t>王竹安</t>
  </si>
  <si>
    <t>0920022254</t>
  </si>
  <si>
    <t>雲林縣麥寮鄉泰順路229號</t>
  </si>
  <si>
    <t>舊客，只是要問有沒有折價而已，原本的農地已經賣掉，現在要改用建地去做 更難了......</t>
  </si>
  <si>
    <t>王子明</t>
  </si>
  <si>
    <t>0931511055</t>
  </si>
  <si>
    <t>我對你們的小木屋有興趣，請跟我聯絡
聯絡時間 早上9:00～11:00請打給我</t>
  </si>
  <si>
    <t>父母行動不便,住家不合適裝電梯
想在住家旁多一間木屋
給父母&amp;外傭住
一定要可裝冷氣
基地: 神岡
面積:9*6.5米(扣掉預留路寬剩7*4米)
決策者:自己
4/11 後續聯繫都未接通，結案處理</t>
  </si>
  <si>
    <t>黃暐婷</t>
  </si>
  <si>
    <t>0911028551</t>
  </si>
  <si>
    <t>以前的LINE客戶，詢問上周六是否有營業</t>
  </si>
  <si>
    <t>住南部，有機會5月安排來訪，或者要6月連假(端午節)
黃小姐您好~
剛剛電話通知，5月份可以預約的周六
5/2、5/23 ，都是下午兩點開始唷！</t>
  </si>
  <si>
    <t>蔡呈祺</t>
  </si>
  <si>
    <t>0972918307</t>
  </si>
  <si>
    <t>4/7號 10:30 (方便聯繫時間)
已請他先看LINE資料</t>
  </si>
  <si>
    <t>4/8 通話中
4/11 語音
而且line都未讀</t>
  </si>
  <si>
    <t>王明瑛</t>
  </si>
  <si>
    <t>0925933363</t>
  </si>
  <si>
    <t xml:space="preserve">請問只有台中有展示中心嗎
</t>
  </si>
  <si>
    <r>
      <rPr>
        <rFont val="Arial"/>
        <color theme="1"/>
      </rPr>
      <t xml:space="preserve">參訪: 夫妻
住: 台南
基地: 台南西港 (購買3~4年了)
水電: 無
面積: 50坪(狹長型)
疫情期間建築成本一坪15萬~最近得知20萬都有風險(倒帳)
看到我們的木屋&amp;宥勝的影片,
喜歡我們外型,想來了解看看
請小姐加line~
參觀時間假日較方便,需要跟先生討論一下時間
最近的周六都排滿了
</t>
    </r>
    <r>
      <rPr>
        <rFont val="Arial"/>
        <color rgb="FFFF0000"/>
      </rPr>
      <t>5月初在確認時間</t>
    </r>
  </si>
  <si>
    <t>幸先生</t>
  </si>
  <si>
    <t>0958956601</t>
  </si>
  <si>
    <t>已購買一塊建地長寬為32*24米
要買4間木屋獨立的,放在這間基地上
給兒子&amp;自己要住的,不是經營休閒</t>
  </si>
  <si>
    <r>
      <rPr>
        <rFont val="Arial"/>
        <color theme="1"/>
      </rPr>
      <t xml:space="preserve">這客人一直講他想說的(機關槍)
住: 高雄人
基地:高雄別墅建地(預計5月底才付款完成)
說是親戚朋友賣給他的,金額破億
面積 : 32*24米
工作: 很複雜,不願透漏,本業已退休,
說家人都不清楚他在做的工作
工作關係時常往返,中國&amp;香港等地
</t>
    </r>
    <r>
      <rPr>
        <rFont val="Arial"/>
        <color rgb="FFFF0000"/>
      </rPr>
      <t xml:space="preserve">5/10才會在台灣,到時候再跟我們約參觀
看過貨櫃屋(不喜歡)
</t>
    </r>
    <r>
      <rPr>
        <rFont val="Arial"/>
        <color theme="1"/>
      </rPr>
      <t>職業:作組織,內容家人不清楚內容
就近廠商:築地岩(僅線上諮詢,已經簽約)
要合法,土地240坪
基地確定地主只租不賣
加梓涵公務機</t>
    </r>
  </si>
  <si>
    <t>鍾正偉</t>
  </si>
  <si>
    <t>0933833916</t>
  </si>
  <si>
    <t>我是鍾正偉，對貴公司推廣的自然紅屋，有興趣作進一步了解，煩請得便時與我聯絡，謝謝！</t>
  </si>
  <si>
    <t>屏東內埔，住在老三合院裡
有想要給自己一個更好的生活環境
參訪：夫妻
基地:屏東縣內埔鄉富田段110地號&amp;82地號
路很小,待判斷
現場追蹤A</t>
  </si>
  <si>
    <t>陳玟玟</t>
  </si>
  <si>
    <t>0980567818</t>
  </si>
  <si>
    <t>請問，若想購買木屋
我需先具備什麼條件</t>
  </si>
  <si>
    <t>2024就聯繫過，但沒有來參訪過
關注木屋很久，以為要有第才能來看。聽到能先來看放心很多，有年紀很在意醫院問題(請他跟創辦人請教)
住國外一陣子，回台灣覺得沒有喜歡的地方
1人住，想要小間的(問42-80萬的)，建議他要看短2院(178萬)
1-2位參訪，問朋友要不要一起來
今天跟朋友去醫院，要4-5點在聯繫時間</t>
  </si>
  <si>
    <t>陳瀚文</t>
  </si>
  <si>
    <t>0918070350</t>
  </si>
  <si>
    <t>你好 請問自然紅屋可以裝在建地上面嗎？</t>
  </si>
  <si>
    <t>3+1</t>
  </si>
  <si>
    <r>
      <rPr>
        <rFont val="Arial"/>
        <color rgb="FFFF0000"/>
      </rPr>
      <t xml:space="preserve">2023/李珮琪0919286553，85motorcat@gmail.com
想了解房型、價格、以及土地法規等相關資訊
希望時間能安排在週六下午3P，謝謝
</t>
    </r>
    <r>
      <rPr>
        <rFont val="Arial"/>
        <color theme="1"/>
      </rPr>
      <t xml:space="preserve">跟太太2年前有來看過
目前正在找地
但是對法規還不是很清楚
參訪者: 夫妻+2孩(6個月&amp;2歲)
</t>
    </r>
  </si>
  <si>
    <t>王宇晴</t>
  </si>
  <si>
    <t>0955703113</t>
  </si>
  <si>
    <t>11/8初次聯繫
想問林地可否使用我們的房子，不行的話有其他方式嗎?(想規避法律問題，順便詢問經驗)
想增加空間作使用
使用基地有水電 
費用計算(預計想2院，想要有床有衛浴，其他部分有點想更動內裝)
工作：室內設計</t>
  </si>
  <si>
    <t>11/13 榕
沒有要急著，太忙了(一直不斷強調自己很忙)
彰化 芳苑 國有林地租賃 大片平原，已經4代
現有平房已經50-60年以上，有水電
1房1廚1衛，預算200萬，蓋再原本羊舍位置
跟縣長關係好，要富麗建設(媽媽的好朋友)蓋廟(不申請)
4/11 已寄交通資訊(簡訊)給王
4/17 榕 LINE@已加入 下午1330聯繫預約
1330去電2通未接
王小姐彰化的祖傳基地
有水電
先生都要回診,時間比較難喬,詢問時間中</t>
  </si>
  <si>
    <t>廖顯慶</t>
  </si>
  <si>
    <t>0955828672</t>
  </si>
  <si>
    <t>嚮往親近自然這樣的生活</t>
  </si>
  <si>
    <t xml:space="preserve">參訪者: 夫妻+14歲孩子+狗(推車)
基地:無
興趣:露營活動
</t>
  </si>
  <si>
    <t>李月梅</t>
  </si>
  <si>
    <t>0937069115</t>
  </si>
  <si>
    <t>你們有幫人規劃小房子的嗎</t>
  </si>
  <si>
    <t>梓涵公務機
基地:苗栗頭份
面積:600坪(含40坪建地)
之前這基地請建築師規劃以付20萬
估價蓋起來要2000萬,從而放棄
蓋起來想給自己客人來這邊泡茶休閒(招待所)
職業:業務已退休
反推銷朋友的組合屋
4/11 一直說兒子還沒有空,要約兒子來
自己看過很多木屋,要先和兒子約,兒子還沒看過資料
我會再跟你們提前約</t>
  </si>
  <si>
    <t>林慧英</t>
  </si>
  <si>
    <t>0931692178</t>
  </si>
  <si>
    <t>問價格 地需要多大
有看過網路很久了</t>
  </si>
  <si>
    <t>丙建50坪(可蓋只有22坪)
考慮我們兩層樓,但想知道預算
4/11 住霧峰,說我們參觀地太遠??
說與先生個性是要蒐集資料齊全在來
需要我會提早跟你們約
4/30打電話來說~有看中一塊地, 要先到貴司參訪
 條件可行才會有後續的買地,,蓋房
居住: 霧峰
參訪: 夫妻
基地: 丙建50坪</t>
  </si>
  <si>
    <t>陳薇羽</t>
  </si>
  <si>
    <t>0919029021</t>
  </si>
  <si>
    <t>社區的露臺
想放大單院,不要衛浴
傳現況照片
4/11 榕：已告知 看過 喜歡 再談工程細節，客戶ok
問下周三 2P(不是夫妻) 待確認
4/17 榕：再評估一下意願度高不高，因為外縣市，最近公司又很忙，若有符合再安排來訪。(不想約電話)</t>
  </si>
  <si>
    <t>黃先生</t>
  </si>
  <si>
    <t>0938919896</t>
  </si>
  <si>
    <t>新竹 補習班，想做為辦公室用途
夫妻都蠻喜歡我們的風格</t>
  </si>
  <si>
    <r>
      <rPr>
        <rFont val="Arial"/>
        <color theme="1"/>
      </rPr>
      <t xml:space="preserve">問 4/15 4/24 4/29
居住：太太在新竹工作(兩間補習班)，先生在台北工作
預約時間：周間先生可以，周末太太可以
接電話時間：太太早上有空，下午補習班忙碌碰運氣
</t>
    </r>
    <r>
      <rPr>
        <rFont val="Arial"/>
        <color rgb="FFFF0000"/>
      </rPr>
      <t>"新竹 補習班，想做為辦公室用途
主決策者是太太(開補習班)</t>
    </r>
    <r>
      <rPr>
        <rFont val="Arial"/>
        <color theme="1"/>
      </rPr>
      <t>，夫妻都蠻喜歡我們的風格"
他說看到木屋預算就打退堂鼓，但還是先建議他們一定要看過實體！(都想花錢了)
若太太先來 就近期假日
若夫妻同訪，就5/23
4/22 R 太太最近剛好，長輩身體有狀況(已在找墓地)，所以才延期
問到太太電話，江小姐0987866038 (3點後撥通)
太太1人先來訪，ok
只有周一(上午) 周五上午(0900-1000) 其他都要工作跟接小孩
基地：地主無償借用
需求：老師休息小空間、3-5人辦公室、自己的辦公室
時間：年底完工(有答應partner)</t>
    </r>
  </si>
  <si>
    <t>0963596731</t>
  </si>
  <si>
    <t>住: 桃園
欲規畫基地:中壢
行旅目的?
只看看
您的屬性?
小家庭 (合院)
希望參訪的日期
4/15</t>
  </si>
  <si>
    <t xml:space="preserve">有看過太空艙
目前先來初步了解
</t>
  </si>
  <si>
    <t>0933721481</t>
  </si>
  <si>
    <t>姊姊住在加拿大，早期買過我們的寢具很喜歡
現在姐姐在國外，所以她幫忙問(不知道家具是要放國內還是國外)
已說明目前的營運轉為木屋
還是盡量說明木屋的好，邀妹妹先來做體驗</t>
  </si>
  <si>
    <t xml:space="preserve">工作比較忙,抽不出時間
目前對木屋都沒有想法
當初找到我們是因為家具產品
(我們產品有在誠品販售??)
也有意願,若要來參觀會提早跟我們約
</t>
  </si>
  <si>
    <t>陳延靜</t>
  </si>
  <si>
    <t>0928329069</t>
  </si>
  <si>
    <t>有地的參觀
希望可以週六日的時間，
5/16.17或5/30.31，謝謝</t>
  </si>
  <si>
    <t xml:space="preserve">老家基地,未來想在這邊蓋
沒有急迫性,先來了解看看
主要會是妹妹住
參訪: 姊&amp;妹
</t>
  </si>
  <si>
    <t>黃昭憲</t>
  </si>
  <si>
    <t>04-25879800
04-25888257</t>
  </si>
  <si>
    <t>在FB 看到資訊，已看過WIX 先留室話
下午3:30-4:00會在家可以聯繫
太太：胡淑雅0937082598／04-25888257
先生：黃昭憲 0911144807 (有留官網又有留電話)</t>
  </si>
  <si>
    <t>住 東勢(公所對面)在東勢區公所對面(快樂牙醫)
職業：醫生&amp;醫生娘
初步想法在自家頂樓蓋(先生也想買其他的地去蓋)
初步說太太覺得有點麻煩，要先說服太太來訪，平日先生只有周四下午有空，其他天要在橋。但太太都在家帶雙胞胎，有空。
20分鐘後打給太太，已寄簡訊給他
4/16 未接電話
4/17太太說先生想太多,一下要買這個一下要買別的
她受不了,她昨日還帶先生去拿藥
太太說自家都住那麼山上了,不需要住木屋</t>
  </si>
  <si>
    <t>李昕燁</t>
  </si>
  <si>
    <t>0958259215</t>
  </si>
  <si>
    <t>我有一個2F的露臺坪數80坪
想在這邊放你們的木屋可行嗎?
在FB看到你們的資訊</t>
  </si>
  <si>
    <t>職業:設計師
業主:佛寺修繕工程
基地:桃園大園
面積:2F露臺 面積有80坪
設計師跟他業主提案用我們的木屋
我們木屋含全設備,確認一單位重量(3噸)
設計師有朋友在屏東蓋我們的木屋,(說是一半用住家,一半是瑜珈教室),
設計師本身有體驗過木屋了,他認為可幫業主掌控預算,比打掉重建更好,我們木屋又可以移動,
基本上認同我們木屋,只是預算上想了解大概會落在哪,
目前初步認為大單院或短2院
4/17 尚未決定用紅屋喔! 正在跟業主討論</t>
  </si>
  <si>
    <t>蕭素蓉</t>
  </si>
  <si>
    <t>0932058819</t>
  </si>
  <si>
    <t xml:space="preserve">關注我們很久了
因為交通的問題還沒來參觀(高速公路不敢開)
要把時間安排一下,要過來提早告訴我們
沒有基地可以規劃,不急的來看
如果我們有體驗住宿會想來
覺得去參觀時間要花費5小時,
交通不便而婉拒
</t>
  </si>
  <si>
    <t>劉軒捷
(小姐)</t>
  </si>
  <si>
    <t>0937301901
(空號)</t>
  </si>
  <si>
    <t>參觀地址在哪?
4/18已留言詢問</t>
  </si>
  <si>
    <t>陳宏昌</t>
  </si>
  <si>
    <t>0910888090</t>
  </si>
  <si>
    <t>豐原木屋,可幫評估移走嗎?
因土地要歸還給地主</t>
  </si>
  <si>
    <t xml:space="preserve">居住:台北 (工作)
基地:嘉義
現況: 朋友豐原的木屋要給他,打電來問我們可否協助移動
屋頂太大,老師傅都退休,沒有人幫忙
</t>
  </si>
  <si>
    <t>黃鑫浪</t>
  </si>
  <si>
    <t>0936822996</t>
  </si>
  <si>
    <t xml:space="preserve">以前來onon用餐,看過3院長住款220萬
買給母親住,需求2臥房,可簡單料理廚房,
</t>
  </si>
  <si>
    <t>居住:板橋(退休)不過目前還有在工作
基地:卓蘭壢西坪
面積:約171坪
水電:有
現況:有老房子,還有在使用
原因:目前已退休
預算:200萬</t>
  </si>
  <si>
    <t>Philip Hsu</t>
  </si>
  <si>
    <t>0975170749</t>
  </si>
  <si>
    <t>聯繫時間:1700後</t>
  </si>
  <si>
    <t>陳秀義</t>
  </si>
  <si>
    <t>0920072277</t>
  </si>
  <si>
    <t>聯繫時間:1300~1700</t>
  </si>
  <si>
    <t>Gina許</t>
  </si>
  <si>
    <t>0955213658</t>
  </si>
  <si>
    <t>住台中
詢問我們參觀地址
說是女兒傳給她的資訊</t>
  </si>
  <si>
    <t xml:space="preserve">好奇而已,目前沒需求
很急掛我電話(怕被推銷的感覺)
有要參觀會再跟我們預約(不耐煩)
傳照片給她(梓涵公務機)
</t>
  </si>
  <si>
    <t>林恆宇</t>
  </si>
  <si>
    <t>0958651932</t>
  </si>
  <si>
    <t>住：台北
有地 (家裡的)
預約：平日
(要討論不太耐煩的感覺，資料都有了)
還要跟家人討論，才有辦法決定來訪日期。</t>
  </si>
  <si>
    <t>周延</t>
  </si>
  <si>
    <t>0976760190</t>
  </si>
  <si>
    <r>
      <rPr>
        <rFont val="Arial"/>
        <color theme="1"/>
      </rPr>
      <t>主要的決策者是媽媽，周先生在台中工作，只有周一二方便，</t>
    </r>
    <r>
      <rPr>
        <rFont val="Arial"/>
        <color rgb="FFFF0000"/>
      </rPr>
      <t xml:space="preserve">媽媽先來參訪
</t>
    </r>
    <r>
      <rPr>
        <rFont val="Arial"/>
        <color theme="1"/>
      </rPr>
      <t>下周二4/28 早上0900-0930先撥給媽媽預約(約的時間較彈性)
人數：2位</t>
    </r>
  </si>
  <si>
    <t xml:space="preserve">周延媽媽~
呂立平小姐 </t>
  </si>
  <si>
    <t>0936998973</t>
  </si>
  <si>
    <t xml:space="preserve">
想提早作退休規劃
基地:目前在看桃園基地
職業:室內設計師
參觀:夫妻&amp; 兒子周延(細木作老師)
看過廠商:太空艙(不喜歡)
過去看過我們很多影片&amp;介紹,想安排深度參訪,不過要下半年在約時間,手邊工作會忙完一個階段較有空,已告知三五六下午兩點時間
5月底在聯繫時間</t>
  </si>
  <si>
    <t>林一琳</t>
  </si>
  <si>
    <t>0919654610</t>
  </si>
  <si>
    <t>居住縣市
東勢
欲規劃基地縣市
東勢
您的屬性?
小家庭 (合院)
希望參訪的日期
4／28
您好。我之前有跟家人去你那邊參觀然後有吃過戰釜豬排，因為我現在要介紹朋友去妳們那邊參參觀，所以不知道要怎麼預約星期四上午11點兩人
LINE@</t>
  </si>
  <si>
    <t>確認有收到簡訊
詢問我們有沒有含餐點
答覆:沒有,再跟朋友確認要不要來
心臟科醫師
想約4/29下午參訪
林一琳小姐大力推薦我們,
醫師住台中北屯
在東勢往大雪山路上有一塊平整地想蓋
醫師原考慮用鐵皮鋼構去蓋,林小姐跟朋友推薦自然紅屋
4/29 臨時取消 原因:醫師多年前看過花博展印象不好</t>
  </si>
  <si>
    <t>黃淑華</t>
  </si>
  <si>
    <t>0923249393</t>
  </si>
  <si>
    <t>居住縣市
台中
欲規劃基地縣市
台南
您的屬性?
小家庭 (合院)
企業主 (合掌屋)
希望參訪的日期
5/2（六）
LINE@</t>
  </si>
  <si>
    <t>有基地,想要先評估可行性
參訪:夫妻&amp;家人(看排假狀況,有可能改2位)
統編）　 45185798
公司名稱 興芙華有限公司
代表人姓名 黃淑華
公司所在地 臺中市南區和平里復興路二段12號3樓、12之1號3樓  
公司狀況 核准設立
資本總額(元) 2,000,000</t>
  </si>
  <si>
    <t>Thomas Chang
陳先生</t>
  </si>
  <si>
    <t>0952039141</t>
  </si>
  <si>
    <t>中午 (12:00-13:00)</t>
  </si>
  <si>
    <t xml:space="preserve">基地:台中太平
地目: 租賃的國有財產局土地可以蓋嗎?
坪數:15~20坪
原因:因為沒蓋起來,土地雜亂無章
想先去問相關單位可否蓋再來約
假日較方便安排(但又說假日臨時會有事情)
</t>
  </si>
  <si>
    <t>佩卓</t>
  </si>
  <si>
    <t>0930070767</t>
  </si>
  <si>
    <t>合掌屋價格多少？
聯絡"林文斌" 0930070767 PM 5：30後</t>
  </si>
  <si>
    <t>合掌屋有進來時在約好不?
6月初在電話約時間
講話比較急
電話有問到5院屋款</t>
  </si>
  <si>
    <t>梅玲
(群恩.辰辰媽媽/北五吉野櫻)</t>
  </si>
  <si>
    <t>待</t>
  </si>
  <si>
    <t>想預約這週六（5/2）參觀</t>
  </si>
  <si>
    <t>莫保寧</t>
  </si>
  <si>
    <t>0931655851</t>
  </si>
  <si>
    <t>家具，竹蓆維修 早上11點～</t>
  </si>
  <si>
    <t>不客氣口吻
為何透過我們訂竹蓆,
直接給我廠商電話??不需要透過我們這樣</t>
  </si>
  <si>
    <t>沈弈維</t>
  </si>
  <si>
    <t>0918714636</t>
  </si>
  <si>
    <t>幫公司詢問
政府標案~在桃園一場地,評估可否蓋我們
在樹木叢林中放組合屋
已知貨櫃屋無法
活動專案業務副理
學思動力行銷有限公司</t>
  </si>
  <si>
    <t>參訪:3~4位
1700前確認
要和主管確認,晚點line我們人數
4/29 說今天時間趕不及因此取消參訪
說再自行打過來約時間</t>
  </si>
  <si>
    <t>曾琴梅</t>
  </si>
  <si>
    <t>0939705120</t>
  </si>
  <si>
    <t>請問
 想把土地利用最大化
住屋架高成二樓 一樓當車庫
不知貴公司木屋 適合嗎？
一樓鏤空</t>
  </si>
  <si>
    <t>多年前有參觀過老闆住的(可能是土牛園區?)
目前還沒找到合適土地
想合法化,抓預算很沒有概念
參訪:夫妻
居住:台北
職業:自由業者
土地想找:中部以北,但是考慮近幾年極端氣候可能擴大範圍找土地
4/29 自由業,時間真的不好排,怕跟我們排的日期,客人臨時約要跟我們取消,對我們不好意思,想等合掌屋蓋好之後聯繫約時間
5月底再去電</t>
  </si>
  <si>
    <t>楊志鴻</t>
  </si>
  <si>
    <t>0971016777</t>
  </si>
  <si>
    <t xml:space="preserve">居住縣市
台南市東區
欲規劃基地縣市
台南市佳里區
您的屬性?
小家庭 (合院)
企業主 (合掌屋)
</t>
  </si>
  <si>
    <t>子榕公務機
已於line約好時間
20260704</t>
  </si>
  <si>
    <t>徐淑媛</t>
  </si>
  <si>
    <t>0912322022</t>
  </si>
  <si>
    <t>方便聯絡時段
下午 (13:00-17:00)
City
台中市</t>
  </si>
  <si>
    <t>下午2點後
想跟先生去參觀
尚未看過資料</t>
  </si>
  <si>
    <t>陳興文</t>
  </si>
  <si>
    <t>0908592559</t>
  </si>
  <si>
    <t>方便聯絡時段
晚間 (17:00-21:00)
理想總價
360萬～450萬
City
台中</t>
  </si>
  <si>
    <t>再忙~
要求人員加line,用line聊
已加梓涵公務機
有基地要規劃,可以再多聊
因為5/6打去,可能再忙
要求[合掌屋]展出時可以約時間參訪
最近較忙
6 月初在約</t>
  </si>
  <si>
    <t>林文欽</t>
  </si>
  <si>
    <t>0922080086</t>
  </si>
  <si>
    <t>方便聯絡時段
上午 (09:00-12:00)
City
台中市</t>
  </si>
  <si>
    <t xml:space="preserve">現實考量,很喜歡木屋,但是價格就沒辦法接受
來看了能貸款嗎?不能買去看辛酸?
</t>
  </si>
  <si>
    <t>李育真</t>
  </si>
  <si>
    <t>0986616281</t>
  </si>
  <si>
    <t>今日可參訪？
居住縣市
台中
欲規劃基地縣市
梧棲
您的屬性?
小家庭 (合院)
希望參訪的日期
5/1
LINE@</t>
  </si>
  <si>
    <t>原本約好5/2,後來馬上取消
5/1 (五，子榕
客戶是因為目前沒有計畫要執行了，所以才取消
已告知，就算是5-10年後的規劃，現在看都很重要。
ai時代，有看過實體才知道。</t>
  </si>
  <si>
    <t>李艾倫</t>
  </si>
  <si>
    <t>0918774551</t>
  </si>
  <si>
    <t>您好：請問5/1下午方便過去看看嗎？（我和先生一起過去）
謝謝，敝姓李，0918774551</t>
  </si>
  <si>
    <t>有基地
居住:台中
地目:農地+建地
參訪:夫妻
平常忙,時間較難排
有告知合掌屋可以5月底看到
客人不在意看不看新款,原本就喜歡我們理念
主要想了解法規執行面可行性
也是FB名單,名稱tsubaki</t>
  </si>
  <si>
    <t>林豐順</t>
  </si>
  <si>
    <t>0932057659</t>
  </si>
  <si>
    <t>方便聯絡時段
下午 (13:00-17:00)
City台中市
7月初我們在約時間，謝謝</t>
  </si>
  <si>
    <t>2通未接</t>
  </si>
  <si>
    <t>謝文裕</t>
  </si>
  <si>
    <t>0920015579</t>
  </si>
  <si>
    <t>今天有空，請問能接受臨時預約嗎？ 3人</t>
  </si>
  <si>
    <t>有基地
居住:新北市
約臨時參訪,平常很忙碌
當下約下次可以時間,客人不確定,
理解提早一兩周預約時間</t>
  </si>
  <si>
    <t>陳雅瑜</t>
  </si>
  <si>
    <t>0921628648</t>
  </si>
  <si>
    <t>可以請問一下萬一被查緝說不合格不能擺放在農地上，我要從宜蘭移到花蓮的農地上都有馬路，都在平地不是山上距離大馬路都不遠，我可以了解一下 異地重建的費用大概需要多少嗎？</t>
  </si>
  <si>
    <t>目前不需要了
不用打給我了</t>
  </si>
  <si>
    <t>鄭彩屏</t>
  </si>
  <si>
    <t>0910552133</t>
  </si>
  <si>
    <t>方便聯絡時段
晚間 (17:00-21:00)
Full name
鄭彩屏
Phone number
+886910552133
City
台中市</t>
  </si>
  <si>
    <t xml:space="preserve">無地的參觀
先來了解
職業:櫃姐(百貨業)
</t>
  </si>
  <si>
    <t>張貞英</t>
  </si>
  <si>
    <t>0952380629</t>
  </si>
  <si>
    <t>方便聯絡時段
全天皆可
City
新竹</t>
  </si>
  <si>
    <t xml:space="preserve">
住:新竹
年齡:感覺50+
老家山上的一塊地,想規劃想很久了
廠商:有看過其他間
水電:無
參訪:夫妻
可安排時間:平日一或五&amp;週六
預計6月底約</t>
  </si>
  <si>
    <t>林碧玲</t>
  </si>
  <si>
    <t>0937071657</t>
  </si>
  <si>
    <t>方便聯絡時段
晚間 (17:00-21:00)
City
Taichung</t>
  </si>
  <si>
    <t>有回電 說沒事目前沒興趣</t>
  </si>
  <si>
    <t>林燄明</t>
  </si>
  <si>
    <t>0922701958</t>
  </si>
  <si>
    <t>方便聯絡時段
全天皆可
City
台南市</t>
  </si>
  <si>
    <t>去詢問過知道現在農地蓋房很困難
不用麻煩,先這樣,即掛電話</t>
  </si>
  <si>
    <t>林玉青</t>
  </si>
  <si>
    <t>0912625526</t>
  </si>
  <si>
    <t>方便聯絡時段
全天皆可
City
台中市</t>
  </si>
  <si>
    <t>以為是民宿,
未來會不會這樣規劃,還不確定
還在想&amp;在看</t>
  </si>
  <si>
    <t>陳雯芸</t>
  </si>
  <si>
    <t>0928234066</t>
  </si>
  <si>
    <t xml:space="preserve">請問如果是頂樓頂加是可以裝設的嗎
想問最小單位
</t>
  </si>
  <si>
    <t>以前購買過家具的客人
頂樓增加現成可休憩小屋
已有頂棚,高度不符合作罷</t>
  </si>
  <si>
    <t>郭智弘</t>
  </si>
  <si>
    <t>0912521357</t>
  </si>
  <si>
    <t>梓涵公務機</t>
  </si>
  <si>
    <t>想約太太可以的時間一起來參訪
太太常出差</t>
  </si>
  <si>
    <t>石楊薇</t>
  </si>
  <si>
    <t>0939391896</t>
  </si>
  <si>
    <t>無地的參觀
全天</t>
  </si>
  <si>
    <t>參訪:夫妻+小孩 (5歲)
居住:台中
未來規劃想找苗栗、南投基地</t>
  </si>
  <si>
    <t>李凾ㄏㄢˊ螢</t>
  </si>
  <si>
    <t>0988628372</t>
  </si>
  <si>
    <t>有地的參觀
皆可
如果沒接，可聯繫先生。但他是華裔外國人。需講慢點、簡單一點 0984262292</t>
  </si>
  <si>
    <t>正好要出門
再連絡
已經先引導加line
最近準備出國長住
出國一次都會待比較久的時間
用一處木屋可能會不常回來住
跟先生討論後,可能計畫先暫緩
有需要會再聯繫我們</t>
  </si>
  <si>
    <t>0926552978</t>
  </si>
  <si>
    <t>收到您的訊息~ 歡迎留下：
1. 大名：曾小姐
2. 電話：0926552978
3. 可聯繫時間
下午13:00以後</t>
  </si>
  <si>
    <t>FB名稱為"馬璐"
住: 台北
參訪: 夫妻+(柴犬可放置外出籠)
基地:嘉義老家的三合院
水電: 有
想要增建左邊棟
目前老公父母都住嘉義,因為小叔往生後
老公繼承了這個建物
想要蓋起來,退休會搬回來長住
狗狗僅有出國不帶身邊,其他時間都帶著一起跑
最近忙 還沒跟先生討論到這邊
時間點想要年底完成</t>
  </si>
  <si>
    <t>温雅惠</t>
  </si>
  <si>
    <t>0922011800</t>
  </si>
  <si>
    <t>問木屋放農地可以嗎(法規)
住桃園想目前在找台南的地</t>
  </si>
  <si>
    <t>朋友介紹她,才知道我們
參訪:夫妻
方便參訪時間:假日
5/7在跟先生確認時間中,今日回覆</t>
  </si>
  <si>
    <t>張國祥</t>
  </si>
  <si>
    <t>0932501919</t>
  </si>
  <si>
    <t>方便聯絡時段
下午 (13:00-17:00)
City
南投民間</t>
  </si>
  <si>
    <t>沒有耐性理解~
沒禮貌掛電話</t>
  </si>
  <si>
    <t>連淑嬅</t>
  </si>
  <si>
    <t>0953575798</t>
  </si>
  <si>
    <t>方便聯絡時段
下午 (13:00-17:00)
City
新北</t>
  </si>
  <si>
    <t>目前沒有基地
以為我們是一條龍(含基地的租賃方案)
這樣就先不用了</t>
  </si>
  <si>
    <t>金欣儀</t>
  </si>
  <si>
    <t>0922499188</t>
  </si>
  <si>
    <t>我之前有參觀過，目前繼續物色土地，可以再給我新的DM嗎?
請問長3院多少坪?
合掌屋多少坪?</t>
  </si>
  <si>
    <t>想復育原生植物，找農、林地，木屋是生活區
現居桃園，有機農產品的公司(五年內計畫)
參訪時間：2023/3/25
再找基地中
想再來參觀
[合掌屋]6月初可在約
撥去在上班中,不方便電話
假日較方便參觀</t>
  </si>
  <si>
    <t>葉曉音</t>
  </si>
  <si>
    <t>0982644884</t>
  </si>
  <si>
    <t>方便聯絡時段
晚間 (17:00-21:00)
City
台中市</t>
  </si>
  <si>
    <t>職業:老師
12點才方便電話
5/20 4pm後可聯繫</t>
  </si>
  <si>
    <t>郭翔怡</t>
  </si>
  <si>
    <t>0928435085</t>
  </si>
  <si>
    <t>你好，我在網站上有看到青銀后土村，想要了解這塊，這個也是報名參觀房屋時會順便介紹嗎？
星期四和星期天晚上八點前都可聯繫，今天也可以聯繫</t>
  </si>
  <si>
    <t>嘉義,診所上班族，目前班表排休是週四/日
嚮往這樣生活,目前無地所以有問到后土村
有排休會想來預約
可再追蹤</t>
  </si>
  <si>
    <t>5/14 參觀日5/29要延期,7、8月在確定日期
客人已先匯款了
尚未發預約成功訊息</t>
  </si>
  <si>
    <t>方便聯絡時段
下午 (13:00-17:00)
City
台中</t>
  </si>
  <si>
    <t>0913321798</t>
  </si>
  <si>
    <t>問木屋</t>
  </si>
  <si>
    <t xml:space="preserve">基地:台東
用途:給移工住
</t>
  </si>
  <si>
    <t>林勤為</t>
  </si>
  <si>
    <t>0926110838</t>
  </si>
  <si>
    <t>居住縣市
台北
欲規劃基地縣市
美國
您的屬性?
休閒業 (遊牧單院)
企業主 (合掌屋)
小家庭 (合院)
希望參訪的日期
2026/5/13 （之後就要去美國出差</t>
  </si>
  <si>
    <t>與能不能出口到美國
希望可以申請5/13參訪 因為之後就得去美國出差
居住 台北
5/13參訪延期</t>
  </si>
  <si>
    <t>Yu-cheng 
Tsai
蔡先生</t>
  </si>
  <si>
    <t>0968720767</t>
  </si>
  <si>
    <t>再忙工作
六點後才有空電話</t>
  </si>
  <si>
    <t>王晟桓</t>
  </si>
  <si>
    <t>0918319189</t>
  </si>
  <si>
    <t>只有週四有空，稱自己苗栗後龍有地
正在談很多家
今天不來就不來了，已告知園區有1500坪展示園區，以及如果有緊急規劃需求，可以先提供相關資訊，會提供專員公司進行VIP的約訪。
對方一直說 : 沒關係啦~ (裝客氣的感覺)</t>
  </si>
  <si>
    <t>方便聯絡時段
晚間 (17:00-21:00)
City
Taipei</t>
  </si>
  <si>
    <t>陳淑妙</t>
  </si>
  <si>
    <t>0903732288</t>
  </si>
  <si>
    <t>不需要,直接掛電話</t>
  </si>
  <si>
    <t>洪慈駿</t>
  </si>
  <si>
    <t>0956661202</t>
  </si>
  <si>
    <t>請教四人房單院的是屬哪種型態呢</t>
  </si>
  <si>
    <t>職業:設計師
公司名稱:加賀室內裝修
近期較忙(宜蘭案子)
商業用途
幫業主做的規劃,基地是農地
初步與業主共識(少破壞基地,快速,不大興土木建築方式)
有提供名片 官方line上
5/21 R語音1</t>
  </si>
  <si>
    <t>Lilian Ch</t>
  </si>
  <si>
    <t>0952780605</t>
  </si>
  <si>
    <t>方便聯絡時段
上午 (09:00-12:00)
City
台中東勢</t>
  </si>
  <si>
    <t>張又文 0952780605
已加梓涵公務機
人本森機(商店)老闆娘</t>
  </si>
  <si>
    <t>Sean Lin
林先生</t>
  </si>
  <si>
    <t>0925068681</t>
  </si>
  <si>
    <t>方便聯絡時段
下午 (13:00-17:00)
City
板橋</t>
  </si>
  <si>
    <t>無地的參觀
不急,會再打給我們</t>
  </si>
  <si>
    <t>吳梅鈴</t>
  </si>
  <si>
    <t>0987808404</t>
  </si>
  <si>
    <t>方便聯絡時段
全天皆可
City
高雄</t>
  </si>
  <si>
    <t>下午1300後可以聯絡
先看資料</t>
  </si>
  <si>
    <t>傅文賢</t>
  </si>
  <si>
    <t>0975929028</t>
  </si>
  <si>
    <t>方便聯絡時段
上午 (09:00-12:00)
City
桃園市中壢區青雲路100號</t>
  </si>
  <si>
    <t>初步想了解
軍5/12 4點二播
欣采建設/聯豐土地開發
官line上有給名片</t>
  </si>
  <si>
    <t>曾芷勻</t>
  </si>
  <si>
    <t>0963046009</t>
  </si>
  <si>
    <t>方便聯絡時段
下午 (13:00-17:00)
理想總價
200萬～360萬
City
屏東</t>
  </si>
  <si>
    <t>人在高雄
因為工作忙,較難排時間
只是好奇~尚未有需求
要參觀再自行連絡</t>
  </si>
  <si>
    <t>鄭艾綸</t>
  </si>
  <si>
    <t>0927701299</t>
  </si>
  <si>
    <t>嗨您好 請問還有申請體驗住宿的活動嗎</t>
  </si>
  <si>
    <t>無地的參觀
居住:台南
先來了解未來的規劃方向
週六較方便安排
已在官line留言
軍5/13 留言想要5/30參觀, 我請他選別天</t>
  </si>
  <si>
    <t>0918994081</t>
  </si>
  <si>
    <t>基地 雲林虎尾
假日休閒使用
太太協助加line</t>
  </si>
  <si>
    <t>5/16 在橋看看這天
5/15 未接,回電說5/16無法參加,下周可再聯繫</t>
  </si>
  <si>
    <t>陳子淇</t>
  </si>
  <si>
    <t>0923698585</t>
  </si>
  <si>
    <t>5/12 空號 梓涵聽錯號碼</t>
  </si>
  <si>
    <t>住大里 5F頂樓想蓋一個日式木屋區(來之前會自行先量尺寸)
(之前號碼記錯有再自行回電聯繫)</t>
  </si>
  <si>
    <t>郭坤宜</t>
  </si>
  <si>
    <t>0935166182</t>
  </si>
  <si>
    <t>這種適合放在三樓屋頂嗎
1730過後再電話聯繫</t>
  </si>
  <si>
    <t>職業:老師
居住:中壢
喜歡自然療癒自己的空間</t>
  </si>
  <si>
    <t>范姜小姐</t>
  </si>
  <si>
    <t>0911213156</t>
  </si>
  <si>
    <t>2院~想放在20坪土地上
費用多少?</t>
  </si>
  <si>
    <t>建地: 20坪
參訪:夫妻
預登記5/22或5/23(幫忙喬專員時間,再去電回覆)
5/15 先取消5/23參訪,家人生病最近忙</t>
  </si>
  <si>
    <t>楊永泉</t>
  </si>
  <si>
    <t>0922003775</t>
  </si>
  <si>
    <t xml:space="preserve">與傅文賢 0975929028是夥伴朋友一起來了解
</t>
  </si>
  <si>
    <t>土地開發建設公司
看到我們蓋屋形式
想看未來怎麼運用先來了解</t>
  </si>
  <si>
    <t>張又文</t>
  </si>
  <si>
    <t>方便聯絡時段
中午 (12:00-13:00)
City
台中</t>
  </si>
  <si>
    <t>居住: 台中東勢
基地: 國姓
地目: 農地
坪數: 5分地
參訪: 自己
規劃夫妻休閒度假屋,家人人數多,偶爾來
已關注我們很多年
親戚朋友有買紅屋~</t>
  </si>
  <si>
    <t>張簡瑞月</t>
  </si>
  <si>
    <t>0919101813</t>
  </si>
  <si>
    <t>方便聯絡時段
上午 (09:00-12:00)
理想總價
100萬～200萬
City
高雄</t>
  </si>
  <si>
    <t>軍5/12 4點半  電話沒有撥通
涵5/20 一直語音,無法接通</t>
  </si>
  <si>
    <t>邱朝隆</t>
  </si>
  <si>
    <t>0938505559</t>
  </si>
  <si>
    <t>我還可以提供「微槓桿有限公司」的「微零碳生態照明」</t>
  </si>
  <si>
    <t>作工程已退休
推薦我們產品,照明設備
無基地無想法
只是跟我們分享他的看法而已~
無預算
邀約參觀,說需要在自己聯絡</t>
  </si>
  <si>
    <t>吳尚艗</t>
  </si>
  <si>
    <t>0912772372</t>
  </si>
  <si>
    <t>蔡慈愛</t>
  </si>
  <si>
    <t>0988722930</t>
  </si>
  <si>
    <t>設計師幫業主規劃
需求放頂樓</t>
  </si>
  <si>
    <t xml:space="preserve">
兩周忙完後,可以自己先來參觀
有關注自然紅屋一段時間
在line時間或打電話預約
職業:室內設計師
地點:台南新營
業主:科技業主管職,常去日本度假
是新成屋透天屋頂想放紅屋,看出去是稻田
參訪: 設計師蔡小姐(&amp;同事)、業主兩夫妻
</t>
  </si>
  <si>
    <t>Benny Tien
田</t>
  </si>
  <si>
    <t>0978952038</t>
  </si>
  <si>
    <t>方便聯絡時段
上午 (09:00-12:00)
City
新竹</t>
  </si>
  <si>
    <t>苗栗頭份 靠水庫 農地想用資材室
有地分割4-5塊, 預計半年至一年
有問到木材耐候怕潮濕
說一定會來參觀, 只是還在用水...要計畫一下
可短中期追蹤</t>
  </si>
  <si>
    <t>王淑玲</t>
  </si>
  <si>
    <t>0955581837</t>
  </si>
  <si>
    <t>方便聯絡時段
全天皆可
理想總價
200萬～360萬
City
高雄市</t>
  </si>
  <si>
    <t>土地開發商
30個股東已購買土地&amp;申請好水電
想了解紅屋蓋屋方式&amp;可否合作的機會</t>
  </si>
  <si>
    <t>劉先生</t>
  </si>
  <si>
    <t>0956712777</t>
  </si>
  <si>
    <t>方便聯絡時段
晚間 (17:00-21:00)
理想總價
100萬～200萬
City
高雄</t>
  </si>
  <si>
    <t>轉語音</t>
  </si>
  <si>
    <t>張自驊</t>
  </si>
  <si>
    <t>0983113781</t>
  </si>
  <si>
    <t>方便聯絡時段
下午 (13:00-17:00)
理想總價
50萬～100萬
City
鳥松區</t>
  </si>
  <si>
    <t>張耀文</t>
  </si>
  <si>
    <t>0928360276</t>
  </si>
  <si>
    <t>方便聯絡時段
上午 (09:00-12:00)
理想總價
100萬～200萬
City
彰化市</t>
  </si>
  <si>
    <t>說和太太時間橋不確定
叫他加line
彰化建地寬6M想要走合法
有問2樓層</t>
  </si>
  <si>
    <t>吳月娥</t>
  </si>
  <si>
    <t>0952421665</t>
  </si>
  <si>
    <t>方便聯絡時段
晚間 (17:00-21:00)
理想總價
360萬～450萬
City
嘉義市</t>
  </si>
  <si>
    <t xml:space="preserve">找基地中
較不會操作手機,要請兒子協助
已加梓涵公務機
喜歡木屋氛圍,想來參觀,會再跟我們聯絡
5/29不會自己開車,住台南,有上台中再約參訪
是願意參訪的人,願意聊電話
</t>
  </si>
  <si>
    <t>方便聯絡時段
上午 (09:00-12:00)
理想總價
100萬～200萬
City
Kaohsiung</t>
  </si>
  <si>
    <t>住:高雄
基地:屏東萬丹
參訪: 自己
有基地資訊~提到可以先傳line
或是基地資訊備著當天可以跟專員討論</t>
  </si>
  <si>
    <t>李秈霈</t>
  </si>
  <si>
    <t>0909102767</t>
  </si>
  <si>
    <t xml:space="preserve">無地的參觀
以為能夠住宿
</t>
  </si>
  <si>
    <t>再忙,晚點再撥
居住:清水
5/20 目前積極找地中,有想來參觀木屋
偏向找苗栗基地
約6/3參訪客戶說沒這麼快
到時候提早一星期與我們聯絡約時間</t>
  </si>
  <si>
    <t>陳R</t>
  </si>
  <si>
    <t>0932699718</t>
  </si>
  <si>
    <t>80歲，長輩誤觸電話</t>
  </si>
  <si>
    <t>陳彥儒</t>
  </si>
  <si>
    <t>0960135688</t>
  </si>
  <si>
    <t xml:space="preserve">去年8月參訪(淺參訪)
基地考慮蓋2院或3院給父母住
</t>
  </si>
  <si>
    <t>加梓涵公務機
有單子</t>
  </si>
  <si>
    <t>傅R</t>
  </si>
  <si>
    <t>0955599952</t>
  </si>
  <si>
    <t>說沒有急著要住</t>
  </si>
  <si>
    <t>張玉貞</t>
  </si>
  <si>
    <t>0910566870</t>
  </si>
  <si>
    <t>方便聯絡時段
下午 (13:00-17:00)
City
Taichung</t>
  </si>
  <si>
    <t>剛好下周要出國，3個月(工作)，8月份才能再約
時間表：一年內可能(但不確定，完全不急)
有地
用途：目前已經有渡假小屋， 只是想再蓋一個休閒屋（可供朋友來時泡茶/賞池塘+或每天運動的小健身房+一個房間+農用工具室） </t>
  </si>
  <si>
    <t>陳鍾如</t>
  </si>
  <si>
    <t>0938029361</t>
  </si>
  <si>
    <t>方便聯絡時段
僅假日方便
City
南投市</t>
  </si>
  <si>
    <t>退休後想做個工作室
無地的參觀
參訪者:自己 (開車or大眾運輸)
會找時間參訪,再自行連絡</t>
  </si>
  <si>
    <t>Minami Kou
高先生</t>
  </si>
  <si>
    <t>0972013936</t>
  </si>
  <si>
    <t>方便聯絡時段
晚間 (17:00-21:00)
理想總價
50萬～100萬
City
台南市</t>
  </si>
  <si>
    <t>問是否要了解木屋，目前不需要</t>
  </si>
  <si>
    <t>0921388713</t>
  </si>
  <si>
    <t>方便聯絡時段
全天皆可
理想總價
100萬～200萬
City
Nantou</t>
  </si>
  <si>
    <r>
      <rPr>
        <rFont val="Arial"/>
        <color theme="1"/>
      </rPr>
      <t xml:space="preserve">已+LIN@E@
明早要去南投60坪的建地，處理台水&amp;電的簽立事宜。
是一個會殺價的人的個性
</t>
    </r>
    <r>
      <rPr>
        <rFont val="Arial"/>
        <color rgb="FFFF0000"/>
      </rPr>
      <t xml:space="preserve">4月 買好地就在設法自地自建，建築師報價 鋼構屋20.5萬/坪
</t>
    </r>
    <r>
      <rPr>
        <rFont val="Arial"/>
        <color theme="1"/>
      </rPr>
      <t xml:space="preserve">太貴，RC18-20萬/坪(我告訴他的)
搞到現在，一片瓦都還沒蓋上去。以後誰說要自地自建的都滾蛋 XD
</t>
    </r>
    <r>
      <rPr>
        <rFont val="Arial"/>
        <color rgb="FFFF0000"/>
      </rPr>
      <t>要去開刀、住院，兩個月後再聯繫。</t>
    </r>
    <r>
      <rPr>
        <rFont val="Arial"/>
        <color theme="1"/>
      </rPr>
      <t xml:space="preserve">
沒有自來水，因為最近剛鋪路，自來水公司說要等 2年後，才能申請水(超氣憤)
現在圖已經畫好，但因為太貴跟水的問題，不想直接送件
因為如果先跟鄰居借水，送件了然後房子蓋好，就不給他補請水錶??? (承廷覺得聽聽就好，可能是態度太差)</t>
    </r>
  </si>
  <si>
    <t>陳美妙</t>
  </si>
  <si>
    <t>0912678885</t>
  </si>
  <si>
    <t>住台中 有地，建地(無水電)100多坪
地點：陸光七村景觀餐廳(這兒附近約200公尺)
https://share.google/3gf0MqQgLGdnjkmKs
7-8年前有來過園區，現在想再帶小孩來訪，有想開始認真規劃的念頭</t>
  </si>
  <si>
    <t>Ping Feng
Chen
陳先生</t>
  </si>
  <si>
    <t>0937662263</t>
  </si>
  <si>
    <t>方便聯絡時段
下午 (13:00-17:00)
理想總價
100萬～200萬
City
Tainan</t>
  </si>
  <si>
    <t xml:space="preserve">寄簡訊 開車中，三點半後再聯繫~
15:52 siri阻擋 留言but無法接聽
5/29涵   siri阻擋 留言but直接掛電話 </t>
  </si>
  <si>
    <t>蘇信二</t>
  </si>
  <si>
    <t>0935872669</t>
  </si>
  <si>
    <t>方便聯絡時段
僅假日方便
理想總價
450萬+
Full name
蘇信二
City
左營區</t>
  </si>
  <si>
    <t>已看簡訊，感覺怪，只是要問我們有沒有連同土地一起販售
假日可預約，說要問問家人。
但又改口說 也許平日可預約
(會自行+LINE)</t>
  </si>
  <si>
    <t>(ㄍㄨㄢ)
關祥彬</t>
  </si>
  <si>
    <t>0987968970</t>
  </si>
  <si>
    <t>方便聯絡時段
僅假日方便
理想總價
50萬～100萬
City
Taichung</t>
  </si>
  <si>
    <t>住 台中
基地 南投國姓，農地，有水有電
想法：農地上種點農時 有一個可以休息洗澡的地方
參訪：自己
理想總價50萬～100萬，電話初步溝通 可能可以增加100+萬預算(双院)
原本約6/6, 但因為看另一間裝修案場,延期</t>
  </si>
  <si>
    <t>Fan</t>
  </si>
  <si>
    <t>0933693132</t>
  </si>
  <si>
    <t>方便聯絡時段
中午 (12:00-13:00)
理想總價
100萬～200萬
City
Taitunghsien</t>
  </si>
  <si>
    <t>說不用就拒絕了~</t>
  </si>
  <si>
    <t>陳雅芳</t>
  </si>
  <si>
    <t>0928270948</t>
  </si>
  <si>
    <t>住：台北
參訪：2位
無地
預計安排6/3周三場次 (PM02:00)
等她跟老公確認好
5/20 未接3
5/21 未接1</t>
  </si>
  <si>
    <t>等6月才約，他跟她老公時間喬不攏
有LINE@
5/29 態度非常好,是有興趣了解的,但真的不急
6/3是因為順路約看看,因為也還未退休,
有詢問我們有包含租地?
會再主動聯繫我們,不用再打給她了</t>
  </si>
  <si>
    <t>惠虔蔡</t>
  </si>
  <si>
    <t>0921222446</t>
  </si>
  <si>
    <t>有地的參觀
buddhism625@gmail.com</t>
  </si>
  <si>
    <t>說已經跟廠商簽約了
廠商價格、作品有符合需求就當下簽約了
我們太晚才聯絡~</t>
  </si>
  <si>
    <t>洪西國</t>
  </si>
  <si>
    <t>0931511919</t>
  </si>
  <si>
    <t>方便聯絡時段
上午 (09:00-12:00)
理想總價
200萬～360萬
City
Miaoli</t>
  </si>
  <si>
    <r>
      <rPr>
        <rFont val="Arial"/>
        <color theme="1"/>
      </rPr>
      <t>住：銅鑼
基地：銅鑼 丙建 老家的地
目的：長住
土地資料：</t>
    </r>
    <r>
      <rPr>
        <rFont val="Arial"/>
        <color rgb="FFFF0000"/>
      </rPr>
      <t>LINE會傳</t>
    </r>
    <r>
      <rPr>
        <rFont val="Arial"/>
        <color theme="1"/>
      </rPr>
      <t xml:space="preserve">
預算：
時間：
決策：
法規：
問題：怕潮濕(已告知木屋反而乾)、坪數
理念：喜歡木材
涵6/2 原因冬天很潮濕,跟建築師討論過還是決定蓋鋼構</t>
    </r>
  </si>
  <si>
    <t>蕭聿哲</t>
  </si>
  <si>
    <t>0937230256</t>
  </si>
  <si>
    <t>未接3</t>
  </si>
  <si>
    <t xml:space="preserve">不會加line,要請女兒協助
會再請女兒打給我們
</t>
  </si>
  <si>
    <t>陳郁雯</t>
  </si>
  <si>
    <t>0972053143</t>
  </si>
  <si>
    <t>請問體驗是在台中石岡嗎？
這星期六還可以安排體驗嗎？</t>
  </si>
  <si>
    <t>5/23 六
參訪：夫妻
(小孩 大班&amp;小1，給娘家照顧)
目前是住在 台南 (小孩華德福，因為台南的華德福發展不太好，想轉學)
目標：新埔找地，小孩轉學到新竹華德福</t>
  </si>
  <si>
    <t>許柏彥</t>
  </si>
  <si>
    <t>0952683780</t>
  </si>
  <si>
    <t>方便聯絡時段
全天皆可City
房子建在那裡？</t>
  </si>
  <si>
    <t>18年前買地，15年前蓋木屋(弟弟的地在旁邊也一樣蓋木屋) 兩棟都有白蟻的問題，每年都要花很多錢保養
只是要找塑木廠商
HM 這種客戶不能講道哩，講了也聽不懂(會有自己很多想法)，要做的是 讓他震驚，照片or直接告訴：完全不一樣，你一定沒看過！</t>
  </si>
  <si>
    <t>白詠</t>
  </si>
  <si>
    <t xml:space="preserve">
0928933955</t>
  </si>
  <si>
    <t>方便聯絡時段
僅假日方便
City
台中市</t>
  </si>
  <si>
    <t>女兒是夢想家的一員，2025年的時候有來過園區參訪
想約5/27 三 下午 (早上一定要去一下公司，6/1.2要出國所以5/28以前比較方便)
講話算很客氣也中肯(有執行力) 其他的見面再談
目的：
土地：白先生三義有一塊地，水電?
預算：問2院 &gt; 說女兒覺得貴 (可能有自己經營公司?)
時間：
決策：夫妻
問題：(2院坪數)
下一步意願：
理念認同：
加安消防安全設備有限公司
統編 13060655
代表人 白又仁
資本總額2,600,000元</t>
  </si>
  <si>
    <t>林恩婕</t>
  </si>
  <si>
    <t>0918815008</t>
  </si>
  <si>
    <t>方便聯絡時段
上午 (09:00-12:00)
理想總價
200萬～360萬
City
Nantou</t>
  </si>
  <si>
    <t>假日較忙
再看一下資訊~
會跟我們約參訪
有地的參觀
基地:中興新村
說剛好約廠商來看地,晚點再跟我們聯絡</t>
  </si>
  <si>
    <t>0909574134</t>
  </si>
  <si>
    <t>今天從嘉義北上台北(已告知今日參訪額滿)
有看到二手屋資訊(先告知合掌屋已入園)</t>
  </si>
  <si>
    <t>陳文華</t>
  </si>
  <si>
    <t>0922800592</t>
  </si>
  <si>
    <t>方便聯絡時段
全天皆可
理想總價
450萬+
City
Taipei</t>
  </si>
  <si>
    <t>有地的參觀
職業:台積電退休
基地:竹北農地
參訪:夫妻+兒子
說大話那一型</t>
  </si>
  <si>
    <t>董悅暐</t>
  </si>
  <si>
    <t>0938288511</t>
  </si>
  <si>
    <t>方便聯絡時段
全天皆可
理想總價
100萬～200萬
City
Kaohsiung</t>
  </si>
  <si>
    <t>有地的參觀
住:高雄
要過去參觀要排時間
尚未看過資料</t>
  </si>
  <si>
    <t>陳大為</t>
  </si>
  <si>
    <t>0929231877</t>
  </si>
  <si>
    <t>方便聯絡時段
下午 (13:00-17:00)
理想總價
450萬+
City
Kaohsiung</t>
  </si>
  <si>
    <t>詢問我們是賣木屋?
不給說話,
直接說需要再跟我們說~掛電話</t>
  </si>
  <si>
    <t>0972778872</t>
  </si>
  <si>
    <t>貴司您好，目前雲林有塊地大約3570坪左右，原先要做長照不過建照已過期，目前改出租，尋承租人，不曉得貴司有沒有興趣。</t>
  </si>
  <si>
    <t>投資客，純粹想租地出來</t>
  </si>
  <si>
    <t>黃譯萱</t>
  </si>
  <si>
    <t>0919386172</t>
  </si>
  <si>
    <t xml:space="preserve">有地的參觀，平日18:00後    想了解木屋構造實際參訪、報價、建築注意事項法規
</t>
  </si>
  <si>
    <t>住：新北 工作 新北 (平常工作下班比較晚，都要晚上or假日才能電話聯繫，可先用LINE@聯絡)
基地：無
目的：單身，大單院就夠。厭倦都市水泥叢林，想要用100萬給自己一個ˇ度假的小空間
土地資料：
預算：100+
時間：
決策：
法規：
問題：
理念：</t>
  </si>
  <si>
    <t>彭琳淳</t>
  </si>
  <si>
    <t>0989309970</t>
  </si>
  <si>
    <t>方便聯絡時段
下午 (13:00-17:00)
理想總價
200萬～360萬
City
Hsinchu</t>
  </si>
  <si>
    <t>已關注紅屋 5年(從宥勝時期起)，未看過
工作 新竹 (餐飲)，跟老公一起開的店(只有公休周一)
想買的地 中南部(老公是台中人)，推薦他找苗栗地區
新竹的地覺得太貴
有想參訪的意願，等他跟她老公安排店休日</t>
  </si>
  <si>
    <t>陳穎</t>
  </si>
  <si>
    <t>0932042293</t>
  </si>
  <si>
    <t>方便聯絡時段
下午 (13:00-17:00)
理想總價
200萬～360萬
City
苗栗</t>
  </si>
  <si>
    <t>苗栗~台北兩邊跑
會開車
(時間被孩子綁住,支援照顧孫子)
約參訪可能會臨時取消
基地: 苗栗
住: 苗栗(不同地點,自己的住家)
決策: 自己
因這基地有美景,弄好讓家人或朋友偶而去休閒度假
法規: 理解苗栗不太會拆除僅罰款
需求: 客餐廳&amp; 2臥房 &amp;有戶外平台
累了也會不想出門
沒辦法加line,說現在不方便
涵試著加她line~沒辦法加</t>
  </si>
  <si>
    <t>葉松衡</t>
  </si>
  <si>
    <t>0928585343</t>
  </si>
  <si>
    <t>方便聯絡時段
全天皆可
理想總價
450萬+
City
桃園市桃園區</t>
  </si>
  <si>
    <t>今日再忙，5/27下午再撥
1630 通話中
5/29 位階</t>
  </si>
  <si>
    <t>0985362237</t>
  </si>
  <si>
    <t>方便聯絡時段
下午 (13:00-17:00)
理想總價
100萬～200萬
City
台中市</t>
  </si>
  <si>
    <t>今日再忙，5/27下午再撥
5/29 位階</t>
  </si>
  <si>
    <t>Robert Wang</t>
  </si>
  <si>
    <t>0972619697</t>
  </si>
  <si>
    <t>方便聯絡時段
晚間 (17:00-21:00)
理想總價
200萬～360萬
City
中壢</t>
  </si>
  <si>
    <t>目前人在歐洲，等回國後再聯繫</t>
  </si>
  <si>
    <t>Shihlin Lee
李世琳</t>
  </si>
  <si>
    <t>0988234018</t>
  </si>
  <si>
    <t>方便聯絡時段
全天皆可
理想總價
200萬～360萬
City
Taipei</t>
  </si>
  <si>
    <t>目前在日本
6月初再連絡
梓涵公務機已傳 資料</t>
  </si>
  <si>
    <t>Ming-Tan 
Hsieh
謝明潭</t>
  </si>
  <si>
    <t>0937699654</t>
  </si>
  <si>
    <t>方便聯絡時段
全天皆可
理想總價
360萬～450萬
City
Tainan</t>
  </si>
  <si>
    <t>高度興趣想了解
不過6月底才能安排參觀
住:埔里
基地:埔里
想申請合法
木屋整個做好不用600萬覺得划算
尚未收到資料
因在開車中,回去會加line,要傳資訊給客人
5/28 態度客氣，回撥，待會就加LINE</t>
  </si>
  <si>
    <t>0920403076</t>
  </si>
  <si>
    <t>看FB廣告來電詢問</t>
  </si>
  <si>
    <t>住:屏東枋寮
基地:枋寮
地目:農地+建地
木屋目的:假日休閒
參訪: 2位
看過資料,等加官方line確認時間
5/29 位階</t>
  </si>
  <si>
    <t>葉淑珍</t>
  </si>
  <si>
    <t>0938363861</t>
  </si>
  <si>
    <t>一家四口的話,建議多少坪數?
從網路上youtube看到我們資訊</t>
  </si>
  <si>
    <t>住:屏東市區
基地:屏東潮州(老家的基地)
水電:還沒申請
地目:不清楚
廠商: 看過蠻多家廠商
決策人:葉小姐弟弟~葉小姐先幫弟弟探詢
弟弟是單親家庭,(3小孩:大三、大二、高中)
參訪人: 葉淑珍&amp;兒子(開車)&amp;弟弟(主要住)&amp;妹妹&amp;母親
5/29客人說6/13先取消,等弟弟學校比賽比完,
再來約時間參觀,時間較充裕
預計6/17打電話約,已說明更改為早上10點場次</t>
  </si>
  <si>
    <t>王鳴鐘</t>
  </si>
  <si>
    <t>0913320797</t>
  </si>
  <si>
    <t>方便聯絡時段
晚間 (17:00-21:00)
理想總價
100萬～200萬
City
新竹市</t>
  </si>
  <si>
    <t>今日再會議與活動中(背景音樂很多聲音)
5/28再聯繫
已+子榕公務機
5/28 1615 位階</t>
  </si>
  <si>
    <t>蔣小梅</t>
  </si>
  <si>
    <t>0932947981</t>
  </si>
  <si>
    <t>蔣小梅(森優實驗教育)
方便聯繫時間14:00~19:00
6/6 三位
4/1
以前的家具客,知道我們有做木屋
現在想找地蓋房(不偏好RC)
來電問連假參訪
-&gt;先傳WIX
已告知客人時間近點確認 5月底打給客人"</t>
  </si>
  <si>
    <r>
      <rPr>
        <rFont val="Arial"/>
        <color theme="1"/>
      </rPr>
      <t xml:space="preserve">A已有的基地 2600坪，太大塊 (比較遠)
B正在考慮買的基地 80坪，還在看 (離市區比較近)
</t>
    </r>
    <r>
      <rPr>
        <rFont val="Arial"/>
        <color rgb="FFFF0000"/>
      </rPr>
      <t>( 會再傳土地資料 )</t>
    </r>
    <r>
      <rPr>
        <rFont val="Arial"/>
        <color theme="1"/>
      </rPr>
      <t xml:space="preserve">
"女兒研究所中
參觀: 夫妻+女兒
居住: 台中
基地: 中興新村 (新的？)
蓋了之後希望我們一家三口會經常聚會在這邊
</t>
    </r>
    <r>
      <rPr>
        <rFont val="Arial"/>
        <color rgb="FFFF0000"/>
      </rPr>
      <t>剛好再開車，後續再線上多了解</t>
    </r>
  </si>
  <si>
    <t>簡旭宏</t>
  </si>
  <si>
    <t>0932713020</t>
  </si>
  <si>
    <t>ta4997@yahoo.com.tw
先寄mail 5/28 再聯繫</t>
  </si>
  <si>
    <t>住：台中
基地：嘉義
目的：
土地資料：
預算：
時間：
決策：
法規：
問題：
理念：
5/29涵  6月初出國玩,回國在跟我們約時間,想看實體屋</t>
  </si>
  <si>
    <t>周啓揚</t>
  </si>
  <si>
    <t>0910464020</t>
  </si>
  <si>
    <t>住：台中西區美術館
居住人:長輩or自己(3~5人) 
基地：霧峰
目的：農地
土地資料：等
預算：
時間：7、8月水稻採收完開始啟動
決策：自己
法規：
問題：工程問題
理念：認同,三年前來參觀過</t>
  </si>
  <si>
    <t>王嘉瑜</t>
  </si>
  <si>
    <t>0935556866</t>
  </si>
  <si>
    <t>方便聯絡時段
僅假日方便
理想總價
50萬～100萬
City
桃園市桃園區</t>
  </si>
  <si>
    <t>住：
居住人: 想蓋好出租
基地：雲林虎尾
目的：農地
土地資料：
預算：
時間：
決策：
法規：不清楚,擔心被拆
問題：
理念：
5/29涵 沒動力~不急(說會自行約時間)顧小孩</t>
  </si>
  <si>
    <t>陳惠澤</t>
  </si>
  <si>
    <t>等電話</t>
  </si>
  <si>
    <t>請問地址</t>
  </si>
  <si>
    <t>楊淑惠</t>
  </si>
  <si>
    <t>0936826965</t>
  </si>
  <si>
    <t>兩年前參訪過,
這次主要想帶朋友來參觀</t>
  </si>
  <si>
    <t>因為2023年參訪感受不錯
邀約朋友來參觀
住: 東勢
目前沒有基地
與朋友認同紅屋理念&amp;自然
未來也不想蓋鋼筋水泥破壞土地
先來了解</t>
  </si>
  <si>
    <t>陳小惠</t>
  </si>
  <si>
    <t>0952894849</t>
  </si>
  <si>
    <t>方便聯絡時段
下午 (13:00-17:00)
理想總價
50萬～100萬
City
Taichung</t>
  </si>
  <si>
    <t>確認已收到簡訊,未看
基地: 苑裡
現況: 種水稻
坪數: 300坪
水電: 有 (灌溉用地下水)
參訪: 自己,(覺得可以再帶家人來了解)
時間: 沒有計畫
需求住: 2~3位
法規: 不知如何是好
想法: 打算蓋農作休息處,否則賣掉,但賣掉又卡時間性
想自己先來了解,在跟家人說明</t>
  </si>
  <si>
    <t>0952099620</t>
  </si>
  <si>
    <t>明日電話聯繫，跟先生討論一下想預約時間</t>
  </si>
  <si>
    <t>住 新社，夫家在新社有地(祖產) 目前種葡萄(天氣越來越熱越來越難種)
基地：祖產
目的：看到YT黑龍的影片，有心動，但只想先了解后土村。
土地資料：
預算：
時間：
決策：
法規：
問題：
理念：</t>
  </si>
  <si>
    <t>趙承志</t>
  </si>
  <si>
    <t>0920734357</t>
  </si>
  <si>
    <t>請問什麼時間有開放參訪呢
那跟你預約6/6，方便嗎？
平日晚上，或請先通知來電時間</t>
  </si>
  <si>
    <t>住：台中
基地：無
目的：還在初步沒有完整的想法，想三代同堂(其他家人不了解)
土地資料：
預算：
時間：
決策：
法規：
問題：
理念：喜歡無毒的、天然的木材與這樣的生活環境
FB滑到</t>
  </si>
  <si>
    <t>趙先生</t>
  </si>
  <si>
    <t>0920680035</t>
  </si>
  <si>
    <t xml:space="preserve">有地的參觀       </t>
  </si>
  <si>
    <t>彰化芬園建地 但最近這半個月比較忙
想要7月份再參訪聯繫</t>
  </si>
  <si>
    <t>李仙麗</t>
  </si>
  <si>
    <t>0975169589</t>
  </si>
  <si>
    <t>方便聯絡時段
僅假日方便
理想總價
100萬～200萬
City
台中市</t>
  </si>
  <si>
    <t>說在醫院不方便通話可用line打字聯繫
與家人確認中</t>
  </si>
  <si>
    <t>柯昭因小姐</t>
  </si>
  <si>
    <t>0919016909</t>
  </si>
  <si>
    <t>方便聯絡時段
全天皆可
理想總價
50萬～100萬
City
台北市</t>
  </si>
  <si>
    <t>台北想放頂樓
已加line</t>
  </si>
  <si>
    <t>侯惟中</t>
  </si>
  <si>
    <t>0980690700</t>
  </si>
  <si>
    <t>方便聯絡時段
上午 (09:00-12:00)
理想總價
450萬+
City
高雄市</t>
  </si>
  <si>
    <t xml:space="preserve">苗栗林牧地 用途自住
正在做功課
可參訪日期周六,意願高
自己+媽媽+老婆+2歲嬰兒
</t>
  </si>
  <si>
    <t>方便聯絡時段
僅假日方便
理想總價
450萬+
City
新北市</t>
  </si>
  <si>
    <t>假設山上有塊空地,化糞池要怎麼處理?
先看資料,了解產品</t>
  </si>
  <si>
    <t>王照邦</t>
  </si>
  <si>
    <t>0932328558</t>
  </si>
  <si>
    <t>方便聯絡時段
全天皆可
理想總價
360萬～450萬
Full name
王照邦
Phone number
+8860932328558
City
Taipei</t>
  </si>
  <si>
    <t>電話主人不是"王照邦" 他說接到太多人打這支電話來要找王照邦
不用打給他,
他每天會接到不同廠商5~6通,很困擾</t>
  </si>
  <si>
    <t>詹雯喜</t>
  </si>
  <si>
    <t>0909189829</t>
  </si>
  <si>
    <t>方便聯絡時段
中午 (12:00-13:00)
理想總價
200萬～360萬
City
新北市新莊區</t>
  </si>
  <si>
    <t>有1600坪農地
只是需要先蓋一個資材室
最近有點忙
會再看資料再與我們聯繫
已告知可以加line</t>
  </si>
  <si>
    <t>廖先生</t>
  </si>
  <si>
    <t>方便聯絡時段
晚間 (17:00-21:00)
理想總價
100萬～200萬
City
Huwei</t>
  </si>
  <si>
    <t>語音:確認來電是誰</t>
  </si>
  <si>
    <t>方便聯絡時段
中午 (12:00-13:00)
理想總價
100萬～200萬
City
Xinbei</t>
  </si>
  <si>
    <t>基地: 雙溪
想要雙層樓40坪
先請先生看過資料,再去電聯繫
6/6未接</t>
  </si>
  <si>
    <t>蔡耀傑</t>
  </si>
  <si>
    <t>0918028722</t>
  </si>
  <si>
    <t>方便聯絡時段
全天皆可
理想總價
50萬～100萬
City
Taichung</t>
  </si>
  <si>
    <t>很有禮貌~
有收到簡訊,讀完再line我們</t>
  </si>
  <si>
    <t>邵以臻</t>
  </si>
  <si>
    <t>0905288737</t>
  </si>
  <si>
    <t>方便聯絡時段
上午 (09:00-12:00)
理想總價
50萬～100萬
City
Longtan District</t>
  </si>
  <si>
    <t>住：桃園
基地：龍潭,六福村附近
現況： 打算再找其他地點,可以放木屋+菜圃
目的：
年齡：60+  / 母親80+阿姨80+
6/3 因為生病中暫時不會參訪</t>
  </si>
  <si>
    <t>廖文貞</t>
  </si>
  <si>
    <t>0932215605</t>
  </si>
  <si>
    <t>方便聯絡時段
下午 (13:00-17:00)
理想總價
200萬～360萬
City
台南市</t>
  </si>
  <si>
    <t>住：
基地：台南老家基地
現況： 目前承租給人種農作物
目的：1~2年後退休會長住,提早蓋好就假日去休閒度假
土地資料：
預算：
時間：1~2年後
決策：夫妻
法規：想蓋農舍,對法規一知半解
問題：
理念：
在跟先生確定6/19這天</t>
  </si>
  <si>
    <t>陳勃宇</t>
  </si>
  <si>
    <t>0900626205</t>
  </si>
  <si>
    <t>方便聯絡時段
全天皆可
理想總價
100萬～200萬
City
Xinbei</t>
  </si>
  <si>
    <t xml:space="preserve">是設計師(農莊&amp;園藝規劃)
幫業主蒐集資訊回報
業主是時常台灣大陸往返
莊園會有很多區塊,也會種植高經濟作物
業主已有地方睡覺休息,要蓋客人來訪招待空間
</t>
  </si>
  <si>
    <t>陳坤隆</t>
  </si>
  <si>
    <t>0932629854</t>
  </si>
  <si>
    <t>方便聯絡時段
上午 (09:00-12:00)
理想總價
200萬～360萬
City
Taichung</t>
  </si>
  <si>
    <t>參訪: 夫妻
有看過資料,會想到現場參觀
還沒跟太太約好時間
原則上會約周六參觀
會在line跟我們說時間</t>
  </si>
  <si>
    <t>李威廉</t>
  </si>
  <si>
    <t>0916318828</t>
  </si>
  <si>
    <t>方便聯絡時段
上午 (09:00-12:00)
理想總價
200萬～360萬
City
台北市</t>
  </si>
  <si>
    <t>找土地中
偏好苗栗山上
僅日一二可安排參觀
是助理跟李先生推薦,詢問北部可看實體嗎?
會再請助理跟我們約時間</t>
  </si>
  <si>
    <t>方便聯絡時段
上午 (09:00-12:00)
理想總價
50萬～100萬
City
宜蘭市</t>
  </si>
  <si>
    <t>丘祺臺
Chi-Tai Chiu</t>
  </si>
  <si>
    <t>0937034066</t>
  </si>
  <si>
    <t>方便聯絡時段
全天皆可
理想總價
360萬～450萬
City
桃園市桃園區</t>
  </si>
  <si>
    <t>沒收到簡訊,再寄一次
加梓涵公務機
基地: 找地中 (偏好找苗栗三灣以北)
居住: 桃園
年齡: 74歲
家庭成員: 夫妻+女兒
職業: 退休
原因: 退休休閒用
決策: 自己
目前在上(佛學)課,也許七、八月份在約參觀
想要找好地在參觀,主要是自己會住,太太不喜歡鄉下
也觀望台中另一間,參觀想約同天
認為木屋保養不容易</t>
  </si>
  <si>
    <t>曾銘圳</t>
  </si>
  <si>
    <t>0932527933</t>
  </si>
  <si>
    <t>有預約明天參觀</t>
  </si>
  <si>
    <t>有地的參觀
基地:苗栗
居住:苗栗
參訪: 夫妻
富都不動產股份有限公司
統一編號24209444
代表人曾銘圳
資本總額6,000,000 元</t>
  </si>
  <si>
    <t>林佳樺</t>
  </si>
  <si>
    <t>0988831696</t>
  </si>
  <si>
    <t>有地的參觀
聯絡時間盡可能中午之前
7/8未接 下午</t>
  </si>
  <si>
    <t>J 圓圓</t>
  </si>
  <si>
    <t>line留言要參訪</t>
  </si>
  <si>
    <t>多次說要預約，但一直未給連絡電話
約7/11 真的？</t>
  </si>
  <si>
    <t>楊清鑫</t>
  </si>
  <si>
    <t>0910153073</t>
  </si>
  <si>
    <t>方便聯絡時段
下午 (13:00-17:00)
理想總價
50萬～100萬
City
Taoyuan</t>
  </si>
  <si>
    <t>在開車
學校用地,想做套房,營業功能
6/6不方便電話,沒有看到資料</t>
  </si>
  <si>
    <t>何小姐</t>
  </si>
  <si>
    <t>0919595333</t>
  </si>
  <si>
    <t>家具客戶，120cm 70cm，木桌保養
官方Line上 輸入尺寸卻是145*80</t>
  </si>
  <si>
    <t>Jes Huang
黃大秦</t>
  </si>
  <si>
    <t>0905508006</t>
  </si>
  <si>
    <t>方便聯絡時段
上午 (09:00-12:00)
理想總價
100萬～200萬
City
Taipei</t>
  </si>
  <si>
    <t>引導加官方line
說話有點慢...
基地: 淡水
法規: 不太了解,怕拆除風險
有詢問參觀地點,先看資訊在與我們聯絡</t>
  </si>
  <si>
    <t>Sherri Wang
王小姐</t>
  </si>
  <si>
    <t>0933895732</t>
  </si>
  <si>
    <t>方便聯絡時段
晚間 (17:00-21:00)
理想總價
450萬+
City
Taipei</t>
  </si>
  <si>
    <t xml:space="preserve">住: 台北人
工作: 已經退休
電話時~人在花蓮火車上(目的看土地)
大概偏向找花東基地,退休長住
已經看過資料,最近忙,下周會主動聯繫我們
</t>
  </si>
  <si>
    <t>Stanley Lai</t>
  </si>
  <si>
    <t>0933981117</t>
  </si>
  <si>
    <t>方便聯絡時段
上午 (09:00-12:00)
理想總價
200萬～360萬
City
Hsinchu</t>
  </si>
  <si>
    <t>資材室
超出我的預算,我之後有需要再跟你們聯絡
已經加官方line</t>
  </si>
  <si>
    <t>伍以琳</t>
  </si>
  <si>
    <t>0963336768</t>
  </si>
  <si>
    <t>請問今天可以過去參觀了解嗎?
聯絡時間：上午10：00-晚上9點均可
關注紅屋一段時間
上回要參觀剛好我們星期天休息
有地的參觀</t>
  </si>
  <si>
    <t>許詩涵</t>
  </si>
  <si>
    <t>0930094494</t>
  </si>
  <si>
    <t>您好，請問6/27可以預約嗎</t>
  </si>
  <si>
    <t>參訪：2大1小(6y)
住：台北
規劃：休閒度假
初步想法 還再找地 ，本來(先生)想找台東 先勸退</t>
  </si>
  <si>
    <t>0928236070</t>
  </si>
  <si>
    <t>下星期一可以預約參觀?</t>
  </si>
  <si>
    <t xml:space="preserve">住: 台北市
工作: 尚未退休
基地: 彰化
退休後想在老家彰化基地(大伯地),放木屋,
老了人不在了木屋就不要了
因為久久會回中部,關注我們很久了
想安排了解
</t>
  </si>
  <si>
    <t>高R</t>
  </si>
  <si>
    <t>0913151931</t>
  </si>
  <si>
    <t>目的: 退休休閒
參訪: 夫妻
住: 新竹
基地: 找地中
預計新竹苗栗農地
有找仲介公司，看好的苗栗基地(談價格中)，不太想傳地號(似乎只是有點擔心跟不懂)，對合法性有一點執著</t>
  </si>
  <si>
    <t>林方曦</t>
  </si>
  <si>
    <t>0913222974</t>
  </si>
  <si>
    <t>剛賣了一塊農地，客戶已有房子不夠住，要在買一棟，幫客戶做資料。
比較：太空艙
仲介自己覺得木屋會朝濕</t>
  </si>
  <si>
    <t>幫客戶探詢
認為太空艙15年後居住品質肯定不好
因此想推薦她客戶找組合屋或是我們木屋
住: 桃園
他的業主: 那塊地已經有住的地方,不夠住所以想參考我們
不願意親自來園區聊解詳細</t>
  </si>
  <si>
    <t>Yi Fang
方賜儀</t>
  </si>
  <si>
    <t>0938966700</t>
  </si>
  <si>
    <t>方便聯絡時段
中午 (12:00-13:00)
理想總價
200萬～360萬
City
Kaohsiung</t>
  </si>
  <si>
    <t>職業: 小主管(有助理)
時間較難,有時候臨時會議,
不過知道現場看&amp;感受較準確
已加line,待確認日期
基地: 高雄農地
廠商: 有看過高雄廠商,蒐集資訊中</t>
  </si>
  <si>
    <t>方便聯絡時段
僅假日方便
理想總價
200萬～360萬
City
Taipei</t>
  </si>
  <si>
    <t>在忙不方便電話
下周二聯絡我們
尚未看過資料,想了解木屋怎麼蓋
有地的參觀</t>
  </si>
  <si>
    <t>王迪
小姐</t>
  </si>
  <si>
    <t>0910521077</t>
  </si>
  <si>
    <t>基地: 台東
原因: 自有空地,思考運用性?
坪數: 15坪
面積: 面寬2.6m x 深20m
水電: 無
預計7月才方便安排參觀</t>
  </si>
  <si>
    <t>鄭淑眞</t>
  </si>
  <si>
    <t>0913612182</t>
  </si>
  <si>
    <t>有+官方LINE@
問 3米路工程車跟吊車能不能進去</t>
  </si>
  <si>
    <t>陳麗楡</t>
  </si>
  <si>
    <t>0968695428</t>
  </si>
  <si>
    <t>方便聯絡時段
晚間 (17:00-21:00)
理想總價
450萬+
City
Tainan</t>
  </si>
  <si>
    <t>劉江凱</t>
  </si>
  <si>
    <t>0988019208</t>
  </si>
  <si>
    <t>方便聯絡時段
僅假日方便
理想總價
100萬～200萬
City
Kaohsiung</t>
  </si>
  <si>
    <t>基地: 高雄六龜
地目: 建地
現況: 有電 無水(可申請自來水)
目的: 假日休閒
已確認收到簡訊,待加line</t>
  </si>
  <si>
    <t>吳俊瑩
先生</t>
  </si>
  <si>
    <t>0913257657</t>
  </si>
  <si>
    <t>方便聯絡時段
全天皆可
理想總價
100萬～200萬
City
Pingtung</t>
  </si>
  <si>
    <t>目前不方便電話~
在看完資料(還沒確定有沒有收到)
需要再聯繫</t>
  </si>
  <si>
    <t>林虹汶</t>
  </si>
  <si>
    <t>0922282648</t>
  </si>
  <si>
    <t>無地的參觀
聯繫時間皆可</t>
  </si>
  <si>
    <t>疫情期間有約參訪,但臨時事情取消沒有參觀過
跟朋友想約6/25來參訪,
已經關注紅屋一陣子
但是時間上因為三五六,與朋友時間要喬一下
原預約6/24 藉口工程改期，告之7月的平日因為工程要進行，也因為天氣關係，希望他可以約再周末時段
7/2 7月份假日都排滿了，要跟朋友約很不一定(建議單獨來)
可能要8月了</t>
  </si>
  <si>
    <t>Don施玉宣</t>
  </si>
  <si>
    <t>0955347808</t>
  </si>
  <si>
    <t>您好！請問如果已經有地，是否可約別的時間做參訪（二三六我們都不行）？
1. 大名：施玉宣
2. 電話：0955347808
3. 可聯繫時間：下午兩點後或上午10-12點</t>
  </si>
  <si>
    <t>榕 紙本資料</t>
  </si>
  <si>
    <t>吳湘婉</t>
  </si>
  <si>
    <t>0921710082</t>
  </si>
  <si>
    <t>想了解
吳小姐
0921710082
6/9</t>
  </si>
  <si>
    <t>基地: 南投
地目: 農地(公公自有地)
坪數: 2分半
居住: 台中
年齡: 50
現況已有資材室,農舍條件申請不過
想要假日休閒喘口氣
已貼6月可參訪日期,
吳小姐先生可能約七月份才有空</t>
  </si>
  <si>
    <t>王</t>
  </si>
  <si>
    <t>0988390733</t>
  </si>
  <si>
    <t>方便聯絡時段
僅假日方便
理想總價
450萬+
City
台北市</t>
  </si>
  <si>
    <t>在上班不方便電話
隨即掛斷</t>
  </si>
  <si>
    <t>夏雪</t>
  </si>
  <si>
    <t>0939886689</t>
  </si>
  <si>
    <t>方便聯絡時段
晚間 (17:00-21:00)
理想總價
100萬～200萬
City
Taipe</t>
  </si>
  <si>
    <t>段越璘
小姐</t>
  </si>
  <si>
    <t>0933365531</t>
  </si>
  <si>
    <t>方便聯絡時段
中午 (12:00-13:00)
理想總價
200萬～360萬
City
台中</t>
  </si>
  <si>
    <t>在外地忙,兩天後才能處理
還沒看到資訊，
在台中還是嫌遠</t>
  </si>
  <si>
    <t>zhida wu</t>
  </si>
  <si>
    <t>0919876831</t>
  </si>
  <si>
    <t>方便聯絡時段
僅假日方便
理想總價
450萬+
City
Taipei</t>
  </si>
  <si>
    <t>吳貴生</t>
  </si>
  <si>
    <t>0936914130</t>
  </si>
  <si>
    <t>方便聯絡時段
上午 (09:00-12:00)
理想總價
100萬～200萬
City
新北市</t>
  </si>
  <si>
    <t>出國中,確認收到簡訊 未讀
預計6/16回國再聯繫
基地: 三灣
地目: 農地
7/2 LINE@
上歐照明系統設計團隊（kinson）LINE名稱
平日工作忙碌開會居多，週六下午才方便聯繫
7/4 還沒看資料</t>
  </si>
  <si>
    <t xml:space="preserve">Natalia Yang
</t>
  </si>
  <si>
    <t>0938972555</t>
  </si>
  <si>
    <t>方便聯絡時段
上午 (09:00-12:00)
理想總價
50萬～100萬
City
Taipei</t>
  </si>
  <si>
    <t>X</t>
  </si>
  <si>
    <t>家人回電,人不在台灣,出去玩
會跟楊小姐告知</t>
  </si>
  <si>
    <t>Christina Lin</t>
  </si>
  <si>
    <t>0919925385</t>
  </si>
  <si>
    <t>方便聯絡時段
晚間 (17:00-21:00)
理想總價
50萬～100萬
City
Brisbane</t>
  </si>
  <si>
    <t>林楷模</t>
  </si>
  <si>
    <t>0909567726</t>
  </si>
  <si>
    <t>僅留下電話</t>
  </si>
  <si>
    <t>(家具)賴慈菁</t>
  </si>
  <si>
    <t>0988555510</t>
  </si>
  <si>
    <t>加大型遊龍沙發問是否可更換竹蓆?</t>
  </si>
  <si>
    <t>line上已回覆
客人說在評估看看</t>
  </si>
  <si>
    <t>莊正宗</t>
  </si>
  <si>
    <t>0903332581</t>
  </si>
  <si>
    <t>買了一塊基地已有木屋,因不夠空間,想在空地再蓋兩層樓
是朋友介紹自然紅屋的</t>
  </si>
  <si>
    <t>一直不看資訊,不夠住,想改雙層樓套房,說資料文字看不懂
約早上10點通話</t>
  </si>
  <si>
    <t>許培瑄</t>
  </si>
  <si>
    <t>0928803340</t>
  </si>
  <si>
    <t>方便聯絡時段
僅假日方便
理想總價
200萬～360萬
City
新北市</t>
  </si>
  <si>
    <t>楊岳緯</t>
  </si>
  <si>
    <t>0977058543</t>
  </si>
  <si>
    <t>想預約週六11：30</t>
  </si>
  <si>
    <t>無地的參觀
主要想邊用餐&amp;了解木屋
已告知無餐飲,
楊先生說再跟太太確認是否約參觀
7/2 R
因為跟女朋友討論後，覺得沒有這麼快可以規劃，所以先暫緩
7月份假日都已安排，8月份也有點忙
已告知，先看過先了解都沒關係，很歡迎 (吊裝影片)</t>
  </si>
  <si>
    <t>高啟帆</t>
  </si>
  <si>
    <t>0905730030</t>
  </si>
  <si>
    <t>可聯繫時間：皆可
你好，我是屏東的高先生，請問紅屋適合我們一家四口嗎？我跟我老婆還有兩個兒子，一個9歲一個6歲。
可以申請建照嗎？</t>
  </si>
  <si>
    <r>
      <rPr>
        <rFont val="Arial"/>
        <color theme="1"/>
      </rPr>
      <t xml:space="preserve">基地: 屏東春日鄉
水電: 有
原因: 因為大家族住一起,不夠空間
目前就住在這基地,基地旁空地想蓋一家四口可住
時間已貼給高先生,待回覆
</t>
    </r>
    <r>
      <rPr>
        <rFont val="Arial"/>
        <color rgb="FFFF0000"/>
      </rPr>
      <t>6/16 未接通
高先生說計畫暫緩</t>
    </r>
  </si>
  <si>
    <t>戴亞屏
小姐</t>
  </si>
  <si>
    <t>0976779695</t>
  </si>
  <si>
    <t>想了解</t>
  </si>
  <si>
    <t>初步了解
基地: 南港(林地),屏東佳冬
休閒度假使用,還沒計畫哪塊基地,看過木屋再說
原預約6/25，取消，改7月平日 預約中</t>
  </si>
  <si>
    <t>先生</t>
  </si>
  <si>
    <t>方便聯絡時段
僅假日方便
理想總價
200萬～360萬
City
倫敦</t>
  </si>
  <si>
    <t>6/</t>
  </si>
  <si>
    <t>蕭村聲</t>
  </si>
  <si>
    <t>0932828242</t>
  </si>
  <si>
    <t>已經有一間傳統木屋
想蓋新的一間，要兩層樓
+LINE@</t>
  </si>
  <si>
    <t>最近買了一塊地，上面有原本的農舍，二手木屋
都是白蟻、沒整修的狀況。
想要原址重建，法規的部分 一半一半 因為知道真的很難
看資料後約訪，目前不需要，有時間再約。</t>
  </si>
  <si>
    <t>潘奇秀</t>
  </si>
  <si>
    <t>0910495539</t>
  </si>
  <si>
    <t>方便聯絡時段
上午 (09:00-12:00)
理想總價
50萬～100萬
City
台中市</t>
  </si>
  <si>
    <t>國外, 回國再連絡, 態度冷淡</t>
  </si>
  <si>
    <t>鐘祖輝</t>
  </si>
  <si>
    <t>0939132169</t>
  </si>
  <si>
    <t>方便聯絡時段
下午 (13:00-17:00)
理想總價
360萬～450萬
City
Taichung</t>
  </si>
  <si>
    <t>待加line, 新社農地原有鐵皮屋
忙碌 掛電話 6/16</t>
  </si>
  <si>
    <t>蔡昕恩</t>
  </si>
  <si>
    <t>0929550024</t>
  </si>
  <si>
    <t>方便聯絡時段
下午 (13:00-17:00)
理想總價
50萬～100萬
City
Taichung</t>
  </si>
  <si>
    <t>在上班, (二) 下午可聯繫
6/16 未接通</t>
  </si>
  <si>
    <t>0932738824</t>
  </si>
  <si>
    <t>已為我們再做翻修，想跟我們要資訊，請他先看簡訊</t>
  </si>
  <si>
    <t>苗栗, 紅磚屋打掉蓋屋頂, 待加line
6/16 再忙 掛電話</t>
  </si>
  <si>
    <t>李啟漢</t>
  </si>
  <si>
    <t>0918613710</t>
  </si>
  <si>
    <t>我住在台中市后里區，想參觀實體屋</t>
  </si>
  <si>
    <t>后里區商業區的土地(非常狹長，左右兩邊有矮房子老宅)，已蓋好一間退休宅再旁邊(有設計)。有自來水錶
入口處面寛 270公分，蓋一個單院小屋，當作花園的休閒小屋
合法：算了(這塊地不強求)
基地：尚有農地 但目前不考慮
明白跟客戶說明這塊地不合適，蓋好了也沒用。客人欣然接受，還是要來看。
推測 客戶本身喜歡有設計感的建築。</t>
  </si>
  <si>
    <t>潘先生</t>
  </si>
  <si>
    <t>0918053005</t>
  </si>
  <si>
    <t>有地的參觀 下午
請問可以取得使用執照嗎</t>
  </si>
  <si>
    <t>民宿業,高雄,建地100P 也有農地
想做招待所或自用休閒
初步想走合法
6/16 R 排好再跟我們說，不太有意願來訪</t>
  </si>
  <si>
    <t>蔡苑明</t>
  </si>
  <si>
    <t>0958058131</t>
  </si>
  <si>
    <t>方便聯絡時段
全天皆可
理想總價
50萬～100萬
City
Pingtung</t>
  </si>
  <si>
    <t>住：高雄
有一點興趣
參訪只有週六可以</t>
  </si>
  <si>
    <t>詹秀鳳</t>
  </si>
  <si>
    <t>0919677618</t>
  </si>
  <si>
    <t>方便聯絡時段
上午 (09:00-12:00)
理想總價
200萬～360萬
City
Taichung</t>
  </si>
  <si>
    <t>全奕杰</t>
  </si>
  <si>
    <t>0985328093</t>
  </si>
  <si>
    <t>方便聯絡時段
下午 (13:00-17:00)
理想總價
50萬～100萬
City
台中市</t>
  </si>
  <si>
    <t>林尚恩</t>
  </si>
  <si>
    <t>0925258379</t>
  </si>
  <si>
    <t>張嘉村</t>
  </si>
  <si>
    <t>0932632762</t>
  </si>
  <si>
    <t xml:space="preserve">農林地台中太平,已有合法資材室鐵皮屋, 法規態度開放
初問單院 </t>
  </si>
  <si>
    <t>高雪女</t>
  </si>
  <si>
    <t>0986601158</t>
  </si>
  <si>
    <t>可聯繫時間：9:00-17:00
我要去參觀木屋，該如何約？</t>
  </si>
  <si>
    <r>
      <rPr>
        <rFont val="Arial"/>
        <color theme="1"/>
      </rPr>
      <t xml:space="preserve">(第一次去電開會中)
</t>
    </r>
    <r>
      <rPr>
        <rFont val="Arial"/>
        <color rgb="FFFF0000"/>
      </rPr>
      <t>A</t>
    </r>
    <r>
      <rPr>
        <rFont val="Arial"/>
        <color theme="1"/>
      </rPr>
      <t xml:space="preserve">
台南佳里 自家門口菜園果園
希望創造出有一個小庭院，裡面有一個空間，有一個場地給孫子玩
300坪
有去參觀過 台南佳里的客戶，他有聽到小抱怨說售後服務不太好
喜歡有腳放下來的床鋪</t>
    </r>
  </si>
  <si>
    <t>鄭志煌</t>
  </si>
  <si>
    <t>0935705705</t>
  </si>
  <si>
    <r>
      <rPr>
        <rFont val="Arial"/>
        <color theme="1"/>
      </rPr>
      <t xml:space="preserve">最近剛買地：台南玉井 農地 6000坪(有人整理) 有水電
當天剛好要經過台中，3hr可以保留安排
曾有過自地自建的經驗(土地很大)
</t>
    </r>
    <r>
      <rPr>
        <rFont val="Arial"/>
        <color rgb="FFFF0000"/>
      </rPr>
      <t xml:space="preserve">WIX
</t>
    </r>
    <r>
      <rPr>
        <rFont val="Arial"/>
        <color theme="1"/>
      </rPr>
      <t>住：桃園市
地；台南市 玉井區 九層林段 505,505-1,1542，6000坪
屋：企業主 合掌屋
2P夫妻來訪
現土地上有怪手的問題一直在處理中???
老闆猜測是投資客
客戶說要老農舍改建</t>
    </r>
  </si>
  <si>
    <t>陳傑夫</t>
  </si>
  <si>
    <t>0932018598</t>
  </si>
  <si>
    <t>方便聯絡時段
中午 (12:00-13:00)
理想總價
200萬～360萬
City
Taipei</t>
  </si>
  <si>
    <t>蘇群恩</t>
  </si>
  <si>
    <t>0928826910</t>
  </si>
  <si>
    <t>方便聯絡時段
晚間 (17:00-21:00)
理想總價
50萬～100萬
City
Taoyüan</t>
  </si>
  <si>
    <t>沒收到簡訊 不講 自己+LINE@</t>
  </si>
  <si>
    <t>鐘麗美</t>
  </si>
  <si>
    <t>0925585589</t>
  </si>
  <si>
    <t>方便聯絡時段
僅假日方便
理想總價
360萬～450萬
City
Xinbei林口</t>
  </si>
  <si>
    <t>陳富美</t>
  </si>
  <si>
    <t>0975058086</t>
  </si>
  <si>
    <t>方便聯絡時段
下午 (13:00-17:00)
理想總價
50萬～100萬
City
Xinbei
1/15 年中以後再聯繫</t>
  </si>
  <si>
    <t>Cin Hu</t>
  </si>
  <si>
    <t>0935610585</t>
  </si>
  <si>
    <t>方便聯絡時段
上午 (09:00-12:00)
理想總價
450萬+
City
新北市</t>
  </si>
  <si>
    <t>Paney</t>
  </si>
  <si>
    <t>0911921963</t>
  </si>
  <si>
    <t>方便聯絡時段
晚間 (17:00-21:00)
理想總價
50萬～100萬
City
雲林</t>
  </si>
  <si>
    <t>阮金玉</t>
  </si>
  <si>
    <t>0928939352</t>
  </si>
  <si>
    <t>方便聯絡時段
下午 (13:00-17:00)
理想總價
50萬～100萬
City
埔里鎮</t>
  </si>
  <si>
    <t>黃晴雯</t>
  </si>
  <si>
    <t>0932469855</t>
  </si>
  <si>
    <t>方便聯絡時段
僅假日方便
理想總價
200萬～360萬
City
Tainan</t>
  </si>
  <si>
    <t>陳讚昌</t>
  </si>
  <si>
    <t>0923263858</t>
  </si>
  <si>
    <t>方便聯絡時段
上午 (09:00-12:00)
理想總價
200萬～360萬
City
台中市
5/12
"退休規劃
有收到訊息,先看
宜蘭老家基地
職業:五金貿易北部出差
居住:台中
加梓涵公務機"
梓涵公務機 call沒回</t>
  </si>
  <si>
    <t>林良民</t>
  </si>
  <si>
    <t>0937651262</t>
  </si>
  <si>
    <t>方便聯絡時段
下午 (13:00-17:00)
理想總價
100萬～200萬
City
花蓮市</t>
  </si>
  <si>
    <t>看簡訊</t>
  </si>
  <si>
    <t>朱麗瑄</t>
  </si>
  <si>
    <t>0937753819</t>
  </si>
  <si>
    <t>方便聯絡時段
下午 (13:00-17:00)
理想總價
100萬～200萬
City
二林鎮</t>
  </si>
  <si>
    <t>+子榕 公務機
60+
有地，持分100人(跟他說不用想了)
有三棟房子(1透天、2公寓)，都不喜歡住，透天旁邊蓋了停車場，所以天天吸廢氣
很擔心自己沒有地，已告知 先來體驗，不緊急，初步接受
再約時間</t>
  </si>
  <si>
    <t>Js</t>
  </si>
  <si>
    <t>0986860993</t>
  </si>
  <si>
    <t>方便聯絡時段
中午 (12:00-13:00)
理想總價
100萬～200萬
City
新竹
siri</t>
  </si>
  <si>
    <t>Jeff
Huang
黃先生</t>
  </si>
  <si>
    <t>0939211518</t>
  </si>
  <si>
    <t>方便聯絡時段
全天皆可
理想總價
50萬～100萬
City
彰化縣</t>
  </si>
  <si>
    <t>老房子要拆，度假or長住？
住：彰化
地：彰化 小山坡地
有興趣，不過目前因為再台東5天4業度假中，週四再聯繫ok</t>
  </si>
  <si>
    <t>黃科華</t>
  </si>
  <si>
    <t>0975216167</t>
  </si>
  <si>
    <t>方便聯絡時段
僅假日方便
理想總價
100萬～200萬
City
台中市</t>
  </si>
  <si>
    <t>沒興趣</t>
  </si>
  <si>
    <t>鄧平</t>
  </si>
  <si>
    <t>0935236470</t>
  </si>
  <si>
    <t>家具 換竹蓆</t>
  </si>
  <si>
    <t>Megan
黃靖雅</t>
  </si>
  <si>
    <t>0988021831</t>
  </si>
  <si>
    <t>6坪 含廁所，宜蘭雙連埤
有禮貌~的小姐</t>
  </si>
  <si>
    <t>6坪 含廁所，宜蘭雙連埤
假日屋：ㄧ 個月只去8天，自己要去(種田)
屋款： 大單院 or 2院</t>
  </si>
  <si>
    <t>盧毅殷</t>
  </si>
  <si>
    <t>0910007628</t>
  </si>
  <si>
    <t>有地的參觀
預計在 端午節連假中參訪.</t>
  </si>
  <si>
    <t>參訪：夫妻+小孩 (青少年)3P
目前還無基地，但夫妻倆很認真的再看各種廠商。
有這個夢想想要執行。</t>
  </si>
  <si>
    <t>米米</t>
  </si>
  <si>
    <t>0958963698</t>
  </si>
  <si>
    <t>方便聯絡時段
全天皆可
理想總價
50萬～100萬
City
宜蘭</t>
  </si>
  <si>
    <t>陳淑姬</t>
  </si>
  <si>
    <t>0938086788</t>
  </si>
  <si>
    <t>方便聯絡時段
下午 (13:00-17:00)
理想總價
360萬～450萬
City
Pingzhen</t>
  </si>
  <si>
    <t>未開機</t>
  </si>
  <si>
    <t>江龍宗</t>
  </si>
  <si>
    <t>0989588692</t>
  </si>
  <si>
    <t>方便聯絡時段
全天皆可
理想總價
50萬～100萬
City
Kaohsiung</t>
  </si>
  <si>
    <t>陳朝樂</t>
  </si>
  <si>
    <t>0917277866</t>
  </si>
  <si>
    <t>許斯傑</t>
  </si>
  <si>
    <t>0982627179</t>
  </si>
  <si>
    <t>黃秀卿</t>
  </si>
  <si>
    <t>0960030395</t>
  </si>
  <si>
    <t>方便聯絡時段
上午 (09:00-12:00)
理想總價
50萬～100萬
City
Kaohsiung
初次去電 開會中 6/25未接</t>
  </si>
  <si>
    <t>3-4年前
2022 舊資料
高雄市林園區，農地，有原本申請的電，供地下抽水泵浦使用        4/16 週六        安全遊學                附近有        有        道路沒問題，已經整地，法律有疑慮，在大路旁有點擔心，太太想要單院就好，先生喜歡3+茶湯
他說自己有學過室內設計，看得懂平面圖</t>
  </si>
  <si>
    <t>陳永明</t>
  </si>
  <si>
    <t>0933206060</t>
  </si>
  <si>
    <t>方便聯絡時段
晚間 (17:00-21:00)
理想總價
50萬～100萬
City
南投縣</t>
  </si>
  <si>
    <t>李奕瑩</t>
  </si>
  <si>
    <t>0937196118</t>
  </si>
  <si>
    <t>任何時間都都可以聯繫
預約參訪</t>
  </si>
  <si>
    <r>
      <rPr>
        <rFont val="Arial"/>
        <color theme="1"/>
      </rPr>
      <t xml:space="preserve">住：新北市
地：台東縣目前再看台東的地(未購買)
初步思考中
，因為夫妻倆的工作性質，在哪裡都可以成立。
建議先參訪後買地。
</t>
    </r>
    <r>
      <rPr>
        <rFont val="Arial"/>
        <color rgb="FFFF0000"/>
      </rPr>
      <t>7月份再敲時間</t>
    </r>
  </si>
  <si>
    <t>郭雅芬</t>
  </si>
  <si>
    <t>0926588852</t>
  </si>
  <si>
    <t>隨時可聯繫
方便聯絡時段
上午 (09:00-12:00)
理想總價
100萬～200萬
City
Hsinchu</t>
  </si>
  <si>
    <t>2P 預計
住：新竹</t>
  </si>
  <si>
    <t>(家具)羅伊婷</t>
  </si>
  <si>
    <t>0927433717</t>
  </si>
  <si>
    <t>靠山椅(類似款)，竹蓆包邊脫線</t>
  </si>
  <si>
    <t>已連繫客戶說明目前狀況，椅子在台中(老家)
假日再回去量</t>
  </si>
  <si>
    <t>百成石</t>
  </si>
  <si>
    <t>0981210358</t>
  </si>
  <si>
    <t>方便聯絡時段
晚間 (17:00-21:00)
理想總價
200萬～360萬
City
Kaohsiung</t>
  </si>
  <si>
    <t>參訪：2P 夫妻
基地：買在老家那一帶，花蓮秀林
目的：假日度假用
喜歡合掌屋的型
小孩回來希望有房間 2房(現場在談)
想約周三 7/15or7/29</t>
  </si>
  <si>
    <t>蔡明宏</t>
  </si>
  <si>
    <t>0911222719</t>
  </si>
  <si>
    <t>猶豫，是否要買地？要買地才能去？
+LINE@
持續連繫中
6/24 興趣缺缺，再忙掛電話</t>
  </si>
  <si>
    <t>吉耀夫</t>
  </si>
  <si>
    <t>0985767961</t>
  </si>
  <si>
    <t>方便聯絡時段
晚間 (17:00-21:00)
理想總價
50萬～100萬
City
屏東縣</t>
  </si>
  <si>
    <t>問價格，參訪興趣缺缺</t>
  </si>
  <si>
    <t>吳宗翰</t>
  </si>
  <si>
    <t>0933937918</t>
  </si>
  <si>
    <t>方便聯絡時段
晚間 (17:00-21:00)
理想總價
360萬～450萬
City
Kaohsiung</t>
  </si>
  <si>
    <t>忘記我們的資訊，可請他+LINE@</t>
  </si>
  <si>
    <t>Peiyin Yeh
葉小姐</t>
  </si>
  <si>
    <t>0921067029</t>
  </si>
  <si>
    <t>方便聯絡時段
全天皆可
理想總價
100萬～200萬
City
Zhubei</t>
  </si>
  <si>
    <t>參訪：夫妻
住：竹北
想找新竹附近的地 (上班比較方便)
自住使用
問：法規、可以住多久
約，周六，跟先生討論7/4 是否參訪</t>
  </si>
  <si>
    <t>0910037278</t>
  </si>
  <si>
    <t>方便聯絡時段
全天皆可
理想總價
50萬～100萬
City
台北市</t>
  </si>
  <si>
    <t>Will Tang</t>
  </si>
  <si>
    <t>0972225297</t>
  </si>
  <si>
    <t>方便聯絡時段
全天皆可
理想總價
200萬～360萬
City
台北</t>
  </si>
  <si>
    <t>吳德偉</t>
  </si>
  <si>
    <t>0982923375</t>
  </si>
  <si>
    <t>方便聯絡時段
下午 (13:00-17:00)
理想總價
100萬～200萬
City
Pingtung</t>
  </si>
  <si>
    <t>LINE@
屏東人，尚無地，想找類似的生活方式
關注網路上的資訊很久
查到：吳德偉 屏東縣立大同高中 組長 體育？</t>
  </si>
  <si>
    <t>蕭麗瑩</t>
  </si>
  <si>
    <t>0926226161</t>
  </si>
  <si>
    <r>
      <rPr>
        <rFont val="inherit"/>
        <color rgb="FF1C2B33"/>
      </rPr>
      <t xml:space="preserve">方便聯絡時段
上午 (09:00-12:00)
理想總價
50萬～100萬
City
Taoyüan
</t>
    </r>
    <r>
      <rPr>
        <rFont val="inherit"/>
        <color rgb="FFFF0000"/>
      </rPr>
      <t>後台</t>
    </r>
  </si>
  <si>
    <t>1/25 已聯繫過
有想蓋行動木屋
年後比較有空安排
在加line預約
桃園人
要排時間,電話中說明現在無法確認~
要過去參觀在提前跟我們說
等待加line中....
6/24 +LINE@ 很奇怪 聯絡這麼多次都不+LINE@ 沒心</t>
  </si>
  <si>
    <t>翁先生
Cheng Tsung Weng</t>
  </si>
  <si>
    <t>0928337035</t>
  </si>
  <si>
    <t>方便聯絡時段
上午 (09:00-12:00)
理想總價
360萬～450萬
City
Taipei</t>
  </si>
  <si>
    <t>新北市 建地，自己使用
問題：使用執照、門牌號碼
+LINE@ 傳吊裝影片</t>
  </si>
  <si>
    <t>陳小姐Wen Chi</t>
  </si>
  <si>
    <t>0908031314</t>
  </si>
  <si>
    <t>+LINE@</t>
  </si>
  <si>
    <t>參訪：2P 夫妻
桃園龍潭，有山有水
很有心，目前還沒找到地
主要考量：工作區、小孩學區(目前都幼兒園)</t>
  </si>
  <si>
    <t>曹繼善</t>
  </si>
  <si>
    <t>0961578235</t>
  </si>
  <si>
    <t>方便聯絡時段
下午 (13:00-17:00)
理想總價
100萬～200萬
City
Taipei</t>
  </si>
  <si>
    <t>很難約
問了很多，地目、法規、吊裝、跟太空艙一樣？但就是不來
6/30
7月比較忙，8月可約</t>
  </si>
  <si>
    <t>黃仲辰</t>
  </si>
  <si>
    <t>0936155071</t>
  </si>
  <si>
    <t>方便聯絡時段
下午 (13:00-17:00)
理想總價
50萬～100萬
City
桃園市桃園區</t>
  </si>
  <si>
    <t>LINE@聯繫
只想問資料，不想跑現場
基地：新北／金瓜石礦區 老家的地，有老宅想重蓋(問客製)
回去度假、法規要克服。</t>
  </si>
  <si>
    <t>鄭當興</t>
  </si>
  <si>
    <t>0968670866</t>
  </si>
  <si>
    <t>方便聯絡時段
下午 (13:00-17:00)
理想總價
450萬+
City
Taipei</t>
  </si>
  <si>
    <t>siri語音</t>
  </si>
  <si>
    <t>Tom Chen</t>
  </si>
  <si>
    <t>0930006818</t>
  </si>
  <si>
    <t>方便聯絡時段
上午 (09:00-12:00)
理想總價
100萬～200萬
City
桃園市桃園區</t>
  </si>
  <si>
    <t>晚點再打，他沒有看到訊息</t>
  </si>
  <si>
    <t>林宛蓉</t>
  </si>
  <si>
    <t>0966108767</t>
  </si>
  <si>
    <t>蒲俊良</t>
  </si>
  <si>
    <t>0988932582</t>
  </si>
  <si>
    <t>方便聯絡時段
上午 (09:00-12:00)
理想總價
100萬～200萬
City
Taichung</t>
  </si>
  <si>
    <t>晚點聯繫 知道我們是誰 上課中
苗栗南庄露營區，現在想要改成豪華露營區
目前擔任台積電的講師 (前兩次打過去都是上課中)
6/30 未接</t>
  </si>
  <si>
    <t>洪浩傑</t>
  </si>
  <si>
    <t>0911244977</t>
  </si>
  <si>
    <t>方便聯絡時段
上午 (09:00-12:00)
理想總價
450萬+
City
Taipei</t>
  </si>
  <si>
    <t>7月份要來，會再安排時間。
基地：宜蘭 租人家種稻 1年1萬塊
住：台北</t>
  </si>
  <si>
    <t>古錦堂</t>
  </si>
  <si>
    <t>0910559897</t>
  </si>
  <si>
    <t>方便聯絡時段
上午 (09:00-12:00)
理想總價
100萬～200萬
City
Taitung</t>
  </si>
  <si>
    <t>有興趣，看到網路上的木屋很漂亮
住：三仙台
要來之前會再+LINE@約時間。</t>
  </si>
  <si>
    <t>0911968916</t>
  </si>
  <si>
    <t>方便聯絡時段
上午 (09:00-12:00)
理想總價
360萬～450萬
City
台北市</t>
  </si>
  <si>
    <t>siri語音
6/2516:18 有回撥</t>
  </si>
  <si>
    <t>洪佩琪</t>
  </si>
  <si>
    <t>0932866222</t>
  </si>
  <si>
    <t>農地/高雄美濃山林
住宿體驗客, 目前準備要著手蓋屋
初問資材室途徑, 若合法行不通或蓋很醜也許考慮違法</t>
  </si>
  <si>
    <t xml:space="preserve">下午一點後
10年 化糞池已埋
水電
</t>
  </si>
  <si>
    <t>許唐榮</t>
  </si>
  <si>
    <t>0936860755</t>
  </si>
  <si>
    <t>FB名單
鄭芝偉(號碼相同)        "方便聯絡時段
上午 (09:00-12:00)
理想總價
200萬～360萬
City
員林市"</t>
  </si>
  <si>
    <t>跟老婆討論一下，是否要帶小孩來，要參訪的時間
因為小孩周六要補習，會卡到時間，來的車程要1小時多
再問問7/4 六
7/8語音信箱，客戶回電，再撥過去又語音信箱
LINE已讀</t>
  </si>
  <si>
    <t>潘永嘉小姐</t>
  </si>
  <si>
    <t>0972252897</t>
  </si>
  <si>
    <t>方便聯絡時段
下午 (13:00-17:00)
理想總價
200萬～360萬
City
Taipei木柵</t>
  </si>
  <si>
    <t>住：台北
不想多聊，覺得很遠，目前還沒有地。</t>
  </si>
  <si>
    <t>柯先生</t>
  </si>
  <si>
    <t>0910596899</t>
  </si>
  <si>
    <t>方便聯絡時段
全天皆可
理想總價
50萬～100萬
City
Taipei</t>
  </si>
  <si>
    <t>住：台北
怕：法規
基地：無?
以為我們是度假村(半開玩笑)
晚上詳細看資訊，明後天再聯繫</t>
  </si>
  <si>
    <t>翁倖慧</t>
  </si>
  <si>
    <t>0917230870</t>
  </si>
  <si>
    <t>請問7／18（六）上午4位，可以預約參觀嗎？參觀費用？</t>
  </si>
  <si>
    <t>參訪：4P 要說服先生蓋木屋，小孩暑假這周有空也一起帶來了解
桃園楊梅，自家住宅旁邊，三角形建地
有樹，吊床被颱風吹走。
很喜歡木材的感覺，想要一個聚會空間 (小孩拉琴)，景窗外會很漂亮，
此外，因為東西很多，也想要放東西的地方。
吃素
想要好好地整頓一下，不然這塊地都浪費了。</t>
  </si>
  <si>
    <t>黃志綋</t>
  </si>
  <si>
    <t>0986837711</t>
  </si>
  <si>
    <t>方便聯絡時段
下午 (13:00-17:00)
理想總價
450萬+
City
Kaohsiung</t>
  </si>
  <si>
    <t>對組合屋有興趣 +LINE@
未接</t>
  </si>
  <si>
    <t>Iris Apple</t>
  </si>
  <si>
    <t>0953518060</t>
  </si>
  <si>
    <t>方便聯絡時段
下午 (13:00-17:00)
理想總價
50萬～100萬
City
彰化縣</t>
  </si>
  <si>
    <t>有地，原本的建物要拆除(自己說應該沒辦法)
願意收到進一步資訊
+LINE@</t>
  </si>
  <si>
    <t>林春梅</t>
  </si>
  <si>
    <t>0932901607</t>
  </si>
  <si>
    <t>方便聯絡時段
中午 (12:00-13:00)
理想總價
100萬～200萬
City
Hsinchu</t>
  </si>
  <si>
    <t>土地開發商
幫客人找木屋 (蓋木屋)
+LINE@</t>
  </si>
  <si>
    <t>簡煌輝</t>
  </si>
  <si>
    <t>0952080080</t>
  </si>
  <si>
    <t>土地開發商
有無幫人畫圖申請資材室</t>
  </si>
  <si>
    <t>房先生</t>
  </si>
  <si>
    <t>0916155658</t>
  </si>
  <si>
    <t>在網路上，沒看過我們的資訊，就打來，以為我們是開發商。
說不喜歡木屋，但好像也沒特別討厭???</t>
  </si>
  <si>
    <t>Leo</t>
  </si>
  <si>
    <t>0909080488</t>
  </si>
  <si>
    <t>方便聯絡時段
上午 (09:00-12:00)
理想總價
100萬～200萬
City
宜蘭市
6/27在跟人家談事情，忙碌中
+LINE@ X</t>
  </si>
  <si>
    <t xml:space="preserve">
未接</t>
  </si>
  <si>
    <t>陳立毅</t>
  </si>
  <si>
    <t>0955160211</t>
  </si>
  <si>
    <t>方便聯絡時段
上午 (09:00-12:00)
理想總價
50萬～100萬
City
Pingtung</t>
  </si>
  <si>
    <t>忙碌中，背景很多人聲
先看簡訊+LINE@
6/30 還再忙</t>
  </si>
  <si>
    <t>黃奇艾</t>
  </si>
  <si>
    <t>0970156992</t>
  </si>
  <si>
    <t>方便聯絡時段
上午 (09:00-12:00)
理想總價
50萬～100萬
City
Taichung</t>
  </si>
  <si>
    <t xml:space="preserve">已自行+LINE@
住台中西屯，基地是新蓋屋，10月底交屋，後院只有九坪大阿姨想蓋一個3.4坪的日式空間給阿公～
感謝你們創造這麼美麗的空間，真的非常美
法規：猶豫中(建商說不合法，除非日式的小小屋子)
</t>
  </si>
  <si>
    <t>Debra Chou</t>
  </si>
  <si>
    <t>0910043034</t>
  </si>
  <si>
    <t>方便聯絡時段
下午 (13:00-17:00)
理想總價
50萬～100萬
City
Taipei</t>
  </si>
  <si>
    <t>陳秋萍</t>
  </si>
  <si>
    <t>0979391639</t>
  </si>
  <si>
    <t>方便聯絡時段
上午 (09:00-12:00)
理想總價
50萬～100萬
City
台南市
LINE@ 不回復</t>
  </si>
  <si>
    <t>Suzanne Wang王</t>
  </si>
  <si>
    <t>0932214883</t>
  </si>
  <si>
    <t>方便聯絡時段
中午 (12:00-13:00)
理想總價
50萬～100萬
City
台北市</t>
  </si>
  <si>
    <t>吳建彰</t>
  </si>
  <si>
    <t>0936252614</t>
  </si>
  <si>
    <t>6/30來電說下午想來參訪
平日較有空,說先幫他預登記7/15
找地或了解租地,做功課廠商比較中
-
昨天無意間在臉書看到關於自然紅屋的資訊，非常喜歡
禮拜二中午過後想去參訪實體感受
不知道是否方便</t>
  </si>
  <si>
    <r>
      <rPr/>
      <t xml:space="preserve">LINE@
7/15 到訪石岡 看無名樹的半半齋(客製化建案)
</t>
    </r>
    <r>
      <rPr>
        <color rgb="FF1155CC"/>
        <u/>
      </rPr>
      <t xml:space="preserve">https://www.namelesstree.com.tw/project/%E5%8D%8A%E5%8D%8A%E9%BD%8B
</t>
    </r>
    <r>
      <rPr/>
      <t>想要租地 中部／台中南投
住：高雄
年齡：60歲
退休規劃，夫妻
本身自己做生意，知道羊毛出在羊身上，不過還是想要討論客製化，比較昂貴的木材
現已屆齡退休，還在工作但平日工作時間彈性，跟太太一起來
7/15三 or 7/24五</t>
    </r>
  </si>
  <si>
    <t>黃幸娟</t>
  </si>
  <si>
    <t>0935364033</t>
  </si>
  <si>
    <t>先幫他預登記7/15</t>
  </si>
  <si>
    <t>大坑 農地 300P
長住，給兩個兒子常住
參觀：夫妻
決策者；太太本身(自己說的)
資料，等當天看完有喜歡再進一步討論</t>
  </si>
  <si>
    <t>周小姐</t>
  </si>
  <si>
    <t>0937024239</t>
  </si>
  <si>
    <t>去年有來參訪過 (他說是現場加入的)
1個小時 有專員都在服務另一組，沒有招待到他們
????
有記錄到去年五月的資料，不知參訪是何日
老太太，說明誠懇
目前山上有一塊地要蓋</t>
  </si>
  <si>
    <t>住：南投
基地：埔里，農地，超過千坪
目前有在農作中
只想要有一間，可以農暇時間休息的屋子，大單院
上次的參訪體驗不佳(沒有解說，這次很期待解說)
7/8，家人說不要再來被騙一次(觀念保守)</t>
  </si>
  <si>
    <t>張惠盟</t>
  </si>
  <si>
    <t>0952899975</t>
  </si>
  <si>
    <t>方便聯絡時段
全天皆可
理想總價
50萬～100萬
City
Taoyüan</t>
  </si>
  <si>
    <t>不用了</t>
  </si>
  <si>
    <t>黃百輝</t>
  </si>
  <si>
    <t>0938191578</t>
  </si>
  <si>
    <r>
      <rPr>
        <rFont val="inherit"/>
        <color rgb="FF1C2B33"/>
      </rPr>
      <t xml:space="preserve">方便聯絡時段
下午 (13:00-17:00)
理想總價
450萬+
City
Zürich
</t>
    </r>
    <r>
      <rPr>
        <rFont val="inherit"/>
        <color rgb="FFFF0000"/>
      </rPr>
      <t>Mail
brianhuang61@gmail.com</t>
    </r>
  </si>
  <si>
    <t>他說自己再40多個國家做生意，常常在國外
沒查到此人有負責任和公司，只有亞碁的董事長同名。
行業跨：金融、餐旅、威士忌...等
所以LINE 無法加入成功，目前聯繫方式是用mail
台灣電話預付卡，電話可以通
住：台北</t>
  </si>
  <si>
    <t>鮑鎮紘</t>
  </si>
  <si>
    <t>0935977938</t>
  </si>
  <si>
    <t>方便聯絡時段
僅假日方便
理想總價
450萬+
City
Taipei</t>
  </si>
  <si>
    <t>陳國寶</t>
  </si>
  <si>
    <t>0988182137</t>
  </si>
  <si>
    <t>方便聯絡時段
晚間 (17:00-21:00)
理想總價
50萬～100萬
Full name
City
新北市</t>
  </si>
  <si>
    <t>住新北
基地1：新北石碇 不是翡翠水庫那一邊
有舊房子50-60年前，老違章、有水電門牌
基地2：農地
LINE@
都建議他到現場來參訪完在做決定。
7/2聯繫，稍微有說服，但要來之前自己再聯繫</t>
  </si>
  <si>
    <t>王先生Rex</t>
  </si>
  <si>
    <t>0918769501</t>
  </si>
  <si>
    <t>子榕公務機潛水很久
沒有參訪過</t>
  </si>
  <si>
    <t>參訪：4位 朋友
無地，好奇想先做了解</t>
  </si>
  <si>
    <t>杜亭萱</t>
  </si>
  <si>
    <t>0965375995</t>
  </si>
  <si>
    <t>請問房子價錢＆可以分期付款嗎？</t>
  </si>
  <si>
    <t>住：台東池上
基地：無 可能租or買 池上的地
職業：甜點宅配
參訪：夫妻+小孩2y+1P大人
問蠻多，實際居住的工程問題、找地問題，有認真思考</t>
  </si>
  <si>
    <t>蘇小姐</t>
  </si>
  <si>
    <t>0988788244</t>
  </si>
  <si>
    <t>在附近遊客,臨時想參訪</t>
  </si>
  <si>
    <t>住：雲林
10年前 5年前 蘇小姐都有來過現場
現在是教會年輕人，小組活動時間，想要一起參訪
(建議決策者來，但還是想10位一起，其中只有一兩位有想法，無法勸說分開行動，就是要一起行動)
8月份排好時間
蘇小姐先 +LINE@ 傳資料</t>
  </si>
  <si>
    <t>李佩芳</t>
  </si>
  <si>
    <t>0906971826</t>
  </si>
  <si>
    <t xml:space="preserve">
</t>
  </si>
  <si>
    <t>住：台中
暑假期間會離開台中，是老師？
青銀后土村的忠實追隨者
2025 0606參訪過
此次來的目的是要看合掌屋+了解后土村的下一步計畫</t>
  </si>
  <si>
    <t>吳琬瑜</t>
  </si>
  <si>
    <t>0921007350</t>
  </si>
  <si>
    <t>方便聯絡時段
僅假日方便
理想總價
360萬～450萬
City
Taipei
7/4未接</t>
  </si>
  <si>
    <t>王昱心</t>
  </si>
  <si>
    <t>0932559925</t>
  </si>
  <si>
    <t>方便聯絡時段
全天皆可
理想總價
50萬～100萬
City
Hualien City</t>
  </si>
  <si>
    <t>住：花蓮
地：台東 都蘭 農 
工作室：陶藝(在花蓮有比較小間)
參訪1P
 7/18 六or 8/1六(7/7調整中 未確認)</t>
  </si>
  <si>
    <t>Lucy Ou</t>
  </si>
  <si>
    <t>0920646757</t>
  </si>
  <si>
    <t>方便聯絡時段
僅假日方便
理想總價
50萬～100萬
City
台北市</t>
  </si>
  <si>
    <t>只想獲得自己要的資訊，問到後會馬上掛電話
願意獲得資訊
6000坪土地，自家的
問最小的單位價格</t>
  </si>
  <si>
    <t>0911314191</t>
  </si>
  <si>
    <t>方便聯絡時段
全天皆可
理想總價
100萬～200萬
City
台中</t>
  </si>
  <si>
    <t>剛好再忙，請他先看簡訊or +LINE@
下周聯繫</t>
  </si>
  <si>
    <t xml:space="preserve">
袁先生</t>
  </si>
  <si>
    <t>0922666899</t>
  </si>
  <si>
    <t>David Yuan
FB:方便聯絡時段
下午 (13:00-17:00)
理想總價
450萬+
City
Taichung</t>
  </si>
  <si>
    <t>看到FB廣告, 5-6年前來過園區,
問30P造價多少
現在人在台北, 地在台中
臺中市新社區湳嶺段(5733)722.723.738地號(放在722地號上)
緯經度:24.23257,120.78663
定位點：https://maps.app.goo.gl/qeeyPzwX8U7b3ztB6
參訪方式收費OK, 已提共地號
參訪：5P，夫妻+媽媽+管理員
年紀：55+
道路：大斜坡，但混凝土車可到
很多應酬跟往返美國外的時間。
A</t>
  </si>
  <si>
    <t>唐曉慧</t>
  </si>
  <si>
    <t>0955927000</t>
  </si>
  <si>
    <t>方便聯絡時段
全天皆可
理想總價
360萬～450萬
City
新竹縣</t>
  </si>
  <si>
    <t>住：新竹
鄉下有地，但不喜歡想要看新竹山上的地
法規：目前應該都是資材室吧?新竹館很嚴? (小白半懂)
地：尋找中，山坡地果園、偏僻不過有水電，有坡疑慮
+LINE@ 看資料</t>
  </si>
  <si>
    <t>黃福賢</t>
  </si>
  <si>
    <t>0932333019</t>
  </si>
  <si>
    <t>方便聯絡時段
下午 (13:00-17:00)
理想總價
100萬～200萬
City
Taipei</t>
  </si>
  <si>
    <t>住：台北
基地：雲林
想做度假屋(置產)
+LINE@ 收資料
7/8下午有接，說好要+LINE，再下通就沒接了</t>
  </si>
  <si>
    <t>蘇R</t>
  </si>
  <si>
    <t>0972717577</t>
  </si>
  <si>
    <t>想要明天參觀</t>
  </si>
  <si>
    <t>實際要住：媽媽(休周三)
媽媽住南投，蘇先生住彰化
參訪：帶媽媽來
初步規劃中，媽媽看了喜歡就去買地</t>
  </si>
  <si>
    <t>賴唐分 小姐</t>
  </si>
  <si>
    <t>0937682128</t>
  </si>
  <si>
    <t>板橋</t>
  </si>
  <si>
    <t>想預登記8/1(六) 要安排行程(中台禪寺 法會)
住：板橋一個人
基地：(屏東 茄苳) 老家旁邊 空地(尺寸不大，量長寬)
未婚，只需住一人，老家不夠住(以後媽媽離開要搬出來)
廠商：有看過太空艙
參訪：一起參加法會的朋友</t>
  </si>
  <si>
    <t>董翠華</t>
  </si>
  <si>
    <t>0932190314</t>
  </si>
  <si>
    <t xml:space="preserve">您好，想預約賞屋，8/7星期五
</t>
  </si>
  <si>
    <t>住：台北
地：台東??或曾文水庫??
參訪：夫妻
原本就有兩塊地號農地，A地已有房子，B地想要放紅屋
(不是給別人，紅屋也是給自己的。why? A屋不好住？)
基地：農地 有水電
法規：原本A農地屋就沒有申請，B農地想考慮申請資材室，但也知道太麻煩就不請
3年前有來過</t>
  </si>
  <si>
    <t>邱玉鳳</t>
  </si>
  <si>
    <t>0938893100</t>
  </si>
  <si>
    <t>地：曾文水庫附近，老家件地80坪(老屋已拆除)
住：高雄
水電：?
重建為家人聚會空間，自己沒有要長住
只有決策者會來
朋友介紹有看過宥勝的影片
7/8 要來才自己約 (最近忙)</t>
  </si>
  <si>
    <t>鄭香辰
先生</t>
  </si>
  <si>
    <t>0975506762</t>
  </si>
  <si>
    <t>方便聯絡時段
全天皆可
理想總價
200萬～360萬
City
Zhubei</t>
  </si>
  <si>
    <r>
      <rPr/>
      <t xml:space="preserve">住：竹北
地：家族地，持分，農地旁邊有一塊建地(一直長雜草)
會帶小孩回去學習插秧，想放一間小紅屋這種不固定式的建築
基地可以一眼望去農地&amp;大霸尖山
有自己蓋過泥土屋(小孩也都耳濡目染)
4-5年前有來看過(餐廳時期)
新竹縣私立 承山 幼兒園 
創辦人兼負責人為鄭香辰。該園以自然教育與土地連結為核心理念，致力於透過環境設計及食農教育，讓孩子在無毒環境中成長，並積極推動公益助糧行動。
太太：張家甯 負責人
</t>
    </r>
    <r>
      <rPr>
        <color rgb="FF1155CC"/>
        <u/>
      </rPr>
      <t>https://www.facebook.com/cswaldorfkg/?locale=zh_TW</t>
    </r>
  </si>
  <si>
    <t>Nick Lee</t>
  </si>
  <si>
    <t>0917157990</t>
  </si>
  <si>
    <t>方便聯絡時段
全天皆可
理想總價
360萬～450萬
City
Taipei</t>
  </si>
  <si>
    <t>楊鑫霈</t>
  </si>
  <si>
    <t xml:space="preserve">0908607125
</t>
  </si>
  <si>
    <t>方便聯絡時段
僅假日方便
理想總價
360萬～450萬
新北市林口區文化一路一段201號3樓之3</t>
  </si>
  <si>
    <t>Yang</t>
  </si>
  <si>
    <t>0968868823</t>
  </si>
  <si>
    <t>Lunar Core</t>
  </si>
  <si>
    <t>0927117300</t>
  </si>
  <si>
    <t>方便聯絡時段
全天皆可
理想總價
450萬+
City
新竹市</t>
  </si>
  <si>
    <t>想要地+屋一起買，沒有的話就沒想法，不來</t>
  </si>
  <si>
    <t>劉文昭</t>
  </si>
  <si>
    <t>0933668911</t>
  </si>
  <si>
    <t>方便聯絡時段
全天皆可
理想總價
50萬～100萬
City
Tainan</t>
  </si>
  <si>
    <t>王麒銓</t>
  </si>
  <si>
    <t>0928997347</t>
  </si>
  <si>
    <t>方便聯絡時段
全天皆可
理想總價
100萬～200萬
City
台中
（橘子）</t>
  </si>
  <si>
    <t>已+LINE@
要賣地，正在山上忙碌
土地要賣(想推薦給要買地的人可以蓋房子)
看資料了 1小時候撥
查到的
麒銓地產企業有限公司
統編 54118012
代表人 王麒銓
臺中市豐原區成功路101號1樓</t>
  </si>
  <si>
    <t>蔡政哲</t>
  </si>
  <si>
    <t>0936926322</t>
  </si>
  <si>
    <t>方便聯絡時段
下午 (13:00-17:00)
理想總價
100萬～200萬
City
Hsinchu</t>
  </si>
  <si>
    <t>會議中，平時蠻忙得
有一塊地想蓋
新竹橫山，丙建 300坪 再山頂
電 自己會先去申請
沒水，但附近很多山泉水，會自己想辦法
安排好時間，會再跟我們聯繫</t>
  </si>
  <si>
    <t>楊雅晴</t>
  </si>
  <si>
    <t>0919107250</t>
  </si>
  <si>
    <t>方便聯絡時段
下午 (13:00-17:00)
理想總價
100萬～200萬
City
三重</t>
  </si>
  <si>
    <t>沒關係，已經過去了XD
但還是會看簡訊</t>
  </si>
  <si>
    <t>翁宏</t>
  </si>
  <si>
    <t>0910753542</t>
  </si>
  <si>
    <t>方便聯絡時段
下午 (13:00-17:00)
理想總價
450萬+
City
高雄市</t>
  </si>
  <si>
    <t>Andy Hsieh</t>
  </si>
  <si>
    <t>0931094168</t>
  </si>
  <si>
    <t>方便聯絡時段
下午 (13:00-17:00)
理想總價
360萬～450萬
City
Taipei</t>
  </si>
  <si>
    <t>0903500919</t>
  </si>
  <si>
    <t>方便聯絡時段
中午 (12:00-13:00)
理想總價
50萬～100萬
City
Pingtung</t>
  </si>
  <si>
    <t>陳榮挺</t>
  </si>
  <si>
    <t>0911748011</t>
  </si>
  <si>
    <t>方便聯絡時段
上午 (09:00-12:00)
理想總價
50萬～100萬
City
屏東縣</t>
  </si>
  <si>
    <t>看簡訊
+LINE@ ok 然後就沒然後了</t>
  </si>
  <si>
    <t>徐曉陽</t>
  </si>
  <si>
    <t>0906689803</t>
  </si>
  <si>
    <t>住：宜蘭
地：宜蘭
屋：單院
參訪；2026.7.11</t>
  </si>
  <si>
    <t>7/11颱風日
住：宜蘭
地：宜蘭
屋：單院(單純想說自家旁邊有空地，放著來玩)
約週六， 7/18 or 8/1</t>
  </si>
  <si>
    <t>張紘圖</t>
  </si>
  <si>
    <t>0987636397</t>
  </si>
  <si>
    <t>2024參訪過
8/2珈煒
居住：高雄林園(自家)
基地：無，找地中，美濃或六龜(已告知不建議)
決策者/使用人：夫妻
目標：明年買到地
用途：度假
預算：1300~1400買地+買屋雜支，用自家房屋貸款"
參訪後回去已買地</t>
  </si>
  <si>
    <t>子榕LINE
2024參訪過
居住：高雄林園(自家)
基地：屏東龍泉 有水有電
決策者/使用人：夫妻
*第一次來訪後，有買到土地，目前正在還貸款中
用途：度假
預算：1300~1400買地+買屋雜支，用自家房屋貸款""</t>
  </si>
  <si>
    <t>鍾秀蓮</t>
  </si>
  <si>
    <t>0935575011</t>
  </si>
  <si>
    <t>問試住，對木屋挺有興趣，已+LINE@
下午聯繫
十方聯合建築師事務所
台北市大安區新生南路一段103巷15號1樓
T:886-2-2731-9600
02-27319600#126
02-27214557
​行政特助 ​
學歷 國立台北商專國際貿易科</t>
  </si>
  <si>
    <t>做改變需要女兒支持
無地
住台北
十方聯合建築師事務所的行政特助
很害怕自己住在山上，想要有鄰居，好奇后土村的規劃
參訪：5P 女兒</t>
  </si>
  <si>
    <t>林明霞</t>
  </si>
  <si>
    <t>0931965288</t>
  </si>
  <si>
    <t>參訪：4P (應該是跟朋友)
住：台南
地：台東池上 建地120坪(方正)
原本規劃要蓋RC，因為台東的旅遊狀況不好所以沒有動作，看到合掌屋廣告，覺得這幾年可以先自己住，以後要蓋就把合掌屋拆掉就好</t>
  </si>
  <si>
    <t>吳志鵬</t>
  </si>
  <si>
    <t>0919070355</t>
  </si>
  <si>
    <t>合掌屋 詢問坪數</t>
  </si>
  <si>
    <t>陳蕙文</t>
  </si>
  <si>
    <t>0921101683</t>
  </si>
  <si>
    <t>合掌屋有興趣
不用來電，只想看資料</t>
  </si>
  <si>
    <t>黃國益</t>
  </si>
  <si>
    <t>0937228080</t>
  </si>
  <si>
    <t>申請參觀合掌屋</t>
  </si>
  <si>
    <t>2022初訪
2025二訪
去年農舍公文還沒下來，現在也還沒下來，許可未拿到
還在評估RC跟合掌屋 (看到LINE廣告)
可申請60坪，但房間就是想要5-6個房間
居住：台中市豐原區
基地：豐原區公老坪</t>
  </si>
  <si>
    <t>林文傳</t>
  </si>
  <si>
    <t>0937421250</t>
  </si>
  <si>
    <t>我是林文傳手機0937421250基地在新北市土城區大暖路136號1年前有去您們台中園區参觀！我們準備設立養生園區成立養生俱樂部歡迎您們派員指導！
做 鐘表的廠商有來過</t>
  </si>
  <si>
    <t>有點搞不懂規劃方向
1. 有一個園區要經營，要找我們經營？ 已告知不行
2. 青山綠水的園區，目前有一個地下室的空間11x14米，要做樓地板，要問我們施工可不可，設計師畫圖中</t>
  </si>
  <si>
    <t>陳宗喜</t>
  </si>
  <si>
    <t>0978177855</t>
  </si>
  <si>
    <t>都可，幾年前有去現場参觀過
室內7050mm*4880
已有建照 
花蓮鹽寮 有做嗎 
上面 凈土小屋  也在東海岸？</t>
  </si>
  <si>
    <t>9月份回台灣再約
3年前看過
現在再花蓮鹽寮已經申請到一個休閒農場，已經請到建照
(因為已經請好照，可能就找別人做了)
屏東還有另一塊地，也想請照，9月份回台灣再看合掌屋</t>
  </si>
  <si>
    <t>鄧式榮</t>
  </si>
  <si>
    <t>0911855358</t>
  </si>
  <si>
    <r>
      <rPr>
        <rFont val="inherit"/>
        <color rgb="FF1C2B33"/>
      </rPr>
      <t xml:space="preserve">似乎對二手屋有興趣
南投縣鹿谷鄉彰雅村凍頂巷7～23号
巨峰茶引-鄧式榮
</t>
    </r>
    <r>
      <rPr>
        <rFont val="inherit"/>
        <color rgb="FF1155CC"/>
        <u/>
      </rPr>
      <t>https://share.google/dXTsbfqwPVgqVbp6u</t>
    </r>
  </si>
  <si>
    <t>初次
好奇想規劃</t>
  </si>
  <si>
    <t>謝宇涵</t>
  </si>
  <si>
    <t>0933446716</t>
  </si>
  <si>
    <t>還有展示屋 出售嗎？
2022苗栗人,很喜歡3院,擔心苗栗的北風大以及苗栗有新屋會收水土保育費,想要找一塊地,上有舊建物,保留屋頂裡面放置我們的木屋</t>
  </si>
  <si>
    <t>A 基地：苗栗三義，已有水電
路寬3m、基地260坪
旁邊有紅屋的案例
2022 初訪 遊園，這次二訪
可能8/1 周六(跟先生討論一下時間)
，平日一二四比較有空 跟我們搭不上</t>
  </si>
  <si>
    <t>余芷葇</t>
  </si>
  <si>
    <t>0937762707</t>
  </si>
  <si>
    <t xml:space="preserve">農地100坪，可以放置？
</t>
  </si>
  <si>
    <t>吳小姐</t>
  </si>
  <si>
    <t>0911747484</t>
  </si>
  <si>
    <t>這是二手屋嗎？
屏東市麟洛，之前有傳過影片，您回覆合適
請問是影片這間嗎？
是新屋還是舊屋
可以裝冷氣嗎？
我有興趣
請問影片如何下載？
無法分享給家人
2021喜歡3院/但覺得空間不夠/所以又看了5院/想再多一個房間/擔心路口不知道是否能進入施工</t>
  </si>
  <si>
    <t>王美香</t>
  </si>
  <si>
    <t>0931943681
0983632586</t>
  </si>
  <si>
    <t>請問台南安南區有屋款宅？</t>
  </si>
  <si>
    <t>想做為民宿使用
年紀有點大，腿不好眼睛也不好
要朋友載他來
基地道路很狹窄，一般貨櫃進不去
但他也不喜歡貨櫃
看單院系列</t>
  </si>
  <si>
    <t>戴睿熹</t>
  </si>
  <si>
    <t>0919611847</t>
  </si>
  <si>
    <t>基地：苗栗
居住：新北
爸媽，台東人
參訪：帶教育的夥伴一起來，退休老師
一個草創的教育機構 8月的時候都會忙學校開學前的事情</t>
  </si>
  <si>
    <t>Rosita</t>
  </si>
  <si>
    <t>0920328286</t>
  </si>
  <si>
    <t>二手屋詢問</t>
  </si>
  <si>
    <t>（家具）幸福生活館</t>
  </si>
  <si>
    <t>0963527988</t>
  </si>
  <si>
    <t>晚安您好，請問一下要放置這種展示屋的話，他是需要農地多少坪以上嗎？</t>
  </si>
  <si>
    <t>廖韋強</t>
  </si>
  <si>
    <t>0935661998</t>
  </si>
  <si>
    <t>方便聯絡時段
中午 (12:00-13:00)
理想總價
450萬+
City
Taichung</t>
  </si>
  <si>
    <t>WIX填單，想約7/11or7/21
住：台中
地：恆春
合掌屋
7/10還是未接，應該很忙，已寄簡訊通知</t>
  </si>
  <si>
    <t>Lai Li Chu</t>
  </si>
  <si>
    <t>0936921201</t>
  </si>
  <si>
    <t>方便聯絡時段
下午 (13:00-17:00)
理想總價
100萬～200萬
City
新竹縣</t>
  </si>
  <si>
    <t>siri</t>
  </si>
  <si>
    <t>李佩桂先生</t>
  </si>
  <si>
    <t>0970087512</t>
  </si>
  <si>
    <t>方便聯絡時段
晚間 (17:00-21:00)
理想總價
50萬～100萬
City
Taipei</t>
  </si>
  <si>
    <t>最小間，多少錢
哪裡來的木材
先+LIINE@ 看資料</t>
  </si>
  <si>
    <t>Yawi Kagi
張先生</t>
  </si>
  <si>
    <t>0975813009</t>
  </si>
  <si>
    <t>方便聯絡時段
晚間 (17:00-21:00)
理想總價
360萬～450萬
City
台中市</t>
  </si>
  <si>
    <t>已加LINE@
7/16 未看資料
住：豐原
地：和平</t>
  </si>
  <si>
    <t>莊啓呈</t>
  </si>
  <si>
    <t>0910745410</t>
  </si>
  <si>
    <t>7/24日~ 2人/可以預約參觀嗎</t>
  </si>
  <si>
    <t>參訪：夫妻 約60y
初步規劃中，看過再討論
台南市柳營區建業路160號 (空地)</t>
  </si>
  <si>
    <t>林俊佑</t>
  </si>
  <si>
    <t>0919682326</t>
  </si>
  <si>
    <t>你好，想預約8/1星期六，4位參觀。6/30初次詢問</t>
  </si>
  <si>
    <t>參訪；4P家人
住梧棲，幫父母(75y)看，因為現在的透天怕以後老爸媽腿腳不方便，至少可以在附近找一個舒服一點的環境，讓爸媽住平房。
住：爸媽
地：還沒找
參訪：3-4位，自己夫妻+爸媽夫妻</t>
  </si>
  <si>
    <t>黃帥儒</t>
  </si>
  <si>
    <t>0982893748</t>
  </si>
  <si>
    <t xml:space="preserve">想約 8/14 </t>
  </si>
  <si>
    <t>教會 團體 10-12位
團員 在 雲林
蘇小姐        0988788244</t>
  </si>
  <si>
    <t>江如容先生</t>
  </si>
  <si>
    <t xml:space="preserve"> 0933972071</t>
  </si>
  <si>
    <t>想約明天7/15，人數???</t>
  </si>
  <si>
    <t>柏菲特 禮贈品
住：新竹
地：新竹芎林鄉
已有蓋過農舍(說法規部分他們自行負責)
目前第二塊地已有申請到資材室的許可
但不確定車輛是否可通行，(整地時卡車有載挖土機進出過)</t>
  </si>
  <si>
    <t>施青含</t>
  </si>
  <si>
    <t>0928197412</t>
  </si>
  <si>
    <t>想約今天下午或明天下午</t>
  </si>
  <si>
    <t>無地，找長住的可能</t>
  </si>
  <si>
    <t>林冠伶</t>
  </si>
  <si>
    <t>0928358580</t>
  </si>
  <si>
    <t>以來看過木屋多次，之前有跟楊小姐聯繫
紙本資料
進一步洽談施工跟客製
施工：拆前面拆屋頂都可以做，但是老闆覺得沒有生活品質不要這樣做
7/21勸退，生活品質很不好 (老闆)</t>
  </si>
  <si>
    <t>謝小姐</t>
  </si>
  <si>
    <t xml:space="preserve">0912616793 </t>
  </si>
  <si>
    <t>聯絡時間都方便</t>
  </si>
  <si>
    <t>WIX 謝小姐，先生 陳關雄
住：苗栗
地：苗栗
小家庭 (合院)</t>
  </si>
  <si>
    <t>邱淑娣</t>
  </si>
  <si>
    <t>0935933187</t>
  </si>
  <si>
    <t>問家具維修(乳膠更換)
也有留官LINE</t>
  </si>
  <si>
    <t>聯繫中，
乳膠+遊龍沙發 想要各1組</t>
  </si>
  <si>
    <t>李淑芬</t>
  </si>
  <si>
    <t>0927555743</t>
  </si>
  <si>
    <t>方便聯絡時段
上午 (09:00-12:00)
理想總價
100萬～200萬
City
Pingtung</t>
  </si>
  <si>
    <t>不想考慮木屋，原因是怕維護費用很高
想蓋在台東</t>
  </si>
  <si>
    <t>0919892665</t>
  </si>
  <si>
    <t>方便聯絡時段
僅假日方便
理想總價
100萬～200萬
City
Kaohsiung</t>
  </si>
  <si>
    <t>忙碌中，這兩天會
加+LINE@ 傳資料
對木屋有興趣</t>
  </si>
  <si>
    <t>方便聯絡時段
全天皆可
理想總價
50萬～100萬
City
Xinbei</t>
  </si>
  <si>
    <t>已為我們是居林，有去南港展覽
先+LINE@收資料</t>
  </si>
  <si>
    <t>董小姐</t>
  </si>
  <si>
    <t>0912662662</t>
  </si>
  <si>
    <t>方便聯絡時段
全天皆可
理想總價
50萬～100萬
City
Taichung</t>
  </si>
  <si>
    <t>週六 7/18 下午聯繫</t>
  </si>
  <si>
    <t>林慶鐘老師</t>
  </si>
  <si>
    <t>0936322883</t>
  </si>
  <si>
    <t>年紀有點大? LINE不太會操作
豐原，左邊4F透天／前面面寬5米、後面寬度4.35米
長度，約25米，約32地坪
已+LINE@
稱自己房子很多，只想花小錢，用來出租
地是兒子的</t>
  </si>
  <si>
    <t>Jennifer Chen
陳淑娟</t>
  </si>
  <si>
    <t>0938854666</t>
  </si>
  <si>
    <t>尚未看資料
需求 : 外傭住&amp;員工住
產業,流浪動物之家
因為也不讓員工在室內開火
不缺錢 ,可是我不想花太多錢,2~30萬的預算而已
看過資料後若要參觀在跟我們聯繫</t>
  </si>
  <si>
    <t>陳淑娟</t>
  </si>
  <si>
    <t>方便聯絡時段
下午 (13:00-17:00)
理想總價
450萬+
City
苗栗苑裡</t>
  </si>
  <si>
    <t>加LINE@，看資料
有看過別的廠商</t>
  </si>
  <si>
    <t>曾馨慧</t>
  </si>
  <si>
    <t>0921071212</t>
  </si>
  <si>
    <t>方便聯絡時段
下午 (13:00-17:00)
理想總價
200萬～360萬
City
台南市</t>
  </si>
  <si>
    <t>0980800942</t>
  </si>
  <si>
    <t>住：台北市
地：台中市
小家庭 (合院)
7月
無法接聽</t>
  </si>
  <si>
    <t>黃啓庭</t>
  </si>
  <si>
    <t>0928718070</t>
  </si>
  <si>
    <t xml:space="preserve">
小家庭 (合院)
想預約</t>
  </si>
  <si>
    <t>參訪：
住：台南市
地：目前沒有
8/15六，跟太太討論一下</t>
  </si>
  <si>
    <t>陳鈺婷</t>
  </si>
  <si>
    <t>0936628207</t>
  </si>
  <si>
    <t>有地的參觀 下午 住宿</t>
  </si>
  <si>
    <t>先看LINE@資料
7/16 未接</t>
  </si>
  <si>
    <t>張富杰</t>
  </si>
  <si>
    <t>0928810812</t>
  </si>
  <si>
    <t>原本想要8/8全家來訪，建議決策者來就好
實際是自己夫妻要住(屆齡退休)
住：台北(工作)
地：還在找 台中彰化老家(每個月會回來兩次)</t>
  </si>
  <si>
    <t xml:space="preserve">王亭雅 </t>
  </si>
  <si>
    <t>0912587598</t>
  </si>
  <si>
    <t xml:space="preserve">9月後再約，假日
住：台北
會想專程來訪一趟台中。感受
</t>
  </si>
  <si>
    <t>鄭至家</t>
  </si>
  <si>
    <t>0917113671</t>
  </si>
  <si>
    <t>8/1 要再喬一下時間
參訪：1位
無地，只是好奇來參訪</t>
  </si>
  <si>
    <t>歐小姐</t>
  </si>
  <si>
    <t>0989809422</t>
  </si>
  <si>
    <t>下午</t>
  </si>
  <si>
    <t>已+LINE@
住：屏東
地：台東
最近因為開店，很忙。
建議先安排家人來看，歐小姐初步覺得ok</t>
  </si>
  <si>
    <t>蔡志文</t>
  </si>
  <si>
    <t>0910833935</t>
  </si>
  <si>
    <t>只是想要安排旅遊景點，不是7/28二就不行來
雖有農地但無規劃想法
都還要上班，屏東很遠 (沒動力的客戶)</t>
  </si>
  <si>
    <t>鄭智源</t>
  </si>
  <si>
    <t>0910861750</t>
  </si>
  <si>
    <t>方便聯絡時段
全天皆可
理想總價
50萬～100萬
City
台中市</t>
  </si>
  <si>
    <t>5/12 梓涵：有點沒誠意了解的人
軍5/12 下午3點二播, 說再忙, 感覺興趣度不高或不急
7/16子榕：這個人很跳針，只想要自己要的資訊，且講話很快
800坪土地，450建地 都市計畫內
土地：台中神岡，不是自己的，地主都在國外，要幫她規畫出租
離神岡熱鬧的地方幾百公尺而已，怕法規
現在已經有日式老宅</t>
  </si>
  <si>
    <t>簡小姐</t>
  </si>
  <si>
    <t>0921473369</t>
  </si>
  <si>
    <t>可聯繫時間早上10：00-14：00</t>
  </si>
  <si>
    <t>暑假要帶小孩比較忙
住：花蓮
地：花蓮市區
農地 757坪，有水電
法規：不清楚，但大概聽說農舍很麻煩，空拍會重複檢舉
建議帶小孩來一起，要跟先生討論時間。</t>
  </si>
  <si>
    <t>楊月梅</t>
  </si>
  <si>
    <t>0955359801</t>
  </si>
  <si>
    <t>計畫很趕，(可能只是說說)
10月動工，11月木屋才到也可以
參訪：2位 (自己+兒子)
WIX
居住縣市
苗栗縣三義鄉
欲規劃基地縣市
苗栗縣銅鑼鄉</t>
  </si>
  <si>
    <t>0910955661</t>
  </si>
  <si>
    <t>方便聯絡時段
上午 (09:00-12:00)
理想總價
360萬～450萬
City
111000</t>
  </si>
  <si>
    <t>只是一直問問題，樹是你們種的？台灣的廠商？
有+LINE@才有機會推廣
土地：桃竹苗地區</t>
  </si>
  <si>
    <t>蔡少筠</t>
  </si>
  <si>
    <t>0935123806</t>
  </si>
  <si>
    <t>有幫人蓋嗎？</t>
  </si>
  <si>
    <t>曾瑞炘</t>
  </si>
  <si>
    <t>0932531578</t>
  </si>
  <si>
    <t>方便聯絡時段
上午 (09:00-12:00)
理想總價
100萬～200萬
City
Tainan南投</t>
  </si>
  <si>
    <t>在外面，先+LINE@，如果沒有收到再自回電</t>
  </si>
  <si>
    <t>Fang Lee</t>
  </si>
  <si>
    <t>0938058008</t>
  </si>
  <si>
    <t>先+LINE@
傳資料</t>
  </si>
  <si>
    <t>巫孟哲</t>
  </si>
  <si>
    <t>0985439900</t>
  </si>
  <si>
    <t>方便聯絡時段
全天皆可
理想總價
50萬～100萬
City
台中</t>
  </si>
  <si>
    <t>已加入 LINE@ 資料給他
週六下午聯繫</t>
  </si>
  <si>
    <t>周光祺</t>
  </si>
  <si>
    <t>0980701180</t>
  </si>
  <si>
    <t>便聯絡時段
全天皆可
理想總價
100萬～200萬
City
Tainan</t>
  </si>
  <si>
    <t>已加入 LINE@ 資料給他
7/22 週三聯繫</t>
  </si>
  <si>
    <t>姚玉麗</t>
  </si>
  <si>
    <t>0953487021</t>
  </si>
  <si>
    <t>地：桃園龍潭 丙建138坪過戶中，1個多月後過戶完成
住：父母，年紀大比較急著想要入住
現有30年鐵皮屋有水電，打算要拆除。
自己，關注紅屋很多年，騎腳踏車都有經過。但自己是想要退休後用民宿(目前只是想想而已)
+LINE 傳預約成功資訊</t>
  </si>
  <si>
    <t>張麗娟</t>
  </si>
  <si>
    <t>0937731680</t>
  </si>
  <si>
    <t>想參訪，3P</t>
  </si>
  <si>
    <t>有想要蓋木屋，但不想先討論，參訪後再討論即可</t>
  </si>
  <si>
    <t>Lu Ys
盧先生</t>
  </si>
  <si>
    <t>0932906682</t>
  </si>
  <si>
    <t>方便聯絡時段
全天皆可
理想總價
450萬+
City
宜蘭市</t>
  </si>
  <si>
    <t>開會中，自己+LINE</t>
  </si>
  <si>
    <t>林瑞榮</t>
  </si>
  <si>
    <t>0915379101</t>
  </si>
  <si>
    <t>（白天）
7/30上午11：00左右到貴司
我與家人計畫在7/30上午從台南出發前往貴司參觀，
望請協助安排</t>
  </si>
  <si>
    <t>夫妻度假用，先生已退休，現都在基地上自行除草，已整理6年，所以太太才萌生想要在這塊基地度假的念頭
住台南
地台南東區自由路二段225號 (土地是太太名下的，已經持有35年，現只有小涼亭(雖然簡單但整理得還算別緻)
890坪 建地(不是丙建) 有水、電(隨時可以請)
(看起來超像一個大公園，但旁邊都圍起來私人土地)
(有重樹根很乾淨的草皮，有定期在除草整理
道路 有一點狀況，待討論
A 講話冷冷地但都有回復</t>
  </si>
  <si>
    <t>黃振欽</t>
  </si>
  <si>
    <t>0922008806</t>
  </si>
  <si>
    <t xml:space="preserve">有地的參觀 
白天
想了解小單位的行動屋        </t>
  </si>
  <si>
    <t>要參訪 想了解小單位的行動屋</t>
  </si>
  <si>
    <t>吳博仁</t>
  </si>
  <si>
    <t>0903406665</t>
  </si>
  <si>
    <t>方便聯絡時段
上午 (09:00-12:00)
理想總價
50萬～100萬
City
屏東縣枋寮鄉安樂村4鄰安樂路14號</t>
  </si>
  <si>
    <t>Arthur Chen</t>
  </si>
  <si>
    <t>0970888182</t>
  </si>
  <si>
    <t>宜蘭溯溪成</t>
  </si>
  <si>
    <t>0935514191</t>
  </si>
  <si>
    <t>張大帥</t>
  </si>
  <si>
    <t>0958473530</t>
  </si>
  <si>
    <t>Jean Chen Jean</t>
  </si>
  <si>
    <t>0919365139</t>
  </si>
  <si>
    <t>方便聯絡時段
僅假日方便
理想總價
200萬～360萬
City
高雄市</t>
  </si>
  <si>
    <t>林家如</t>
  </si>
  <si>
    <t>0937252321</t>
  </si>
  <si>
    <t>方便聯絡時段
僅假日方便
理想總價
50萬～100萬
City
彰化縣</t>
  </si>
  <si>
    <t>先看LINE資料 再聯繫
彰化 50坪 建地，想做招待所 或教室 都有在想
預約只有周六方便</t>
  </si>
  <si>
    <t>0972855217</t>
  </si>
  <si>
    <t>方便聯絡時段
僅假日方便
理想總價
50萬～100萬
City
台北市</t>
  </si>
  <si>
    <t>0938559777</t>
  </si>
  <si>
    <t>方便聯絡時段
基本要到晚上才有空，假日聯繫
理想總價
50萬～100萬
City
新北市</t>
  </si>
  <si>
    <t>LINE@ 待加，傳資料
有興趣，但待會要開會了</t>
  </si>
  <si>
    <t>徐國棟</t>
  </si>
  <si>
    <t>0909126728</t>
  </si>
  <si>
    <r>
      <rPr>
        <rFont val="inherit"/>
        <color rgb="FF4285F4"/>
      </rPr>
      <t xml:space="preserve">方便聯絡時段
</t>
    </r>
    <r>
      <rPr>
        <rFont val="inherit"/>
        <color rgb="FFFF0000"/>
      </rPr>
      <t>晚間 (17:00-21:00)</t>
    </r>
    <r>
      <rPr>
        <rFont val="inherit"/>
        <color rgb="FF4285F4"/>
      </rPr>
      <t xml:space="preserve">
理想總價
100萬～200萬
City
Taipei</t>
    </r>
  </si>
  <si>
    <t>廖志成</t>
  </si>
  <si>
    <t>0935514191
0936928936</t>
  </si>
  <si>
    <t>13:00-17:00
這小屋頭需要申請資材室或加工室或農舍嗎？</t>
  </si>
  <si>
    <t>宜蘭人
地：宜蘭員山 農地 電在申請中，水是山泉水。
度假居多，比較山上，雙人埤附近
1P，距離比較遠 要安排一下行程
法規：什麼名目？可以不用申請嗎？
參訪：1P</t>
  </si>
  <si>
    <t>邱小姐</t>
  </si>
  <si>
    <t>0980968808</t>
  </si>
  <si>
    <t>詢問之前的裝修工程</t>
  </si>
  <si>
    <t>0966696111</t>
  </si>
  <si>
    <t>高雄 無地 營造業 有木屋夢3-5年計畫</t>
  </si>
  <si>
    <t>LINE@</t>
  </si>
  <si>
    <t>賴奇祿</t>
  </si>
  <si>
    <t>0912024233</t>
  </si>
  <si>
    <t>2年前參訪過，有想進一步規劃
但地還沒找到，現在再看富里的地，住台南，已勸退(距離對角線)
現在想要度假用，以後退休才有可能搬過去常住
建議他先來看看 合掌屋 (他自己有興趣雙層樓)</t>
  </si>
  <si>
    <t>保固維修</t>
  </si>
  <si>
    <t>涂素萍</t>
  </si>
  <si>
    <t>0933319116</t>
  </si>
  <si>
    <t>戶外壁板，護欄變形</t>
  </si>
  <si>
    <t>LINE 已加入
張瀚木屋轉手
客戶有點盧小小
請他先拍使用的漆劑</t>
  </si>
  <si>
    <t>傅紹銘</t>
  </si>
  <si>
    <t>0910668589</t>
  </si>
  <si>
    <t>紅屋家具老客戶</t>
  </si>
  <si>
    <t>農地🆚丙建
在桃園市龜山區福源段
地號：
298（丙）299（丙）293 294 296 301 336 337
自己都在照顧媽媽，因為要退休了把房子賣掉，已經簽好約
想了解木屋，但因為他現在媽媽的狀況走不開，所以時間很難約
家裡的家計都落在老婆身上( 攝影協會 )`,</t>
  </si>
  <si>
    <t>劉中原 Eric Liu</t>
  </si>
  <si>
    <t>0932975385</t>
  </si>
  <si>
    <t>方便聯絡時段
上午 (09:00-12:00)
理想總價
360萬～450萬
City
台北</t>
  </si>
  <si>
    <t>有住過北京，朋友都在西雅圖加拿大，不排斥從大陸進口的材料(工作相關)
宜蘭的朋友有蓋很多房子，但現在在台北蓋房子太貴
想要租地蓋，打算找農地，但相關法規都不清楚。
先+LINE@</t>
  </si>
  <si>
    <t>0972757136</t>
  </si>
  <si>
    <t>方便聯絡時段
中午 (12:00-13:00)
理想總價
200萬～360萬
City
Kaohsiung</t>
  </si>
  <si>
    <t>未加入LINE@
度假用
初步規劃中
無地</t>
  </si>
  <si>
    <t>Janice Lee</t>
  </si>
  <si>
    <t>0963977813</t>
  </si>
  <si>
    <t>張自強</t>
  </si>
  <si>
    <t>0935050461</t>
  </si>
  <si>
    <t>有在找 度假木屋，看很多家不確定我們是誰
自+LINNE@
目前手邊忙碌中
7/29開會中，沒有要急 敷衍</t>
  </si>
  <si>
    <t>李彥勳</t>
  </si>
  <si>
    <t>0913657685</t>
  </si>
  <si>
    <t>方便聯絡時段
上午 (09:00-12:00)
理想總價
100萬～200萬
City
Taipei</t>
  </si>
  <si>
    <t>宜蘭三星農舍 居住中，打算後面要放一棟木屋，度假用(但實際是是要多一間房間)
有興趣 已加LINE@</t>
  </si>
  <si>
    <t>李瑞金</t>
  </si>
  <si>
    <t>0936076658</t>
  </si>
  <si>
    <t>找地中 農地 淡水&amp;三芝
住 北投 這附近比較熟悉
打算先短住 後面熟悉了再常住
參訪：2P</t>
  </si>
  <si>
    <t>林東能</t>
  </si>
  <si>
    <t>0978026525</t>
  </si>
  <si>
    <t>方便聯絡時段
上午 (09:00-12:00)
理想總價
50萬～100萬
City
Nantou</t>
  </si>
  <si>
    <t>陳志豪</t>
  </si>
  <si>
    <t>0903913166</t>
  </si>
  <si>
    <t>白天時段都可以聯絡喔</t>
  </si>
  <si>
    <t>營造業，屏東地區
想要找可以休息+辦公的空間
9月份以後比較有空參訪</t>
  </si>
  <si>
    <t>Yunwei</t>
  </si>
  <si>
    <t>0988372911</t>
  </si>
  <si>
    <t>沒時間 丙建想要做40坪
新竹人
想做實際實用的屋子</t>
  </si>
  <si>
    <t>蔡耀文</t>
  </si>
  <si>
    <t>0972098020</t>
  </si>
  <si>
    <t>靠山
1. 黑色部分脆化
2. 坐墊區破損</t>
  </si>
  <si>
    <t>8/5提供報價，但發現工廠沒有零件庫存
已取消，客戶ok</t>
  </si>
  <si>
    <t>廖俊易</t>
  </si>
  <si>
    <t>0920639355</t>
  </si>
  <si>
    <t>方便聯絡時段
上午 (09:00-12:00)
理想總價
100萬～200萬
City
嘉義市</t>
  </si>
  <si>
    <t>老家；豐原
工作：嘉義
基地：嘉義市 100+農地 (50m左右有鄰居)
LINE@
長輩會喜歡，有回豐原時再提早預約
一直很喜歡木材，早年紅屋家居都有認識
講話蠻油的，但都是正向的</t>
  </si>
  <si>
    <t>張美</t>
  </si>
  <si>
    <t>0980687288</t>
  </si>
  <si>
    <t>方便聯絡時段
中午 (12:00-13:00)
理想總價
50萬～100萬
City
Taipei</t>
  </si>
  <si>
    <t>囂張 買的就是大爺，做業務不加賴怎麼做業務
17坪的建地，有老屋
813高雄市左營區埤北里舊城巷51號</t>
  </si>
  <si>
    <t>林華治</t>
  </si>
  <si>
    <t>0930997772</t>
  </si>
  <si>
    <t>方便聯絡時段
中午 (12:00-13:00)
理想總價
100萬～200萬
City
Taipei</t>
  </si>
  <si>
    <t>鄉下有一塊地，有這個想法
工作中，會加line@
8/5回電後說我們撥錯了</t>
  </si>
  <si>
    <t>Justin Huang
黃先生</t>
  </si>
  <si>
    <t>0988062360</t>
  </si>
  <si>
    <t>方便聯絡時段
中午 (12:00-13:00)
理想總價
360萬～450萬
City
Taipei</t>
  </si>
  <si>
    <t>宜蘭 建地 125坪 合法可以蓋60坪
因為改房子太慢，所以想找我們蓋，初步說要70多坪
line@ 先看資料
8/5銀行辦事中4-5點聯繫</t>
  </si>
  <si>
    <t>0913257725</t>
  </si>
  <si>
    <t>方便聯絡時段
僅假日方便
理想總價
200萬～360萬
Full name
Serena Chen陳
Phone number
+886
City
Taipei</t>
  </si>
  <si>
    <t>0938012028</t>
  </si>
  <si>
    <t>方便聯絡時段
僅假日方便
理想總價
200萬～360萬
Full name
Nico Lo
Phone number
+886
City
新北</t>
  </si>
  <si>
    <t>陳靜江</t>
  </si>
  <si>
    <t>0919108896</t>
  </si>
  <si>
    <t>方便聯絡時段
全天皆可
理想總價
100萬～200萬
City
Kaohsiung</t>
  </si>
  <si>
    <t>1500後聯繫
8/5 未接</t>
  </si>
  <si>
    <t>李椿貴</t>
  </si>
  <si>
    <t>0910451464</t>
  </si>
  <si>
    <t>方便聯絡時段
全天皆可
理想總價
50萬～100萬
City
Zhunan</t>
  </si>
  <si>
    <t>包裝出貨中 再忙</t>
  </si>
  <si>
    <t>任小姐</t>
  </si>
  <si>
    <t>0960705553</t>
  </si>
  <si>
    <t>方便聯絡時段
全天皆可
理想總價
450萬+
City
Taichung</t>
  </si>
  <si>
    <r>
      <rPr>
        <rFont val="Arial"/>
        <color rgb="FF1F1F1F"/>
      </rPr>
      <t xml:space="preserve">MESSAGE 聯繫中
</t>
    </r>
    <r>
      <rPr>
        <rFont val="Arial"/>
        <color theme="1"/>
      </rPr>
      <t>6月份line才被盜用，很恐懼+line</t>
    </r>
  </si>
  <si>
    <t>簡淑雯</t>
  </si>
  <si>
    <t>0937956005</t>
  </si>
  <si>
    <t>方便聯絡時段
下午 (13:00-17:00)
理想總價
360萬～450萬
City
Hanoi</t>
  </si>
  <si>
    <t>郭馨華</t>
  </si>
  <si>
    <t>0921870742</t>
  </si>
  <si>
    <t>方便聯絡時段
中午 (12:00-13:00)
理想總價
100萬～200萬
City
Zhubei</t>
  </si>
  <si>
    <t>陳志明</t>
  </si>
  <si>
    <t>0952460953</t>
  </si>
  <si>
    <t>方便聯絡時段
中午 (12:00-13:00)
理想總價
450萬+
City
台南</t>
  </si>
  <si>
    <t>0928367828</t>
  </si>
  <si>
    <t>方便聯絡時段
中午 (12:00-13:00)
理想總價
360萬～450萬
Full name
Jeffrey Hsu
Phone number
+8860
City
Taipei</t>
  </si>
  <si>
    <t>0910318449</t>
  </si>
  <si>
    <t>方便聯絡時段
晚間 (17:00-21:00)
理想總價
450萬+
Full name
黃宥翔
Phone number
+886
City
Xinbei</t>
  </si>
  <si>
    <t>0934370488</t>
  </si>
  <si>
    <t>方便聯絡時段
晚間 (17:00-21:00)
理想總價
50萬～100萬
Full name
吳震威
Phone number
+886
City
新北</t>
  </si>
  <si>
    <t>0963814867</t>
  </si>
  <si>
    <t>方便聯絡時段
晚間 (17:00-21:00)
理想總價
50萬～100萬
Full name
王振祥
Phone number
+886
City
桃園市</t>
  </si>
  <si>
    <t>0987170878</t>
  </si>
  <si>
    <t>方便聯絡時段
晚間 (17:00-21:00)
理想總價
50萬～100萬
Full name
蘇嘉泉
Phone number
+886
City
彰化縣</t>
  </si>
  <si>
    <t>左小姐</t>
  </si>
  <si>
    <t>0912215020</t>
  </si>
  <si>
    <t>家具 要購回？</t>
  </si>
  <si>
    <t>0931486085</t>
  </si>
  <si>
    <t>現場要來
已有LINE@ 但客戶自己似乎不清楚
資料 若確認8/7周午參訪一併告知</t>
  </si>
  <si>
    <t>0963193056</t>
  </si>
  <si>
    <t>參訪</t>
  </si>
  <si>
    <t>1500後</t>
  </si>
  <si>
    <t>張穎儀</t>
  </si>
  <si>
    <t>0909858663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</si>
</sst>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yyyy/m/d"/>
    <numFmt numFmtId="166" formatCode="yyyy/m"/>
    <numFmt numFmtId="167" formatCode="m-d"/>
  </numFmts>
  <fonts count="62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sz val="8.0"/>
      <color rgb="FFFFFFFF"/>
      <name val="Arial"/>
      <scheme val="minor"/>
    </font>
    <font>
      <b/>
      <sz val="8.0"/>
      <color theme="1"/>
      <name val="Arial"/>
    </font>
    <font>
      <b/>
      <sz val="8.0"/>
      <color theme="1"/>
      <name val="Microsoft JhengHei"/>
    </font>
    <font>
      <sz val="12.0"/>
      <color theme="1"/>
      <name val="Arial"/>
    </font>
    <font/>
    <font>
      <color rgb="FFFF0000"/>
      <name val="Arial"/>
      <scheme val="minor"/>
    </font>
    <font>
      <sz val="8.0"/>
      <color theme="1"/>
      <name val="Arial"/>
    </font>
    <font>
      <sz val="9.0"/>
      <color theme="1"/>
      <name val="Arial"/>
    </font>
    <font>
      <sz val="11.0"/>
      <color rgb="FF1C2B33"/>
      <name val="Arial"/>
    </font>
    <font>
      <b/>
      <color rgb="FF34A853"/>
      <name val="Arial"/>
    </font>
    <font>
      <sz val="11.0"/>
      <color rgb="FF1C2B33"/>
      <name val="Optimistic 95"/>
    </font>
    <font>
      <sz val="11.0"/>
      <color rgb="FF393939"/>
      <name val="Arial"/>
    </font>
    <font>
      <b/>
      <color rgb="FF000000"/>
      <name val="Arial"/>
    </font>
    <font>
      <color rgb="FFFF00FF"/>
      <name val="Arial"/>
      <scheme val="minor"/>
    </font>
    <font>
      <u/>
      <color rgb="FF0000FF"/>
    </font>
    <font>
      <sz val="11.0"/>
      <color rgb="FF393939"/>
      <name val="微軟正黑體"/>
    </font>
    <font>
      <sz val="12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2.0"/>
      <color rgb="FFFF0000"/>
      <name val="Arial"/>
    </font>
    <font>
      <sz val="12.0"/>
      <color rgb="FF1C2B33"/>
      <name val="Arial"/>
    </font>
    <font>
      <color rgb="FF1C2B33"/>
      <name val="Inherit"/>
    </font>
    <font>
      <u/>
      <color rgb="FF0000FF"/>
    </font>
    <font>
      <u/>
      <color rgb="FF0000FF"/>
    </font>
    <font>
      <color rgb="FFFF0000"/>
      <name val="Inherit"/>
    </font>
    <font>
      <color rgb="FF93C47D"/>
      <name val="Arial"/>
    </font>
    <font>
      <color rgb="FF93C47D"/>
      <name val="Arial"/>
      <scheme val="minor"/>
    </font>
    <font>
      <sz val="12.0"/>
      <color rgb="FF93C47D"/>
      <name val="Arial"/>
    </font>
    <font>
      <color rgb="FF93C47D"/>
      <name val="Inherit"/>
    </font>
    <font>
      <sz val="11.0"/>
      <color rgb="FF000624"/>
      <name val="Madefor"/>
    </font>
    <font>
      <u/>
      <color rgb="FF1C2B33"/>
      <name val="Inherit"/>
    </font>
    <font>
      <color theme="1"/>
      <name val="Inherit"/>
    </font>
    <font>
      <color rgb="FF0000FF"/>
      <name val="Arial"/>
    </font>
    <font>
      <color rgb="FF0000FF"/>
      <name val="Arial"/>
      <scheme val="minor"/>
    </font>
    <font>
      <sz val="12.0"/>
      <color rgb="FF0000FF"/>
      <name val="Arial"/>
    </font>
    <font>
      <color rgb="FF0000FF"/>
      <name val="Inherit"/>
    </font>
    <font>
      <color rgb="FF6AA84F"/>
      <name val="Arial"/>
    </font>
    <font>
      <color rgb="FF6AA84F"/>
      <name val="Arial"/>
      <scheme val="minor"/>
    </font>
    <font>
      <sz val="12.0"/>
      <color rgb="FF6AA84F"/>
      <name val="Arial"/>
    </font>
    <font>
      <color rgb="FF6AA84F"/>
      <name val="Inherit"/>
    </font>
    <font>
      <color theme="4"/>
      <name val="Arial"/>
      <scheme val="minor"/>
    </font>
    <font>
      <color theme="7"/>
      <name val="Arial"/>
      <scheme val="minor"/>
    </font>
    <font>
      <color rgb="FF34A853"/>
      <name val="Arial"/>
    </font>
    <font>
      <color rgb="FF34A853"/>
      <name val="Arial"/>
      <scheme val="minor"/>
    </font>
    <font>
      <sz val="12.0"/>
      <color rgb="FF34A853"/>
      <name val="Arial"/>
    </font>
    <font>
      <color rgb="FF34A853"/>
      <name val="Inherit"/>
    </font>
    <font>
      <color theme="4"/>
      <name val="Arial"/>
    </font>
    <font>
      <sz val="12.0"/>
      <color theme="4"/>
      <name val="Arial"/>
    </font>
    <font>
      <color theme="4"/>
      <name val="Inherit"/>
    </font>
    <font>
      <color rgb="FF4285F4"/>
      <name val="Arial"/>
    </font>
    <font>
      <color rgb="FF4285F4"/>
      <name val="Arial"/>
      <scheme val="minor"/>
    </font>
    <font>
      <color rgb="FF4285F4"/>
      <name val="Inherit"/>
    </font>
    <font>
      <color rgb="FFFF0000"/>
      <name val="Arial"/>
    </font>
    <font>
      <color theme="9"/>
      <name val="Arial"/>
    </font>
    <font>
      <sz val="12.0"/>
      <color rgb="FF46BDC6"/>
      <name val="Arial"/>
    </font>
    <font>
      <color rgb="FF46BDC6"/>
      <name val="Inherit"/>
    </font>
    <font>
      <color theme="9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1F1F1"/>
        <bgColor rgb="FFF1F1F1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6E6FE"/>
        <bgColor rgb="FFD6E6FE"/>
      </patternFill>
    </fill>
    <fill>
      <patternFill patternType="solid">
        <fgColor rgb="FFFCE5CD"/>
        <bgColor rgb="FFFCE5CD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horizontal="center" readingOrder="0" vertical="bottom"/>
    </xf>
    <xf borderId="0" fillId="2" fontId="4" numFmtId="0" xfId="0" applyAlignment="1" applyFont="1">
      <alignment readingOrder="0" shrinkToFit="0" vertical="center" wrapText="1"/>
    </xf>
    <xf borderId="0" fillId="3" fontId="2" numFmtId="0" xfId="0" applyFont="1"/>
    <xf borderId="1" fillId="0" fontId="5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vertical="center"/>
    </xf>
    <xf borderId="2" fillId="3" fontId="2" numFmtId="0" xfId="0" applyAlignment="1" applyBorder="1" applyFont="1">
      <alignment horizontal="center" readingOrder="0" vertical="center"/>
    </xf>
    <xf borderId="1" fillId="4" fontId="6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5" fontId="2" numFmtId="0" xfId="0" applyAlignment="1" applyBorder="1" applyFill="1" applyFont="1">
      <alignment horizontal="center" readingOrder="0" vertical="center"/>
    </xf>
    <xf borderId="1" fillId="0" fontId="7" numFmtId="49" xfId="0" applyAlignment="1" applyBorder="1" applyFont="1" applyNumberFormat="1">
      <alignment horizontal="center" readingOrder="0" vertical="center"/>
    </xf>
    <xf borderId="4" fillId="0" fontId="8" numFmtId="0" xfId="0" applyBorder="1" applyFont="1"/>
    <xf borderId="5" fillId="0" fontId="8" numFmtId="0" xfId="0" applyBorder="1" applyFont="1"/>
    <xf borderId="0" fillId="0" fontId="2" numFmtId="0" xfId="0" applyAlignment="1" applyFont="1">
      <alignment readingOrder="0" shrinkToFit="0" vertical="center" wrapText="1"/>
    </xf>
    <xf borderId="6" fillId="6" fontId="2" numFmtId="0" xfId="0" applyAlignment="1" applyBorder="1" applyFill="1" applyFont="1">
      <alignment horizontal="center" readingOrder="0" vertical="center"/>
    </xf>
    <xf borderId="6" fillId="0" fontId="8" numFmtId="0" xfId="0" applyBorder="1" applyFont="1"/>
    <xf borderId="7" fillId="0" fontId="8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7" fontId="6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" fillId="8" fontId="6" numFmtId="0" xfId="0" applyAlignment="1" applyBorder="1" applyFill="1" applyFont="1">
      <alignment horizontal="center" shrinkToFit="0" vertical="top" wrapText="1"/>
    </xf>
    <xf borderId="1" fillId="3" fontId="3" numFmtId="0" xfId="0" applyAlignment="1" applyBorder="1" applyFont="1">
      <alignment horizontal="center" readingOrder="0" shrinkToFit="0" vertical="bottom" wrapText="1"/>
    </xf>
    <xf borderId="0" fillId="0" fontId="10" numFmtId="0" xfId="0" applyAlignment="1" applyFont="1">
      <alignment vertical="center"/>
    </xf>
    <xf borderId="0" fillId="3" fontId="2" numFmtId="0" xfId="0" applyAlignment="1" applyFont="1">
      <alignment shrinkToFit="0" wrapText="1"/>
    </xf>
    <xf borderId="8" fillId="0" fontId="8" numFmtId="0" xfId="0" applyBorder="1" applyFont="1"/>
    <xf borderId="1" fillId="5" fontId="2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horizontal="center"/>
    </xf>
    <xf borderId="1" fillId="6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1" fillId="4" fontId="3" numFmtId="0" xfId="0" applyAlignment="1" applyBorder="1" applyFont="1">
      <alignment horizontal="center"/>
    </xf>
    <xf borderId="1" fillId="9" fontId="3" numFmtId="0" xfId="0" applyAlignment="1" applyBorder="1" applyFill="1" applyFont="1">
      <alignment horizontal="center" readingOrder="0" shrinkToFit="0" vertical="bottom" wrapText="1"/>
    </xf>
    <xf borderId="1" fillId="10" fontId="3" numFmtId="0" xfId="0" applyAlignment="1" applyBorder="1" applyFill="1" applyFont="1">
      <alignment horizontal="center" readingOrder="0" shrinkToFit="0" vertical="bottom" wrapText="1"/>
    </xf>
    <xf borderId="1" fillId="4" fontId="3" numFmtId="49" xfId="0" applyBorder="1" applyFont="1" applyNumberFormat="1"/>
    <xf borderId="1" fillId="11" fontId="3" numFmtId="0" xfId="0" applyAlignment="1" applyBorder="1" applyFill="1" applyFont="1">
      <alignment horizontal="center" readingOrder="0" shrinkToFit="0" vertical="bottom" wrapText="1"/>
    </xf>
    <xf borderId="9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12" fontId="1" numFmtId="0" xfId="0" applyAlignment="1" applyFill="1" applyFont="1">
      <alignment readingOrder="0" shrinkToFit="0" wrapText="1"/>
    </xf>
    <xf borderId="9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vertical="bottom"/>
    </xf>
    <xf borderId="0" fillId="10" fontId="2" numFmtId="0" xfId="0" applyAlignment="1" applyFont="1">
      <alignment readingOrder="0" shrinkToFit="0" wrapText="1"/>
    </xf>
    <xf borderId="0" fillId="10" fontId="9" numFmtId="0" xfId="0" applyAlignment="1" applyFont="1">
      <alignment readingOrder="0" shrinkToFit="0" wrapText="1"/>
    </xf>
    <xf borderId="1" fillId="4" fontId="3" numFmtId="49" xfId="0" applyAlignment="1" applyBorder="1" applyFont="1" applyNumberFormat="1">
      <alignment vertical="bottom"/>
    </xf>
    <xf borderId="0" fillId="11" fontId="2" numFmtId="0" xfId="0" applyAlignment="1" applyFont="1">
      <alignment shrinkToFit="0" wrapText="1"/>
    </xf>
    <xf borderId="1" fillId="0" fontId="3" numFmtId="164" xfId="0" applyAlignment="1" applyBorder="1" applyFont="1" applyNumberFormat="1">
      <alignment horizontal="center" vertical="bottom"/>
    </xf>
    <xf borderId="0" fillId="11" fontId="2" numFmtId="0" xfId="0" applyAlignment="1" applyFont="1">
      <alignment readingOrder="0" shrinkToFit="0" wrapText="1"/>
    </xf>
    <xf borderId="1" fillId="0" fontId="3" numFmtId="164" xfId="0" applyAlignment="1" applyBorder="1" applyFont="1" applyNumberFormat="1">
      <alignment readingOrder="0" vertical="bottom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vertical="bottom"/>
    </xf>
    <xf borderId="0" fillId="10" fontId="2" numFmtId="0" xfId="0" applyAlignment="1" applyFont="1">
      <alignment readingOrder="0" shrinkToFit="0" wrapText="0"/>
    </xf>
    <xf borderId="0" fillId="10" fontId="9" numFmtId="0" xfId="0" applyAlignment="1" applyFont="1">
      <alignment readingOrder="0" shrinkToFit="0" wrapText="0"/>
    </xf>
    <xf borderId="1" fillId="0" fontId="3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horizontal="center" shrinkToFit="0" vertical="bottom" wrapText="1"/>
    </xf>
    <xf borderId="1" fillId="0" fontId="3" numFmtId="164" xfId="0" applyAlignment="1" applyBorder="1" applyFont="1" applyNumberForma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1" fillId="4" fontId="3" numFmtId="49" xfId="0" applyAlignment="1" applyBorder="1" applyFont="1" applyNumberFormat="1">
      <alignment shrinkToFit="0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bottom" wrapText="1"/>
    </xf>
    <xf borderId="1" fillId="4" fontId="3" numFmtId="49" xfId="0" applyAlignment="1" applyBorder="1" applyFont="1" applyNumberFormat="1">
      <alignment shrinkToFit="0" vertical="bottom" wrapText="1"/>
    </xf>
    <xf borderId="1" fillId="0" fontId="3" numFmtId="164" xfId="0" applyAlignment="1" applyBorder="1" applyFont="1" applyNumberFormat="1">
      <alignment horizontal="center" shrinkToFit="0" vertical="bottom" wrapText="1"/>
    </xf>
    <xf borderId="1" fillId="0" fontId="3" numFmtId="164" xfId="0" applyAlignment="1" applyBorder="1" applyFont="1" applyNumberForma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2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center"/>
    </xf>
    <xf borderId="1" fillId="4" fontId="3" numFmtId="49" xfId="0" applyAlignment="1" applyBorder="1" applyFont="1" applyNumberFormat="1">
      <alignment readingOrder="0" shrinkToFit="0" vertical="bottom" wrapText="1"/>
    </xf>
    <xf borderId="1" fillId="13" fontId="3" numFmtId="0" xfId="0" applyAlignment="1" applyBorder="1" applyFill="1" applyFont="1">
      <alignment horizontal="center" vertical="center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1" fillId="13" fontId="2" numFmtId="0" xfId="0" applyAlignment="1" applyBorder="1" applyFont="1">
      <alignment horizontal="center" vertical="center"/>
    </xf>
    <xf borderId="1" fillId="13" fontId="2" numFmtId="9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vertical="center"/>
    </xf>
    <xf borderId="0" fillId="0" fontId="9" numFmtId="0" xfId="0" applyAlignment="1" applyFont="1">
      <alignment readingOrder="0" vertical="center"/>
    </xf>
    <xf borderId="11" fillId="0" fontId="2" numFmtId="0" xfId="0" applyAlignment="1" applyBorder="1" applyFont="1">
      <alignment readingOrder="0" shrinkToFit="0" vertical="center" wrapText="1"/>
    </xf>
    <xf borderId="1" fillId="3" fontId="2" numFmtId="9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12" fillId="0" fontId="2" numFmtId="0" xfId="0" applyAlignment="1" applyBorder="1" applyFont="1">
      <alignment readingOrder="0" shrinkToFit="0" vertical="center" wrapText="1"/>
    </xf>
    <xf borderId="0" fillId="14" fontId="2" numFmtId="9" xfId="0" applyAlignment="1" applyFont="1" applyNumberFormat="1">
      <alignment horizontal="center"/>
    </xf>
    <xf borderId="1" fillId="0" fontId="11" numFmtId="0" xfId="0" applyAlignment="1" applyBorder="1" applyFont="1">
      <alignment horizontal="center" readingOrder="0" shrinkToFit="0" vertical="bottom" wrapText="1"/>
    </xf>
    <xf borderId="9" fillId="0" fontId="9" numFmtId="0" xfId="0" applyAlignment="1" applyBorder="1" applyFont="1">
      <alignment readingOrder="0" vertical="center"/>
    </xf>
    <xf borderId="1" fillId="13" fontId="12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top" wrapText="1"/>
    </xf>
    <xf borderId="1" fillId="13" fontId="14" numFmtId="0" xfId="0" applyAlignment="1" applyBorder="1" applyFont="1">
      <alignment horizontal="left" shrinkToFit="0" vertical="center" wrapText="1"/>
    </xf>
    <xf borderId="0" fillId="0" fontId="2" numFmtId="0" xfId="0" applyFont="1"/>
    <xf borderId="1" fillId="3" fontId="1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 vertical="center"/>
    </xf>
    <xf borderId="6" fillId="0" fontId="2" numFmtId="0" xfId="0" applyAlignment="1" applyBorder="1" applyFont="1">
      <alignment readingOrder="0" shrinkToFit="0" vertical="center" wrapText="1"/>
    </xf>
    <xf borderId="1" fillId="15" fontId="15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vertical="center"/>
    </xf>
    <xf borderId="9" fillId="0" fontId="2" numFmtId="0" xfId="0" applyAlignment="1" applyBorder="1" applyFont="1">
      <alignment vertical="center"/>
    </xf>
    <xf borderId="9" fillId="0" fontId="2" numFmtId="0" xfId="0" applyAlignment="1" applyBorder="1" applyFont="1">
      <alignment readingOrder="0" vertical="center"/>
    </xf>
    <xf borderId="1" fillId="3" fontId="14" numFmtId="0" xfId="0" applyAlignment="1" applyBorder="1" applyFont="1">
      <alignment horizontal="left" shrinkToFit="0" vertical="center" wrapText="1"/>
    </xf>
    <xf borderId="0" fillId="0" fontId="2" numFmtId="164" xfId="0" applyFont="1" applyNumberFormat="1"/>
    <xf borderId="1" fillId="16" fontId="15" numFmtId="0" xfId="0" applyAlignment="1" applyBorder="1" applyFill="1" applyFont="1">
      <alignment horizontal="left" shrinkToFit="0" vertical="center" wrapText="1"/>
    </xf>
    <xf borderId="1" fillId="17" fontId="15" numFmtId="49" xfId="0" applyAlignment="1" applyBorder="1" applyFill="1" applyFont="1" applyNumberFormat="1">
      <alignment shrinkToFit="0" wrapText="1"/>
    </xf>
    <xf borderId="0" fillId="0" fontId="2" numFmtId="166" xfId="0" applyAlignment="1" applyFont="1" applyNumberFormat="1">
      <alignment readingOrder="0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2" numFmtId="165" xfId="0" applyAlignment="1" applyFont="1" applyNumberFormat="1">
      <alignment readingOrder="0" vertical="center"/>
    </xf>
    <xf borderId="0" fillId="0" fontId="3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1" fillId="18" fontId="3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9" xfId="0" applyAlignment="1" applyFont="1" applyNumberFormat="1">
      <alignment horizontal="center"/>
    </xf>
    <xf borderId="1" fillId="0" fontId="13" numFmtId="0" xfId="0" applyAlignment="1" applyBorder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10" fontId="3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2" numFmtId="9" xfId="0" applyAlignment="1" applyBorder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2" numFmtId="9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1" fillId="14" fontId="2" numFmtId="0" xfId="0" applyAlignment="1" applyBorder="1" applyFont="1">
      <alignment horizontal="center" readingOrder="0"/>
    </xf>
    <xf borderId="0" fillId="3" fontId="16" numFmtId="0" xfId="0" applyAlignment="1" applyFont="1">
      <alignment horizontal="left" readingOrder="0" vertical="bottom"/>
    </xf>
    <xf borderId="1" fillId="14" fontId="3" numFmtId="0" xfId="0" applyAlignment="1" applyBorder="1" applyFont="1">
      <alignment horizontal="center" readingOrder="0" shrinkToFit="0" vertical="bottom" wrapText="1"/>
    </xf>
    <xf borderId="1" fillId="14" fontId="2" numFmtId="0" xfId="0" applyAlignment="1" applyBorder="1" applyFont="1">
      <alignment horizontal="center" readingOrder="0" shrinkToFit="0" wrapText="1"/>
    </xf>
    <xf borderId="0" fillId="14" fontId="2" numFmtId="0" xfId="0" applyAlignment="1" applyFont="1">
      <alignment horizontal="center" readingOrder="0" shrinkToFit="0" wrapText="1"/>
    </xf>
    <xf borderId="0" fillId="14" fontId="2" numFmtId="9" xfId="0" applyAlignment="1" applyFont="1" applyNumberFormat="1">
      <alignment horizontal="center" shrinkToFit="0" wrapText="1"/>
    </xf>
    <xf borderId="1" fillId="0" fontId="3" numFmtId="164" xfId="0" applyAlignment="1" applyBorder="1" applyFont="1" applyNumberFormat="1">
      <alignment readingOrder="0" shrinkToFit="0" vertical="bottom" wrapText="1"/>
    </xf>
    <xf borderId="1" fillId="10" fontId="3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/>
    </xf>
    <xf borderId="1" fillId="14" fontId="3" numFmtId="0" xfId="0" applyAlignment="1" applyBorder="1" applyFont="1">
      <alignment horizontal="center" vertical="bottom"/>
    </xf>
    <xf borderId="1" fillId="4" fontId="3" numFmtId="9" xfId="0" applyAlignment="1" applyBorder="1" applyFont="1" applyNumberFormat="1">
      <alignment horizontal="center" vertical="bottom"/>
    </xf>
    <xf borderId="0" fillId="0" fontId="2" numFmtId="9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9" xfId="0" applyAlignment="1" applyBorder="1" applyFont="1" applyNumberFormat="1">
      <alignment horizontal="center" vertical="bottom"/>
    </xf>
    <xf borderId="1" fillId="4" fontId="3" numFmtId="49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9" xfId="0" applyAlignment="1" applyBorder="1" applyFont="1" applyNumberFormat="1">
      <alignment horizontal="center" vertical="bottom"/>
    </xf>
    <xf borderId="0" fillId="0" fontId="17" numFmtId="0" xfId="0" applyAlignment="1" applyFont="1">
      <alignment horizontal="center" readingOrder="0"/>
    </xf>
    <xf borderId="0" fillId="0" fontId="17" numFmtId="0" xfId="0" applyFont="1"/>
    <xf borderId="0" fillId="0" fontId="17" numFmtId="0" xfId="0" applyAlignment="1" applyFont="1">
      <alignment readingOrder="0"/>
    </xf>
    <xf borderId="1" fillId="3" fontId="12" numFmtId="0" xfId="0" applyAlignment="1" applyBorder="1" applyFont="1">
      <alignment horizontal="left" readingOrder="0" shrinkToFit="0" vertical="center" wrapText="1"/>
    </xf>
    <xf borderId="1" fillId="19" fontId="3" numFmtId="0" xfId="0" applyAlignment="1" applyBorder="1" applyFill="1" applyFont="1">
      <alignment horizontal="center" readingOrder="0" vertical="bottom"/>
    </xf>
    <xf borderId="1" fillId="19" fontId="3" numFmtId="0" xfId="0" applyAlignment="1" applyBorder="1" applyFont="1">
      <alignment horizontal="center" vertical="bottom"/>
    </xf>
    <xf borderId="1" fillId="19" fontId="2" numFmtId="0" xfId="0" applyAlignment="1" applyBorder="1" applyFont="1">
      <alignment horizontal="center"/>
    </xf>
    <xf borderId="1" fillId="19" fontId="3" numFmtId="9" xfId="0" applyAlignment="1" applyBorder="1" applyFont="1" applyNumberFormat="1">
      <alignment horizontal="center" vertical="bottom"/>
    </xf>
    <xf borderId="1" fillId="13" fontId="3" numFmtId="0" xfId="0" applyAlignment="1" applyBorder="1" applyFont="1">
      <alignment horizontal="center" readingOrder="0" vertical="bottom"/>
    </xf>
    <xf borderId="1" fillId="13" fontId="3" numFmtId="0" xfId="0" applyAlignment="1" applyBorder="1" applyFont="1">
      <alignment horizontal="center" vertical="bottom"/>
    </xf>
    <xf borderId="1" fillId="13" fontId="2" numFmtId="0" xfId="0" applyAlignment="1" applyBorder="1" applyFont="1">
      <alignment horizontal="center"/>
    </xf>
    <xf borderId="1" fillId="13" fontId="3" numFmtId="9" xfId="0" applyAlignment="1" applyBorder="1" applyFont="1" applyNumberFormat="1">
      <alignment horizontal="center" vertical="bottom"/>
    </xf>
    <xf borderId="1" fillId="14" fontId="3" numFmtId="9" xfId="0" applyAlignment="1" applyBorder="1" applyFont="1" applyNumberFormat="1">
      <alignment horizontal="center" readingOrder="0" shrinkToFit="0" vertical="bottom" wrapText="1"/>
    </xf>
    <xf borderId="1" fillId="3" fontId="3" numFmtId="9" xfId="0" applyAlignment="1" applyBorder="1" applyFont="1" applyNumberFormat="1">
      <alignment horizontal="center" readingOrder="0" shrinkToFit="0" vertical="bottom" wrapText="1"/>
    </xf>
    <xf borderId="1" fillId="14" fontId="2" numFmtId="0" xfId="0" applyAlignment="1" applyBorder="1" applyFont="1">
      <alignment horizontal="center"/>
    </xf>
    <xf borderId="1" fillId="10" fontId="3" numFmtId="0" xfId="0" applyAlignment="1" applyBorder="1" applyFont="1">
      <alignment horizontal="left" shrinkToFit="0" vertical="top" wrapText="1"/>
    </xf>
    <xf borderId="1" fillId="19" fontId="2" numFmtId="9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 shrinkToFit="0" vertical="bottom" wrapText="1"/>
    </xf>
    <xf borderId="1" fillId="11" fontId="3" numFmtId="0" xfId="0" applyAlignment="1" applyBorder="1" applyFont="1">
      <alignment horizontal="center" vertical="bottom"/>
    </xf>
    <xf borderId="1" fillId="6" fontId="3" numFmtId="164" xfId="0" applyAlignment="1" applyBorder="1" applyFont="1" applyNumberFormat="1">
      <alignment horizontal="center" shrinkToFit="0" wrapText="1"/>
    </xf>
    <xf borderId="1" fillId="6" fontId="3" numFmtId="0" xfId="0" applyAlignment="1" applyBorder="1" applyFont="1">
      <alignment horizontal="center" shrinkToFit="0" wrapText="1"/>
    </xf>
    <xf borderId="1" fillId="6" fontId="3" numFmtId="49" xfId="0" applyAlignment="1" applyBorder="1" applyFont="1" applyNumberFormat="1">
      <alignment shrinkToFit="0" wrapText="1"/>
    </xf>
    <xf borderId="1" fillId="6" fontId="3" numFmtId="0" xfId="0" applyAlignment="1" applyBorder="1" applyFont="1">
      <alignment horizontal="left" shrinkToFit="0" vertical="center" wrapText="1"/>
    </xf>
    <xf borderId="1" fillId="6" fontId="3" numFmtId="49" xfId="0" applyAlignment="1" applyBorder="1" applyFont="1" applyNumberFormat="1">
      <alignment shrinkToFit="0" vertical="bottom" wrapText="1"/>
    </xf>
    <xf borderId="1" fillId="6" fontId="3" numFmtId="164" xfId="0" applyAlignment="1" applyBorder="1" applyFont="1" applyNumberFormat="1">
      <alignment horizontal="center" shrinkToFit="0" vertical="bottom" wrapText="1"/>
    </xf>
    <xf borderId="1" fillId="6" fontId="3" numFmtId="0" xfId="0" applyAlignment="1" applyBorder="1" applyFont="1">
      <alignment horizontal="center" shrinkToFit="0" vertical="bottom" wrapText="1"/>
    </xf>
    <xf borderId="1" fillId="6" fontId="3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readingOrder="0" shrinkToFit="0" wrapText="1"/>
    </xf>
    <xf borderId="0" fillId="13" fontId="12" numFmtId="0" xfId="0" applyAlignment="1" applyFont="1">
      <alignment horizontal="left" shrinkToFit="0" vertical="center" wrapText="1"/>
    </xf>
    <xf borderId="1" fillId="20" fontId="3" numFmtId="0" xfId="0" applyAlignment="1" applyBorder="1" applyFill="1" applyFont="1">
      <alignment horizontal="left" shrinkToFit="0" vertical="top" wrapText="1"/>
    </xf>
    <xf borderId="1" fillId="0" fontId="3" numFmtId="164" xfId="0" applyAlignment="1" applyBorder="1" applyFont="1" applyNumberFormat="1">
      <alignment readingOrder="0" shrinkToFit="0" wrapText="1"/>
    </xf>
    <xf borderId="1" fillId="4" fontId="3" numFmtId="49" xfId="0" applyAlignment="1" applyBorder="1" applyFont="1" applyNumberFormat="1">
      <alignment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15" fontId="15" numFmtId="0" xfId="0" applyAlignment="1" applyFont="1">
      <alignment horizontal="left" shrinkToFit="0" vertical="center" wrapText="1"/>
    </xf>
    <xf borderId="1" fillId="3" fontId="3" numFmtId="0" xfId="0" applyAlignment="1" applyBorder="1" applyFont="1">
      <alignment readingOrder="0" shrinkToFit="0" vertical="bottom" wrapText="1"/>
    </xf>
    <xf borderId="1" fillId="3" fontId="3" numFmtId="164" xfId="0" applyAlignment="1" applyBorder="1" applyFont="1" applyNumberFormat="1">
      <alignment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3" numFmtId="49" xfId="0" applyAlignment="1" applyBorder="1" applyFont="1" applyNumberFormat="1">
      <alignment readingOrder="0" shrinkToFit="0" wrapText="1"/>
    </xf>
    <xf borderId="1" fillId="3" fontId="15" numFmtId="0" xfId="0" applyAlignment="1" applyBorder="1" applyFont="1">
      <alignment horizontal="left" shrinkToFit="0" vertical="center" wrapText="1"/>
    </xf>
    <xf borderId="1" fillId="3" fontId="3" numFmtId="49" xfId="0" applyAlignment="1" applyBorder="1" applyFont="1" applyNumberFormat="1">
      <alignment readingOrder="0" shrinkToFit="0" vertical="bottom" wrapText="1"/>
    </xf>
    <xf borderId="1" fillId="3" fontId="2" numFmtId="164" xfId="0" applyAlignment="1" applyBorder="1" applyFont="1" applyNumberFormat="1">
      <alignment horizontal="center" readingOrder="0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13" fontId="1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6" fontId="2" numFmtId="164" xfId="0" applyAlignment="1" applyBorder="1" applyFont="1" applyNumberFormat="1">
      <alignment horizontal="center" readingOrder="0" shrinkToFit="0" wrapText="1"/>
    </xf>
    <xf borderId="1" fillId="6" fontId="3" numFmtId="0" xfId="0" applyAlignment="1" applyBorder="1" applyFont="1">
      <alignment horizontal="center" readingOrder="0" shrinkToFit="0" wrapText="1"/>
    </xf>
    <xf borderId="1" fillId="6" fontId="3" numFmtId="49" xfId="0" applyAlignment="1" applyBorder="1" applyFont="1" applyNumberFormat="1">
      <alignment horizontal="center" readingOrder="0" shrinkToFit="0" vertical="center" wrapText="1"/>
    </xf>
    <xf borderId="1" fillId="6" fontId="7" numFmtId="49" xfId="0" applyAlignment="1" applyBorder="1" applyFont="1" applyNumberFormat="1">
      <alignment horizontal="center" readingOrder="0" shrinkToFit="0" vertical="center" wrapText="1"/>
    </xf>
    <xf borderId="1" fillId="6" fontId="3" numFmtId="49" xfId="0" applyAlignment="1" applyBorder="1" applyFont="1" applyNumberFormat="1">
      <alignment horizontal="center" readingOrder="0" shrinkToFit="0" wrapText="1"/>
    </xf>
    <xf borderId="1" fillId="6" fontId="12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ont="1">
      <alignment readingOrder="0" shrinkToFit="0" vertical="bottom" wrapText="1"/>
    </xf>
    <xf borderId="1" fillId="6" fontId="3" numFmtId="49" xfId="0" applyAlignment="1" applyBorder="1" applyFont="1" applyNumberFormat="1">
      <alignment readingOrder="0" shrinkToFit="0" vertical="bottom" wrapText="1"/>
    </xf>
    <xf borderId="1" fillId="6" fontId="2" numFmtId="0" xfId="0" applyAlignment="1" applyBorder="1" applyFont="1">
      <alignment shrinkToFit="0" wrapText="1"/>
    </xf>
    <xf borderId="1" fillId="6" fontId="3" numFmtId="0" xfId="0" applyAlignment="1" applyBorder="1" applyFont="1">
      <alignment horizontal="left" readingOrder="0" shrinkToFit="0" vertical="top" wrapText="1"/>
    </xf>
    <xf borderId="1" fillId="4" fontId="3" numFmtId="49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1" fontId="3" numFmtId="0" xfId="0" applyAlignment="1" applyBorder="1" applyFill="1" applyFont="1">
      <alignment horizontal="left" readingOrder="0" shrinkToFit="0" vertical="top" wrapText="1"/>
    </xf>
    <xf borderId="1" fillId="0" fontId="18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49" xfId="0" applyAlignment="1" applyBorder="1" applyFont="1" applyNumberFormat="1">
      <alignment readingOrder="0" shrinkToFit="0" vertical="bottom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4" fontId="3" numFmtId="49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4" fontId="3" numFmtId="0" xfId="0" applyAlignment="1" applyBorder="1" applyFont="1">
      <alignment horizontal="center" readingOrder="0"/>
    </xf>
    <xf borderId="1" fillId="4" fontId="3" numFmtId="49" xfId="0" applyAlignment="1" applyBorder="1" applyFont="1" applyNumberFormat="1">
      <alignment readingOrder="0"/>
    </xf>
    <xf quotePrefix="1"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10" fontId="2" numFmtId="0" xfId="0" applyAlignment="1" applyBorder="1" applyFont="1">
      <alignment horizontal="left" readingOrder="0" shrinkToFit="0" vertical="top" wrapText="1"/>
    </xf>
    <xf borderId="1" fillId="13" fontId="3" numFmtId="0" xfId="0" applyAlignment="1" applyBorder="1" applyFont="1">
      <alignment readingOrder="0" shrinkToFit="0" vertical="bottom" wrapText="1"/>
    </xf>
    <xf borderId="1" fillId="20" fontId="7" numFmtId="49" xfId="0" applyAlignment="1" applyBorder="1" applyFont="1" applyNumberFormat="1">
      <alignment horizontal="center" readingOrder="0" vertical="center"/>
    </xf>
    <xf borderId="1" fillId="13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/>
    </xf>
    <xf borderId="0" fillId="4" fontId="3" numFmtId="0" xfId="0" applyAlignment="1" applyFont="1">
      <alignment horizontal="center" readingOrder="0"/>
    </xf>
    <xf borderId="0" fillId="0" fontId="7" numFmtId="49" xfId="0" applyAlignment="1" applyFont="1" applyNumberFormat="1">
      <alignment horizontal="center" readingOrder="0" vertical="center"/>
    </xf>
    <xf borderId="0" fillId="4" fontId="3" numFmtId="49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4" fontId="3" numFmtId="49" xfId="0" applyAlignment="1" applyFont="1" applyNumberFormat="1">
      <alignment readingOrder="0" vertical="bottom"/>
    </xf>
    <xf borderId="0" fillId="0" fontId="2" numFmtId="0" xfId="0" applyAlignment="1" applyFont="1">
      <alignment horizontal="left" readingOrder="0" shrinkToFit="0" vertical="top" wrapText="1"/>
    </xf>
    <xf borderId="1" fillId="0" fontId="3" numFmtId="49" xfId="0" applyAlignment="1" applyBorder="1" applyFont="1" applyNumberFormat="1">
      <alignment readingOrder="0"/>
    </xf>
    <xf borderId="1" fillId="11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10" fontId="2" numFmtId="0" xfId="0" applyAlignment="1" applyBorder="1" applyFont="1">
      <alignment horizontal="left" readingOrder="0" shrinkToFit="0" vertical="center" wrapText="1"/>
    </xf>
    <xf borderId="13" fillId="4" fontId="3" numFmtId="49" xfId="0" applyAlignment="1" applyBorder="1" applyFont="1" applyNumberFormat="1">
      <alignment readingOrder="0"/>
    </xf>
    <xf borderId="1" fillId="22" fontId="19" numFmtId="49" xfId="0" applyAlignment="1" applyBorder="1" applyFill="1" applyFont="1" applyNumberFormat="1">
      <alignment readingOrder="0"/>
    </xf>
    <xf borderId="1" fillId="0" fontId="7" numFmtId="49" xfId="0" applyAlignment="1" applyBorder="1" applyFont="1" applyNumberFormat="1">
      <alignment horizontal="center" readingOrder="0" vertical="bottom"/>
    </xf>
    <xf borderId="1" fillId="0" fontId="20" numFmtId="0" xfId="0" applyAlignment="1" applyBorder="1" applyFont="1">
      <alignment horizontal="center" readingOrder="0" vertical="center"/>
    </xf>
    <xf borderId="1" fillId="0" fontId="20" numFmtId="49" xfId="0" applyAlignment="1" applyBorder="1" applyFont="1" applyNumberFormat="1">
      <alignment readingOrder="0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2" numFmtId="167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11" fontId="22" numFmtId="0" xfId="0" applyAlignment="1" applyBorder="1" applyFont="1">
      <alignment readingOrder="0" shrinkToFit="0" wrapText="1"/>
    </xf>
    <xf borderId="1" fillId="0" fontId="20" numFmtId="49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11" fontId="23" numFmtId="0" xfId="0" applyAlignment="1" applyBorder="1" applyFont="1">
      <alignment horizontal="left" readingOrder="0" shrinkToFit="0" vertical="center" wrapText="1"/>
    </xf>
    <xf borderId="1" fillId="11" fontId="2" numFmtId="0" xfId="0" applyAlignment="1" applyBorder="1" applyFont="1">
      <alignment readingOrder="0" shrinkToFit="0" wrapText="1"/>
    </xf>
    <xf borderId="0" fillId="4" fontId="2" numFmtId="0" xfId="0" applyFont="1"/>
    <xf borderId="0" fillId="22" fontId="2" numFmtId="0" xfId="0" applyFont="1"/>
    <xf borderId="1" fillId="4" fontId="3" numFmtId="0" xfId="0" applyAlignment="1" applyBorder="1" applyFont="1">
      <alignment readingOrder="0" shrinkToFit="0" vertical="bottom" wrapText="1"/>
    </xf>
    <xf borderId="1" fillId="4" fontId="2" numFmtId="164" xfId="0" applyAlignment="1" applyBorder="1" applyFont="1" applyNumberFormat="1">
      <alignment readingOrder="0"/>
    </xf>
    <xf borderId="1" fillId="4" fontId="7" numFmtId="49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vertical="bottom"/>
    </xf>
    <xf borderId="1" fillId="4" fontId="2" numFmtId="164" xfId="0" applyAlignment="1" applyBorder="1" applyFont="1" applyNumberForma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horizontal="left" readingOrder="0" shrinkToFit="0" vertical="top" wrapText="1"/>
    </xf>
    <xf borderId="1" fillId="22" fontId="3" numFmtId="0" xfId="0" applyAlignment="1" applyBorder="1" applyFont="1">
      <alignment readingOrder="0" shrinkToFit="0" vertical="bottom" wrapText="1"/>
    </xf>
    <xf borderId="1" fillId="22" fontId="2" numFmtId="164" xfId="0" applyAlignment="1" applyBorder="1" applyFont="1" applyNumberFormat="1">
      <alignment readingOrder="0"/>
    </xf>
    <xf borderId="1" fillId="22" fontId="3" numFmtId="0" xfId="0" applyAlignment="1" applyBorder="1" applyFont="1">
      <alignment horizontal="center" readingOrder="0"/>
    </xf>
    <xf borderId="1" fillId="22" fontId="7" numFmtId="49" xfId="0" applyAlignment="1" applyBorder="1" applyFont="1" applyNumberFormat="1">
      <alignment horizontal="center" readingOrder="0" shrinkToFit="0" vertical="center" wrapText="1"/>
    </xf>
    <xf borderId="1" fillId="22" fontId="3" numFmtId="49" xfId="0" applyAlignment="1" applyBorder="1" applyFont="1" applyNumberFormat="1">
      <alignment readingOrder="0"/>
    </xf>
    <xf borderId="1" fillId="22" fontId="2" numFmtId="0" xfId="0" applyAlignment="1" applyBorder="1" applyFont="1">
      <alignment horizontal="left" readingOrder="0" shrinkToFit="0" vertical="center" wrapText="1"/>
    </xf>
    <xf borderId="1" fillId="22" fontId="3" numFmtId="0" xfId="0" applyAlignment="1" applyBorder="1" applyFont="1">
      <alignment vertical="bottom"/>
    </xf>
    <xf borderId="1" fillId="22" fontId="3" numFmtId="49" xfId="0" applyAlignment="1" applyBorder="1" applyFont="1" applyNumberFormat="1">
      <alignment readingOrder="0" vertical="bottom"/>
    </xf>
    <xf borderId="1" fillId="22" fontId="2" numFmtId="164" xfId="0" applyAlignment="1" applyBorder="1" applyFont="1" applyNumberFormat="1">
      <alignment horizontal="center" readingOrder="0"/>
    </xf>
    <xf borderId="1" fillId="22" fontId="2" numFmtId="0" xfId="0" applyAlignment="1" applyBorder="1" applyFont="1">
      <alignment readingOrder="0"/>
    </xf>
    <xf borderId="1" fillId="22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49" xfId="0" applyAlignment="1" applyBorder="1" applyFont="1" applyNumberFormat="1">
      <alignment readingOrder="0" vertical="bottom"/>
    </xf>
    <xf borderId="0" fillId="11" fontId="3" numFmtId="0" xfId="0" applyAlignment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vertical="bottom"/>
    </xf>
    <xf borderId="1" fillId="4" fontId="3" numFmtId="49" xfId="0" applyAlignment="1" applyBorder="1" applyFont="1" applyNumberForma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vertical="bottom"/>
    </xf>
    <xf borderId="0" fillId="11" fontId="2" numFmtId="0" xfId="0" applyFont="1"/>
    <xf borderId="1" fillId="11" fontId="2" numFmtId="0" xfId="0" applyAlignment="1" applyBorder="1" applyFont="1">
      <alignment readingOrder="0"/>
    </xf>
    <xf borderId="1" fillId="11" fontId="2" numFmtId="164" xfId="0" applyAlignment="1" applyBorder="1" applyFont="1" applyNumberFormat="1">
      <alignment readingOrder="0"/>
    </xf>
    <xf borderId="1" fillId="11" fontId="3" numFmtId="0" xfId="0" applyAlignment="1" applyBorder="1" applyFont="1">
      <alignment horizontal="center" readingOrder="0"/>
    </xf>
    <xf borderId="1" fillId="11" fontId="7" numFmtId="49" xfId="0" applyAlignment="1" applyBorder="1" applyFont="1" applyNumberFormat="1">
      <alignment horizontal="center" readingOrder="0" vertical="center"/>
    </xf>
    <xf borderId="1" fillId="11" fontId="3" numFmtId="49" xfId="0" applyAlignment="1" applyBorder="1" applyFont="1" applyNumberFormat="1">
      <alignment readingOrder="0"/>
    </xf>
    <xf borderId="1" fillId="11" fontId="3" numFmtId="0" xfId="0" applyAlignment="1" applyBorder="1" applyFont="1">
      <alignment readingOrder="0" shrinkToFit="0" vertical="bottom" wrapText="1"/>
    </xf>
    <xf borderId="1" fillId="11" fontId="3" numFmtId="0" xfId="0" applyAlignment="1" applyBorder="1" applyFont="1">
      <alignment readingOrder="0" vertical="bottom"/>
    </xf>
    <xf borderId="1" fillId="11" fontId="3" numFmtId="49" xfId="0" applyAlignment="1" applyBorder="1" applyFont="1" applyNumberFormat="1">
      <alignment readingOrder="0" vertical="bottom"/>
    </xf>
    <xf borderId="1" fillId="11" fontId="2" numFmtId="164" xfId="0" applyAlignment="1" applyBorder="1" applyFont="1" applyNumberFormat="1">
      <alignment horizontal="center" readingOrder="0"/>
    </xf>
    <xf borderId="1" fillId="11" fontId="2" numFmtId="0" xfId="0" applyBorder="1" applyFont="1"/>
    <xf borderId="1" fillId="13" fontId="3" numFmtId="0" xfId="0" applyAlignment="1" applyBorder="1" applyFont="1">
      <alignment horizontal="left" shrinkToFit="0" vertical="center" wrapText="1"/>
    </xf>
    <xf borderId="1" fillId="0" fontId="24" numFmtId="49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0" fillId="4" fontId="25" numFmtId="49" xfId="0" applyAlignment="1" applyFont="1" applyNumberFormat="1">
      <alignment readingOrder="0"/>
    </xf>
    <xf borderId="1" fillId="10" fontId="2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11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readingOrder="0" shrinkToFit="0" vertical="bottom" wrapText="1"/>
    </xf>
    <xf borderId="1" fillId="3" fontId="2" numFmtId="164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7" numFmtId="49" xfId="0" applyAlignment="1" applyBorder="1" applyFont="1" applyNumberFormat="1">
      <alignment horizontal="center" readingOrder="0" vertical="center"/>
    </xf>
    <xf borderId="1" fillId="3" fontId="3" numFmtId="49" xfId="0" applyAlignment="1" applyBorder="1" applyFont="1" applyNumberFormat="1">
      <alignment readingOrder="0"/>
    </xf>
    <xf borderId="1" fillId="3" fontId="3" numFmtId="0" xfId="0" applyAlignment="1" applyBorder="1" applyFont="1">
      <alignment readingOrder="0" vertical="bottom"/>
    </xf>
    <xf borderId="1" fillId="3" fontId="3" numFmtId="49" xfId="0" applyAlignment="1" applyBorder="1" applyFont="1" applyNumberFormat="1">
      <alignment readingOrder="0" vertical="bottom"/>
    </xf>
    <xf borderId="1" fillId="3" fontId="2" numFmtId="164" xfId="0" applyAlignment="1" applyBorder="1" applyFont="1" applyNumberFormat="1">
      <alignment horizontal="center" readingOrder="0"/>
    </xf>
    <xf borderId="1" fillId="3" fontId="2" numFmtId="0" xfId="0" applyBorder="1" applyFont="1"/>
    <xf quotePrefix="1" borderId="1" fillId="0" fontId="2" numFmtId="0" xfId="0" applyAlignment="1" applyBorder="1" applyFont="1">
      <alignment readingOrder="0"/>
    </xf>
    <xf borderId="10" fillId="0" fontId="2" numFmtId="164" xfId="0" applyAlignment="1" applyBorder="1" applyFont="1" applyNumberFormat="1">
      <alignment readingOrder="0"/>
    </xf>
    <xf borderId="10" fillId="4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 shrinkToFit="0" vertical="center" wrapText="1"/>
    </xf>
    <xf borderId="10" fillId="0" fontId="7" numFmtId="49" xfId="0" applyAlignment="1" applyBorder="1" applyFont="1" applyNumberFormat="1">
      <alignment horizontal="center" readingOrder="0" vertical="center"/>
    </xf>
    <xf borderId="10" fillId="4" fontId="3" numFmtId="49" xfId="0" applyAlignment="1" applyBorder="1" applyFont="1" applyNumberFormat="1">
      <alignment readingOrder="0"/>
    </xf>
    <xf borderId="10" fillId="0" fontId="3" numFmtId="0" xfId="0" applyAlignment="1" applyBorder="1" applyFont="1">
      <alignment readingOrder="0" shrinkToFit="0" vertical="bottom" wrapText="1"/>
    </xf>
    <xf borderId="10" fillId="0" fontId="3" numFmtId="0" xfId="0" applyAlignment="1" applyBorder="1" applyFont="1">
      <alignment readingOrder="0" vertical="bottom"/>
    </xf>
    <xf borderId="10" fillId="4" fontId="3" numFmtId="49" xfId="0" applyAlignment="1" applyBorder="1" applyFont="1" applyNumberFormat="1">
      <alignment readingOrder="0" vertical="bottom"/>
    </xf>
    <xf borderId="10" fillId="0" fontId="2" numFmtId="164" xfId="0" applyAlignment="1" applyBorder="1" applyFont="1" applyNumberFormat="1">
      <alignment horizontal="center" readingOrder="0"/>
    </xf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12" fillId="0" fontId="2" numFmtId="164" xfId="0" applyAlignment="1" applyBorder="1" applyFont="1" applyNumberFormat="1">
      <alignment readingOrder="0"/>
    </xf>
    <xf borderId="12" fillId="4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7" numFmtId="49" xfId="0" applyAlignment="1" applyBorder="1" applyFont="1" applyNumberFormat="1">
      <alignment horizontal="center" readingOrder="0" vertical="center"/>
    </xf>
    <xf borderId="12" fillId="4" fontId="3" numFmtId="49" xfId="0" applyAlignment="1" applyBorder="1" applyFont="1" applyNumberFormat="1">
      <alignment readingOrder="0"/>
    </xf>
    <xf borderId="0" fillId="4" fontId="26" numFmtId="0" xfId="0" applyAlignment="1" applyFont="1">
      <alignment readingOrder="0" shrinkToFit="0" wrapText="1"/>
    </xf>
    <xf borderId="12" fillId="0" fontId="3" numFmtId="0" xfId="0" applyAlignment="1" applyBorder="1" applyFont="1">
      <alignment readingOrder="0" vertical="bottom"/>
    </xf>
    <xf borderId="12" fillId="4" fontId="3" numFmtId="49" xfId="0" applyAlignment="1" applyBorder="1" applyFont="1" applyNumberFormat="1">
      <alignment readingOrder="0" vertical="bottom"/>
    </xf>
    <xf borderId="12" fillId="0" fontId="2" numFmtId="164" xfId="0" applyAlignment="1" applyBorder="1" applyFont="1" applyNumberFormat="1">
      <alignment horizontal="center" readingOrder="0"/>
    </xf>
    <xf borderId="12" fillId="0" fontId="2" numFmtId="0" xfId="0" applyBorder="1" applyFont="1"/>
    <xf borderId="12" fillId="0" fontId="2" numFmtId="0" xfId="0" applyAlignment="1" applyBorder="1" applyFont="1">
      <alignment readingOrder="0"/>
    </xf>
    <xf borderId="1" fillId="3" fontId="26" numFmtId="0" xfId="0" applyAlignment="1" applyBorder="1" applyFont="1">
      <alignment readingOrder="0" shrinkToFit="0" wrapText="1"/>
    </xf>
    <xf borderId="1" fillId="0" fontId="26" numFmtId="0" xfId="0" applyAlignment="1" applyBorder="1" applyFont="1">
      <alignment readingOrder="0" shrinkToFit="0" wrapText="1"/>
    </xf>
    <xf borderId="1" fillId="4" fontId="26" numFmtId="0" xfId="0" applyAlignment="1" applyBorder="1" applyFont="1">
      <alignment readingOrder="0" shrinkToFit="0" wrapText="1"/>
    </xf>
    <xf quotePrefix="1" borderId="1" fillId="3" fontId="26" numFmtId="0" xfId="0" applyAlignment="1" applyBorder="1" applyFont="1">
      <alignment readingOrder="0" shrinkToFit="0" wrapText="1"/>
    </xf>
    <xf borderId="1" fillId="11" fontId="26" numFmtId="0" xfId="0" applyAlignment="1" applyBorder="1" applyFont="1">
      <alignment readingOrder="0" shrinkToFit="0" wrapText="1"/>
    </xf>
    <xf borderId="1" fillId="11" fontId="27" numFmtId="0" xfId="0" applyAlignment="1" applyBorder="1" applyFont="1">
      <alignment readingOrder="0"/>
    </xf>
    <xf borderId="1" fillId="0" fontId="28" numFmtId="0" xfId="0" applyAlignment="1" applyBorder="1" applyFont="1">
      <alignment readingOrder="0" shrinkToFit="0" wrapText="1"/>
    </xf>
    <xf borderId="1" fillId="4" fontId="29" numFmtId="0" xfId="0" applyAlignment="1" applyBorder="1" applyFont="1">
      <alignment readingOrder="0" shrinkToFit="0" wrapText="1"/>
    </xf>
    <xf borderId="0" fillId="0" fontId="30" numFmtId="0" xfId="0" applyAlignment="1" applyFont="1">
      <alignment readingOrder="0" shrinkToFit="0" vertical="bottom" wrapText="1"/>
    </xf>
    <xf borderId="1" fillId="0" fontId="31" numFmtId="164" xfId="0" applyAlignment="1" applyBorder="1" applyFont="1" applyNumberFormat="1">
      <alignment readingOrder="0"/>
    </xf>
    <xf borderId="1" fillId="4" fontId="30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2" numFmtId="49" xfId="0" applyAlignment="1" applyBorder="1" applyFont="1" applyNumberFormat="1">
      <alignment horizontal="center" readingOrder="0" vertical="center"/>
    </xf>
    <xf borderId="1" fillId="4" fontId="30" numFmtId="49" xfId="0" applyAlignment="1" applyBorder="1" applyFont="1" applyNumberFormat="1">
      <alignment readingOrder="0"/>
    </xf>
    <xf borderId="1" fillId="4" fontId="33" numFmtId="0" xfId="0" applyAlignment="1" applyBorder="1" applyFont="1">
      <alignment readingOrder="0" shrinkToFit="0" wrapText="1"/>
    </xf>
    <xf borderId="1" fillId="0" fontId="30" numFmtId="0" xfId="0" applyAlignment="1" applyBorder="1" applyFont="1">
      <alignment readingOrder="0" vertical="bottom"/>
    </xf>
    <xf borderId="1" fillId="4" fontId="30" numFmtId="49" xfId="0" applyAlignment="1" applyBorder="1" applyFont="1" applyNumberFormat="1">
      <alignment readingOrder="0" vertical="bottom"/>
    </xf>
    <xf borderId="1" fillId="0" fontId="31" numFmtId="164" xfId="0" applyAlignment="1" applyBorder="1" applyFont="1" applyNumberFormat="1">
      <alignment horizontal="center" readingOrder="0"/>
    </xf>
    <xf borderId="1" fillId="0" fontId="31" numFmtId="0" xfId="0" applyBorder="1" applyFont="1"/>
    <xf borderId="1" fillId="0" fontId="31" numFmtId="0" xfId="0" applyAlignment="1" applyBorder="1" applyFont="1">
      <alignment readingOrder="0"/>
    </xf>
    <xf borderId="0" fillId="0" fontId="31" numFmtId="0" xfId="0" applyFont="1"/>
    <xf borderId="0" fillId="23" fontId="34" numFmtId="49" xfId="0" applyAlignment="1" applyFill="1" applyFont="1" applyNumberFormat="1">
      <alignment readingOrder="0"/>
    </xf>
    <xf borderId="1" fillId="0" fontId="3" numFmtId="0" xfId="0" applyAlignment="1" applyBorder="1" applyFont="1">
      <alignment horizontal="center"/>
    </xf>
    <xf borderId="0" fillId="0" fontId="2" numFmtId="49" xfId="0" applyAlignment="1" applyFont="1" applyNumberFormat="1">
      <alignment readingOrder="0"/>
    </xf>
    <xf borderId="0" fillId="24" fontId="3" numFmtId="0" xfId="0" applyAlignment="1" applyFill="1" applyFont="1">
      <alignment readingOrder="0" shrinkToFit="0" vertical="bottom" wrapText="1"/>
    </xf>
    <xf borderId="1" fillId="24" fontId="2" numFmtId="164" xfId="0" applyAlignment="1" applyBorder="1" applyFont="1" applyNumberFormat="1">
      <alignment readingOrder="0"/>
    </xf>
    <xf borderId="1" fillId="24" fontId="3" numFmtId="0" xfId="0" applyAlignment="1" applyBorder="1" applyFont="1">
      <alignment horizontal="center" readingOrder="0"/>
    </xf>
    <xf borderId="1" fillId="24" fontId="3" numFmtId="0" xfId="0" applyAlignment="1" applyBorder="1" applyFont="1">
      <alignment horizontal="center" readingOrder="0" shrinkToFit="0" vertical="center" wrapText="1"/>
    </xf>
    <xf borderId="1" fillId="24" fontId="7" numFmtId="49" xfId="0" applyAlignment="1" applyBorder="1" applyFont="1" applyNumberFormat="1">
      <alignment horizontal="center" readingOrder="0" vertical="center"/>
    </xf>
    <xf borderId="1" fillId="24" fontId="3" numFmtId="49" xfId="0" applyAlignment="1" applyBorder="1" applyFont="1" applyNumberFormat="1">
      <alignment readingOrder="0"/>
    </xf>
    <xf borderId="1" fillId="24" fontId="26" numFmtId="0" xfId="0" applyAlignment="1" applyBorder="1" applyFont="1">
      <alignment readingOrder="0" shrinkToFit="0" wrapText="1"/>
    </xf>
    <xf borderId="1" fillId="24" fontId="3" numFmtId="0" xfId="0" applyAlignment="1" applyBorder="1" applyFont="1">
      <alignment readingOrder="0" vertical="bottom"/>
    </xf>
    <xf borderId="1" fillId="24" fontId="3" numFmtId="49" xfId="0" applyAlignment="1" applyBorder="1" applyFont="1" applyNumberFormat="1">
      <alignment readingOrder="0" vertical="bottom"/>
    </xf>
    <xf borderId="1" fillId="24" fontId="2" numFmtId="164" xfId="0" applyAlignment="1" applyBorder="1" applyFont="1" applyNumberFormat="1">
      <alignment horizontal="center" readingOrder="0"/>
    </xf>
    <xf borderId="1" fillId="24" fontId="2" numFmtId="0" xfId="0" applyBorder="1" applyFont="1"/>
    <xf borderId="1" fillId="24" fontId="2" numFmtId="0" xfId="0" applyAlignment="1" applyBorder="1" applyFont="1">
      <alignment readingOrder="0"/>
    </xf>
    <xf borderId="0" fillId="24" fontId="2" numFmtId="0" xfId="0" applyFont="1"/>
    <xf borderId="1" fillId="0" fontId="35" numFmtId="0" xfId="0" applyAlignment="1" applyBorder="1" applyFont="1">
      <alignment readingOrder="0" shrinkToFit="0" wrapText="1"/>
    </xf>
    <xf borderId="0" fillId="6" fontId="3" numFmtId="0" xfId="0" applyAlignment="1" applyFont="1">
      <alignment readingOrder="0" shrinkToFit="0" vertical="bottom" wrapText="1"/>
    </xf>
    <xf borderId="1" fillId="6" fontId="2" numFmtId="164" xfId="0" applyAlignment="1" applyBorder="1" applyFont="1" applyNumberFormat="1">
      <alignment readingOrder="0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7" numFmtId="49" xfId="0" applyAlignment="1" applyBorder="1" applyFont="1" applyNumberFormat="1">
      <alignment horizontal="center" readingOrder="0" vertical="center"/>
    </xf>
    <xf borderId="1" fillId="6" fontId="3" numFmtId="49" xfId="0" applyAlignment="1" applyBorder="1" applyFont="1" applyNumberFormat="1">
      <alignment readingOrder="0"/>
    </xf>
    <xf borderId="1" fillId="6" fontId="29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readingOrder="0" vertical="bottom"/>
    </xf>
    <xf borderId="1" fillId="6" fontId="3" numFmtId="49" xfId="0" applyAlignment="1" applyBorder="1" applyFont="1" applyNumberFormat="1">
      <alignment readingOrder="0" vertical="bottom"/>
    </xf>
    <xf borderId="1" fillId="6" fontId="2" numFmtId="164" xfId="0" applyAlignment="1" applyBorder="1" applyFont="1" applyNumberFormat="1">
      <alignment horizontal="center" readingOrder="0"/>
    </xf>
    <xf borderId="1" fillId="6" fontId="2" numFmtId="0" xfId="0" applyBorder="1" applyFont="1"/>
    <xf borderId="1" fillId="6" fontId="2" numFmtId="0" xfId="0" applyAlignment="1" applyBorder="1" applyFont="1">
      <alignment readingOrder="0"/>
    </xf>
    <xf borderId="0" fillId="6" fontId="2" numFmtId="0" xfId="0" applyFont="1"/>
    <xf borderId="1" fillId="4" fontId="36" numFmtId="0" xfId="0" applyAlignment="1" applyBorder="1" applyFont="1">
      <alignment readingOrder="0" shrinkToFit="0" wrapText="1"/>
    </xf>
    <xf borderId="0" fillId="0" fontId="37" numFmtId="0" xfId="0" applyAlignment="1" applyFont="1">
      <alignment readingOrder="0" shrinkToFit="0" vertical="bottom" wrapText="1"/>
    </xf>
    <xf borderId="1" fillId="0" fontId="38" numFmtId="164" xfId="0" applyAlignment="1" applyBorder="1" applyFont="1" applyNumberFormat="1">
      <alignment readingOrder="0"/>
    </xf>
    <xf borderId="1" fillId="4" fontId="37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readingOrder="0" shrinkToFit="0" vertical="center" wrapText="1"/>
    </xf>
    <xf borderId="1" fillId="0" fontId="39" numFmtId="49" xfId="0" applyAlignment="1" applyBorder="1" applyFont="1" applyNumberFormat="1">
      <alignment horizontal="center" readingOrder="0" vertical="center"/>
    </xf>
    <xf borderId="1" fillId="4" fontId="37" numFmtId="49" xfId="0" applyAlignment="1" applyBorder="1" applyFont="1" applyNumberFormat="1">
      <alignment readingOrder="0"/>
    </xf>
    <xf borderId="1" fillId="4" fontId="40" numFmtId="0" xfId="0" applyAlignment="1" applyBorder="1" applyFont="1">
      <alignment readingOrder="0" shrinkToFit="0" wrapText="1"/>
    </xf>
    <xf borderId="1" fillId="0" fontId="37" numFmtId="0" xfId="0" applyAlignment="1" applyBorder="1" applyFont="1">
      <alignment readingOrder="0" vertical="bottom"/>
    </xf>
    <xf borderId="1" fillId="4" fontId="37" numFmtId="49" xfId="0" applyAlignment="1" applyBorder="1" applyFont="1" applyNumberFormat="1">
      <alignment readingOrder="0" vertical="bottom"/>
    </xf>
    <xf borderId="1" fillId="0" fontId="38" numFmtId="164" xfId="0" applyAlignment="1" applyBorder="1" applyFont="1" applyNumberFormat="1">
      <alignment horizontal="center" readingOrder="0"/>
    </xf>
    <xf borderId="1" fillId="0" fontId="38" numFmtId="0" xfId="0" applyBorder="1" applyFont="1"/>
    <xf borderId="1" fillId="6" fontId="38" numFmtId="0" xfId="0" applyAlignment="1" applyBorder="1" applyFont="1">
      <alignment readingOrder="0"/>
    </xf>
    <xf borderId="0" fillId="0" fontId="38" numFmtId="0" xfId="0" applyFont="1"/>
    <xf borderId="0" fillId="0" fontId="20" numFmtId="49" xfId="0" applyAlignment="1" applyFont="1" applyNumberFormat="1">
      <alignment readingOrder="0"/>
    </xf>
    <xf borderId="0" fillId="23" fontId="34" numFmtId="0" xfId="0" applyAlignment="1" applyFont="1">
      <alignment readingOrder="0"/>
    </xf>
    <xf borderId="1" fillId="6" fontId="26" numFmtId="0" xfId="0" applyAlignment="1" applyBorder="1" applyFont="1">
      <alignment readingOrder="0" shrinkToFit="0" wrapText="1"/>
    </xf>
    <xf borderId="1" fillId="0" fontId="36" numFmtId="0" xfId="0" applyAlignment="1" applyBorder="1" applyFont="1">
      <alignment readingOrder="0" shrinkToFit="0" wrapText="1"/>
    </xf>
    <xf borderId="0" fillId="3" fontId="41" numFmtId="0" xfId="0" applyAlignment="1" applyFont="1">
      <alignment readingOrder="0" shrinkToFit="0" vertical="bottom" wrapText="1"/>
    </xf>
    <xf borderId="1" fillId="3" fontId="42" numFmtId="164" xfId="0" applyAlignment="1" applyBorder="1" applyFont="1" applyNumberFormat="1">
      <alignment readingOrder="0"/>
    </xf>
    <xf borderId="1" fillId="3" fontId="41" numFmtId="0" xfId="0" applyAlignment="1" applyBorder="1" applyFont="1">
      <alignment horizontal="center" readingOrder="0"/>
    </xf>
    <xf borderId="1" fillId="3" fontId="41" numFmtId="0" xfId="0" applyAlignment="1" applyBorder="1" applyFont="1">
      <alignment horizontal="center" readingOrder="0" shrinkToFit="0" vertical="center" wrapText="1"/>
    </xf>
    <xf borderId="1" fillId="3" fontId="43" numFmtId="49" xfId="0" applyAlignment="1" applyBorder="1" applyFont="1" applyNumberFormat="1">
      <alignment horizontal="center" readingOrder="0" vertical="center"/>
    </xf>
    <xf borderId="1" fillId="3" fontId="41" numFmtId="49" xfId="0" applyAlignment="1" applyBorder="1" applyFont="1" applyNumberFormat="1">
      <alignment readingOrder="0"/>
    </xf>
    <xf borderId="1" fillId="3" fontId="44" numFmtId="0" xfId="0" applyAlignment="1" applyBorder="1" applyFont="1">
      <alignment readingOrder="0" shrinkToFit="0" wrapText="1"/>
    </xf>
    <xf borderId="1" fillId="3" fontId="41" numFmtId="0" xfId="0" applyAlignment="1" applyBorder="1" applyFont="1">
      <alignment readingOrder="0" vertical="bottom"/>
    </xf>
    <xf borderId="1" fillId="3" fontId="41" numFmtId="49" xfId="0" applyAlignment="1" applyBorder="1" applyFont="1" applyNumberFormat="1">
      <alignment readingOrder="0" vertical="bottom"/>
    </xf>
    <xf borderId="1" fillId="3" fontId="42" numFmtId="164" xfId="0" applyAlignment="1" applyBorder="1" applyFont="1" applyNumberFormat="1">
      <alignment horizontal="center" readingOrder="0"/>
    </xf>
    <xf borderId="1" fillId="3" fontId="42" numFmtId="0" xfId="0" applyBorder="1" applyFont="1"/>
    <xf borderId="1" fillId="3" fontId="42" numFmtId="0" xfId="0" applyAlignment="1" applyBorder="1" applyFont="1">
      <alignment readingOrder="0"/>
    </xf>
    <xf borderId="0" fillId="3" fontId="42" numFmtId="0" xfId="0" applyFont="1"/>
    <xf borderId="0" fillId="7" fontId="3" numFmtId="0" xfId="0" applyAlignment="1" applyFont="1">
      <alignment readingOrder="0" shrinkToFit="0" vertical="bottom" wrapText="1"/>
    </xf>
    <xf borderId="1" fillId="7" fontId="2" numFmtId="164" xfId="0" applyAlignment="1" applyBorder="1" applyFont="1" applyNumberFormat="1">
      <alignment readingOrder="0"/>
    </xf>
    <xf borderId="1" fillId="7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 shrinkToFit="0" vertical="center" wrapText="1"/>
    </xf>
    <xf borderId="1" fillId="7" fontId="7" numFmtId="49" xfId="0" applyAlignment="1" applyBorder="1" applyFont="1" applyNumberFormat="1">
      <alignment horizontal="center" readingOrder="0" vertical="center"/>
    </xf>
    <xf borderId="1" fillId="7" fontId="3" numFmtId="49" xfId="0" applyAlignment="1" applyBorder="1" applyFont="1" applyNumberFormat="1">
      <alignment readingOrder="0"/>
    </xf>
    <xf borderId="1" fillId="7" fontId="26" numFmtId="0" xfId="0" applyAlignment="1" applyBorder="1" applyFont="1">
      <alignment readingOrder="0" shrinkToFit="0" wrapText="1"/>
    </xf>
    <xf borderId="1" fillId="7" fontId="3" numFmtId="0" xfId="0" applyAlignment="1" applyBorder="1" applyFont="1">
      <alignment readingOrder="0" vertical="bottom"/>
    </xf>
    <xf borderId="1" fillId="7" fontId="3" numFmtId="49" xfId="0" applyAlignment="1" applyBorder="1" applyFont="1" applyNumberFormat="1">
      <alignment readingOrder="0" vertical="bottom"/>
    </xf>
    <xf borderId="1" fillId="7" fontId="2" numFmtId="164" xfId="0" applyAlignment="1" applyBorder="1" applyFont="1" applyNumberFormat="1">
      <alignment horizontal="center" readingOrder="0"/>
    </xf>
    <xf borderId="1" fillId="7" fontId="2" numFmtId="0" xfId="0" applyBorder="1" applyFont="1"/>
    <xf borderId="1" fillId="7" fontId="2" numFmtId="0" xfId="0" applyAlignment="1" applyBorder="1" applyFont="1">
      <alignment readingOrder="0"/>
    </xf>
    <xf borderId="0" fillId="7" fontId="2" numFmtId="0" xfId="0" applyFont="1"/>
    <xf borderId="0" fillId="0" fontId="41" numFmtId="0" xfId="0" applyAlignment="1" applyFont="1">
      <alignment readingOrder="0" shrinkToFit="0" vertical="bottom" wrapText="1"/>
    </xf>
    <xf borderId="1" fillId="0" fontId="42" numFmtId="164" xfId="0" applyAlignment="1" applyBorder="1" applyFont="1" applyNumberFormat="1">
      <alignment readingOrder="0"/>
    </xf>
    <xf borderId="1" fillId="4" fontId="41" numFmtId="0" xfId="0" applyAlignment="1" applyBorder="1" applyFont="1">
      <alignment horizontal="center" readingOrder="0"/>
    </xf>
    <xf borderId="1" fillId="0" fontId="41" numFmtId="0" xfId="0" applyAlignment="1" applyBorder="1" applyFont="1">
      <alignment horizontal="center" readingOrder="0" shrinkToFit="0" vertical="center" wrapText="1"/>
    </xf>
    <xf borderId="1" fillId="0" fontId="43" numFmtId="49" xfId="0" applyAlignment="1" applyBorder="1" applyFont="1" applyNumberFormat="1">
      <alignment horizontal="center" readingOrder="0" vertical="center"/>
    </xf>
    <xf borderId="1" fillId="4" fontId="41" numFmtId="49" xfId="0" applyAlignment="1" applyBorder="1" applyFont="1" applyNumberFormat="1">
      <alignment readingOrder="0"/>
    </xf>
    <xf borderId="1" fillId="4" fontId="44" numFmtId="0" xfId="0" applyAlignment="1" applyBorder="1" applyFont="1">
      <alignment readingOrder="0" shrinkToFit="0" wrapText="1"/>
    </xf>
    <xf borderId="1" fillId="0" fontId="41" numFmtId="0" xfId="0" applyAlignment="1" applyBorder="1" applyFont="1">
      <alignment readingOrder="0" vertical="bottom"/>
    </xf>
    <xf borderId="1" fillId="4" fontId="41" numFmtId="49" xfId="0" applyAlignment="1" applyBorder="1" applyFont="1" applyNumberFormat="1">
      <alignment readingOrder="0" vertical="bottom"/>
    </xf>
    <xf borderId="1" fillId="0" fontId="42" numFmtId="164" xfId="0" applyAlignment="1" applyBorder="1" applyFont="1" applyNumberFormat="1">
      <alignment horizontal="center" readingOrder="0"/>
    </xf>
    <xf borderId="1" fillId="0" fontId="42" numFmtId="0" xfId="0" applyBorder="1" applyFont="1"/>
    <xf borderId="1" fillId="0" fontId="42" numFmtId="0" xfId="0" applyAlignment="1" applyBorder="1" applyFont="1">
      <alignment readingOrder="0"/>
    </xf>
    <xf borderId="0" fillId="0" fontId="42" numFmtId="0" xfId="0" applyFont="1"/>
    <xf borderId="1" fillId="18" fontId="2" numFmtId="0" xfId="0" applyAlignment="1" applyBorder="1" applyFont="1">
      <alignment readingOrder="0"/>
    </xf>
    <xf borderId="1" fillId="3" fontId="45" numFmtId="0" xfId="0" applyAlignment="1" applyBorder="1" applyFont="1">
      <alignment readingOrder="0"/>
    </xf>
    <xf borderId="1" fillId="3" fontId="46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readingOrder="0" shrinkToFit="0" wrapText="1"/>
    </xf>
    <xf borderId="0" fillId="0" fontId="47" numFmtId="0" xfId="0" applyAlignment="1" applyFont="1">
      <alignment readingOrder="0" shrinkToFit="0" vertical="bottom" wrapText="1"/>
    </xf>
    <xf borderId="1" fillId="0" fontId="48" numFmtId="164" xfId="0" applyAlignment="1" applyBorder="1" applyFont="1" applyNumberFormat="1">
      <alignment readingOrder="0"/>
    </xf>
    <xf borderId="1" fillId="4" fontId="47" numFmtId="0" xfId="0" applyAlignment="1" applyBorder="1" applyFont="1">
      <alignment horizontal="center" readingOrder="0"/>
    </xf>
    <xf borderId="1" fillId="0" fontId="47" numFmtId="0" xfId="0" applyAlignment="1" applyBorder="1" applyFont="1">
      <alignment horizontal="center" readingOrder="0" shrinkToFit="0" vertical="center" wrapText="1"/>
    </xf>
    <xf borderId="1" fillId="0" fontId="49" numFmtId="49" xfId="0" applyAlignment="1" applyBorder="1" applyFont="1" applyNumberFormat="1">
      <alignment horizontal="center" readingOrder="0" vertical="center"/>
    </xf>
    <xf borderId="1" fillId="4" fontId="47" numFmtId="49" xfId="0" applyAlignment="1" applyBorder="1" applyFont="1" applyNumberFormat="1">
      <alignment readingOrder="0"/>
    </xf>
    <xf borderId="1" fillId="4" fontId="50" numFmtId="0" xfId="0" applyAlignment="1" applyBorder="1" applyFont="1">
      <alignment readingOrder="0" shrinkToFit="0" wrapText="1"/>
    </xf>
    <xf borderId="1" fillId="4" fontId="47" numFmtId="49" xfId="0" applyAlignment="1" applyBorder="1" applyFont="1" applyNumberFormat="1">
      <alignment readingOrder="0" vertical="bottom"/>
    </xf>
    <xf borderId="1" fillId="0" fontId="48" numFmtId="164" xfId="0" applyAlignment="1" applyBorder="1" applyFont="1" applyNumberFormat="1">
      <alignment horizontal="center" readingOrder="0"/>
    </xf>
    <xf borderId="1" fillId="0" fontId="48" numFmtId="0" xfId="0" applyAlignment="1" applyBorder="1" applyFont="1">
      <alignment readingOrder="0"/>
    </xf>
    <xf borderId="0" fillId="0" fontId="48" numFmtId="0" xfId="0" applyFont="1"/>
    <xf borderId="0" fillId="0" fontId="51" numFmtId="0" xfId="0" applyAlignment="1" applyFont="1">
      <alignment readingOrder="0" shrinkToFit="0" vertical="bottom" wrapText="1"/>
    </xf>
    <xf borderId="1" fillId="0" fontId="45" numFmtId="164" xfId="0" applyAlignment="1" applyBorder="1" applyFont="1" applyNumberFormat="1">
      <alignment readingOrder="0"/>
    </xf>
    <xf borderId="1" fillId="4" fontId="51" numFmtId="0" xfId="0" applyAlignment="1" applyBorder="1" applyFont="1">
      <alignment horizontal="center" readingOrder="0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52" numFmtId="49" xfId="0" applyAlignment="1" applyBorder="1" applyFont="1" applyNumberFormat="1">
      <alignment horizontal="center" readingOrder="0" vertical="center"/>
    </xf>
    <xf borderId="1" fillId="4" fontId="51" numFmtId="49" xfId="0" applyAlignment="1" applyBorder="1" applyFont="1" applyNumberFormat="1">
      <alignment readingOrder="0"/>
    </xf>
    <xf borderId="1" fillId="4" fontId="53" numFmtId="0" xfId="0" applyAlignment="1" applyBorder="1" applyFont="1">
      <alignment readingOrder="0" shrinkToFit="0" wrapText="1"/>
    </xf>
    <xf borderId="1" fillId="4" fontId="54" numFmtId="49" xfId="0" applyAlignment="1" applyBorder="1" applyFont="1" applyNumberFormat="1">
      <alignment readingOrder="0" vertical="bottom"/>
    </xf>
    <xf borderId="1" fillId="0" fontId="55" numFmtId="164" xfId="0" applyAlignment="1" applyBorder="1" applyFont="1" applyNumberFormat="1">
      <alignment horizontal="center" readingOrder="0"/>
    </xf>
    <xf borderId="1" fillId="0" fontId="45" numFmtId="0" xfId="0" applyAlignment="1" applyBorder="1" applyFont="1">
      <alignment readingOrder="0"/>
    </xf>
    <xf borderId="0" fillId="0" fontId="45" numFmtId="0" xfId="0" applyFont="1"/>
    <xf borderId="0" fillId="11" fontId="54" numFmtId="0" xfId="0" applyAlignment="1" applyFont="1">
      <alignment readingOrder="0" shrinkToFit="0" vertical="bottom" wrapText="1"/>
    </xf>
    <xf borderId="1" fillId="11" fontId="45" numFmtId="164" xfId="0" applyAlignment="1" applyBorder="1" applyFont="1" applyNumberFormat="1">
      <alignment readingOrder="0"/>
    </xf>
    <xf borderId="1" fillId="11" fontId="51" numFmtId="0" xfId="0" applyAlignment="1" applyBorder="1" applyFont="1">
      <alignment horizontal="center" readingOrder="0"/>
    </xf>
    <xf borderId="0" fillId="11" fontId="2" numFmtId="0" xfId="0" applyAlignment="1" applyFont="1">
      <alignment readingOrder="0"/>
    </xf>
    <xf borderId="1" fillId="11" fontId="52" numFmtId="49" xfId="0" applyAlignment="1" applyBorder="1" applyFont="1" applyNumberFormat="1">
      <alignment horizontal="center" readingOrder="0" vertical="center"/>
    </xf>
    <xf borderId="1" fillId="11" fontId="51" numFmtId="49" xfId="0" applyAlignment="1" applyBorder="1" applyFont="1" applyNumberFormat="1">
      <alignment readingOrder="0"/>
    </xf>
    <xf borderId="1" fillId="11" fontId="53" numFmtId="0" xfId="0" applyAlignment="1" applyBorder="1" applyFont="1">
      <alignment readingOrder="0" shrinkToFit="0" wrapText="1"/>
    </xf>
    <xf borderId="1" fillId="11" fontId="51" numFmtId="0" xfId="0" applyAlignment="1" applyBorder="1" applyFont="1">
      <alignment readingOrder="0" vertical="bottom"/>
    </xf>
    <xf borderId="1" fillId="11" fontId="54" numFmtId="49" xfId="0" applyAlignment="1" applyBorder="1" applyFont="1" applyNumberFormat="1">
      <alignment readingOrder="0" vertical="bottom"/>
    </xf>
    <xf borderId="1" fillId="11" fontId="55" numFmtId="164" xfId="0" applyAlignment="1" applyBorder="1" applyFont="1" applyNumberFormat="1">
      <alignment horizontal="center" readingOrder="0"/>
    </xf>
    <xf borderId="1" fillId="11" fontId="45" numFmtId="0" xfId="0" applyAlignment="1" applyBorder="1" applyFont="1">
      <alignment readingOrder="0"/>
    </xf>
    <xf borderId="0" fillId="11" fontId="45" numFmtId="0" xfId="0" applyFont="1"/>
    <xf borderId="1" fillId="0" fontId="51" numFmtId="0" xfId="0" applyAlignment="1" applyBorder="1" applyFont="1">
      <alignment readingOrder="0" vertical="bottom"/>
    </xf>
    <xf borderId="1" fillId="0" fontId="45" numFmtId="0" xfId="0" applyBorder="1" applyFont="1"/>
    <xf borderId="1" fillId="4" fontId="56" numFmtId="0" xfId="0" applyAlignment="1" applyBorder="1" applyFont="1">
      <alignment readingOrder="0" shrinkToFit="0" wrapText="1"/>
    </xf>
    <xf borderId="1" fillId="4" fontId="51" numFmtId="49" xfId="0" applyAlignment="1" applyBorder="1" applyFont="1" applyNumberFormat="1">
      <alignment readingOrder="0" vertical="bottom"/>
    </xf>
    <xf borderId="1" fillId="0" fontId="45" numFmtId="164" xfId="0" applyAlignment="1" applyBorder="1" applyFont="1" applyNumberFormat="1">
      <alignment horizontal="center" readingOrder="0"/>
    </xf>
    <xf borderId="1" fillId="6" fontId="51" numFmtId="49" xfId="0" applyAlignment="1" applyBorder="1" applyFont="1" applyNumberFormat="1">
      <alignment readingOrder="0"/>
    </xf>
    <xf borderId="1" fillId="6" fontId="54" numFmtId="49" xfId="0" applyAlignment="1" applyBorder="1" applyFont="1" applyNumberFormat="1">
      <alignment readingOrder="0" vertical="bottom"/>
    </xf>
    <xf borderId="1" fillId="0" fontId="38" numFmtId="0" xfId="0" applyAlignment="1" applyBorder="1" applyFont="1">
      <alignment readingOrder="0"/>
    </xf>
    <xf borderId="1" fillId="4" fontId="54" numFmtId="49" xfId="0" applyAlignment="1" applyBorder="1" applyFont="1" applyNumberFormat="1">
      <alignment readingOrder="0"/>
    </xf>
    <xf borderId="1" fillId="3" fontId="36" numFmtId="0" xfId="0" applyAlignment="1" applyBorder="1" applyFont="1">
      <alignment readingOrder="0" shrinkToFit="0" wrapText="1"/>
    </xf>
    <xf borderId="0" fillId="0" fontId="57" numFmtId="0" xfId="0" applyAlignment="1" applyFont="1">
      <alignment readingOrder="0" shrinkToFit="0" vertical="bottom" wrapText="1"/>
    </xf>
    <xf borderId="1" fillId="4" fontId="57" numFmtId="0" xfId="0" applyAlignment="1" applyBorder="1" applyFont="1">
      <alignment horizontal="center" readingOrder="0"/>
    </xf>
    <xf borderId="1" fillId="0" fontId="57" numFmtId="0" xfId="0" applyAlignment="1" applyBorder="1" applyFont="1">
      <alignment horizontal="center" readingOrder="0" shrinkToFit="0" vertical="center" wrapText="1"/>
    </xf>
    <xf borderId="1" fillId="4" fontId="57" numFmtId="49" xfId="0" applyAlignment="1" applyBorder="1" applyFont="1" applyNumberFormat="1">
      <alignment readingOrder="0"/>
    </xf>
    <xf borderId="1" fillId="4" fontId="57" numFmtId="49" xfId="0" applyAlignment="1" applyBorder="1" applyFont="1" applyNumberFormat="1">
      <alignment readingOrder="0" vertical="bottom"/>
    </xf>
    <xf borderId="1" fillId="0" fontId="9" numFmtId="164" xfId="0" applyAlignment="1" applyBorder="1" applyFont="1" applyNumberFormat="1">
      <alignment horizontal="center" readingOrder="0"/>
    </xf>
    <xf borderId="1" fillId="0" fontId="9" numFmtId="164" xfId="0" applyAlignment="1" applyBorder="1" applyFont="1" applyNumberFormat="1">
      <alignment readingOrder="0"/>
    </xf>
    <xf borderId="0" fillId="0" fontId="9" numFmtId="0" xfId="0" applyFont="1"/>
    <xf borderId="0" fillId="0" fontId="58" numFmtId="0" xfId="0" applyAlignment="1" applyFont="1">
      <alignment readingOrder="0" shrinkToFit="0" vertical="bottom" wrapText="1"/>
    </xf>
    <xf borderId="1" fillId="4" fontId="58" numFmtId="0" xfId="0" applyAlignment="1" applyBorder="1" applyFont="1">
      <alignment horizontal="center" readingOrder="0"/>
    </xf>
    <xf borderId="1" fillId="0" fontId="58" numFmtId="0" xfId="0" applyAlignment="1" applyBorder="1" applyFont="1">
      <alignment horizontal="center" readingOrder="0" shrinkToFit="0" vertical="center" wrapText="1"/>
    </xf>
    <xf borderId="1" fillId="0" fontId="59" numFmtId="49" xfId="0" applyAlignment="1" applyBorder="1" applyFont="1" applyNumberFormat="1">
      <alignment horizontal="center" readingOrder="0" vertical="center"/>
    </xf>
    <xf borderId="1" fillId="4" fontId="58" numFmtId="49" xfId="0" applyAlignment="1" applyBorder="1" applyFont="1" applyNumberFormat="1">
      <alignment readingOrder="0"/>
    </xf>
    <xf borderId="1" fillId="4" fontId="60" numFmtId="0" xfId="0" applyAlignment="1" applyBorder="1" applyFont="1">
      <alignment readingOrder="0" shrinkToFit="0" wrapText="1"/>
    </xf>
    <xf borderId="1" fillId="4" fontId="58" numFmtId="49" xfId="0" applyAlignment="1" applyBorder="1" applyFont="1" applyNumberFormat="1">
      <alignment readingOrder="0" vertical="bottom"/>
    </xf>
    <xf borderId="1" fillId="0" fontId="61" numFmtId="164" xfId="0" applyAlignment="1" applyBorder="1" applyFont="1" applyNumberFormat="1">
      <alignment horizontal="center" readingOrder="0"/>
    </xf>
    <xf borderId="1" fillId="0" fontId="61" numFmtId="164" xfId="0" applyAlignment="1" applyBorder="1" applyFont="1" applyNumberFormat="1">
      <alignment readingOrder="0"/>
    </xf>
    <xf borderId="1" fillId="0" fontId="61" numFmtId="0" xfId="0" applyAlignment="1" applyBorder="1" applyFont="1">
      <alignment readingOrder="0"/>
    </xf>
    <xf borderId="0" fillId="0" fontId="61" numFmtId="0" xfId="0" applyFont="1"/>
    <xf borderId="1" fillId="0" fontId="2" numFmtId="0" xfId="0" applyAlignment="1" applyBorder="1" applyFont="1">
      <alignment readingOrder="0"/>
    </xf>
    <xf borderId="1" fillId="0" fontId="57" numFmtId="0" xfId="0" applyAlignment="1" applyBorder="1" applyFont="1">
      <alignment readingOrder="0" vertical="bottom"/>
    </xf>
    <xf borderId="1" fillId="0" fontId="9" numFmtId="0" xfId="0" applyBorder="1" applyFont="1"/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technews.tw/company/70673367-%E6%AC%A3%E4%B8%8A%E5%8E%9F%E8%82%A1%E4%BB%BD%E6%9C%89%E9%99%90%E5%85%AC%E5%8F%B8" TargetMode="External"/><Relationship Id="rId2" Type="http://schemas.openxmlformats.org/officeDocument/2006/relationships/hyperlink" Target="https://share.google/8VMiAb6e9CsG5udcw" TargetMode="External"/><Relationship Id="rId3" Type="http://schemas.openxmlformats.org/officeDocument/2006/relationships/hyperlink" Target="https://maps.app.goo.gl/Nw2NcAqC2V2qghvG6?g_st=al" TargetMode="External"/><Relationship Id="rId4" Type="http://schemas.openxmlformats.org/officeDocument/2006/relationships/hyperlink" Target="https://maps.app.goo.gl/eUJUdUSbJks12nbq9?g_st=il" TargetMode="External"/><Relationship Id="rId5" Type="http://schemas.openxmlformats.org/officeDocument/2006/relationships/hyperlink" Target="https://www.namelesstree.com.tw/project/%E5%8D%8A%E5%8D%8A%E9%BD%8B" TargetMode="External"/><Relationship Id="rId6" Type="http://schemas.openxmlformats.org/officeDocument/2006/relationships/hyperlink" Target="https://www.facebook.com/cswaldorfkg/?locale=zh_TW" TargetMode="External"/><Relationship Id="rId7" Type="http://schemas.openxmlformats.org/officeDocument/2006/relationships/hyperlink" Target="https://share.google/dXTsbfqwPVgqVbp6u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4.5"/>
    <col customWidth="1" min="2" max="2" width="4.25"/>
    <col customWidth="1" min="3" max="3" width="5.88"/>
    <col customWidth="1" min="4" max="4" width="6.75"/>
    <col customWidth="1" min="5" max="5" width="13.5"/>
    <col customWidth="1" min="6" max="6" width="9.75"/>
    <col customWidth="1" min="7" max="7" width="30.38"/>
    <col customWidth="1" min="8" max="8" width="4.5"/>
    <col customWidth="1" min="9" max="9" width="9.13"/>
    <col customWidth="1" min="10" max="11" width="6.75"/>
    <col customWidth="1" min="12" max="12" width="4.25"/>
    <col customWidth="1" min="13" max="13" width="42.75"/>
  </cols>
  <sheetData>
    <row r="1">
      <c r="A1" s="2"/>
      <c r="B1" s="6" t="s">
        <v>2</v>
      </c>
      <c r="C1" s="9" t="s">
        <v>4</v>
      </c>
      <c r="D1" s="10" t="s">
        <v>8</v>
      </c>
      <c r="E1" s="12" t="s">
        <v>15</v>
      </c>
      <c r="F1" s="9" t="s">
        <v>19</v>
      </c>
      <c r="G1" s="9" t="s">
        <v>20</v>
      </c>
      <c r="H1" s="6" t="s">
        <v>25</v>
      </c>
      <c r="I1" s="21" t="s">
        <v>27</v>
      </c>
      <c r="J1" s="21" t="s">
        <v>29</v>
      </c>
      <c r="K1" s="24" t="s">
        <v>30</v>
      </c>
      <c r="L1" s="24" t="s">
        <v>33</v>
      </c>
      <c r="M1" s="26" t="s">
        <v>35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33" t="s">
        <v>45</v>
      </c>
      <c r="B2" s="34">
        <v>46014.0</v>
      </c>
      <c r="C2" s="37" t="s">
        <v>53</v>
      </c>
      <c r="D2" s="10" t="s">
        <v>54</v>
      </c>
      <c r="E2" s="12" t="s">
        <v>55</v>
      </c>
      <c r="F2" s="40" t="s">
        <v>58</v>
      </c>
      <c r="G2" s="43" t="s">
        <v>60</v>
      </c>
      <c r="H2" s="46"/>
      <c r="I2" s="49" t="s">
        <v>58</v>
      </c>
      <c r="J2" s="51">
        <v>46014.0</v>
      </c>
      <c r="K2" s="53">
        <v>46130.0</v>
      </c>
      <c r="L2" s="55">
        <v>2.0</v>
      </c>
      <c r="M2" s="58" t="s">
        <v>66</v>
      </c>
    </row>
    <row r="3">
      <c r="A3" s="59" t="s">
        <v>67</v>
      </c>
      <c r="B3" s="60">
        <v>46023.0</v>
      </c>
      <c r="C3" s="61" t="s">
        <v>68</v>
      </c>
      <c r="D3" s="10" t="s">
        <v>71</v>
      </c>
      <c r="E3" s="12" t="s">
        <v>72</v>
      </c>
      <c r="F3" s="62" t="s">
        <v>74</v>
      </c>
      <c r="G3" s="63" t="s">
        <v>76</v>
      </c>
      <c r="H3" s="64" t="s">
        <v>25</v>
      </c>
      <c r="I3" s="65" t="s">
        <v>83</v>
      </c>
      <c r="J3" s="66">
        <v>46024.0</v>
      </c>
      <c r="K3" s="67"/>
      <c r="L3" s="68"/>
      <c r="M3" s="58" t="s">
        <v>86</v>
      </c>
    </row>
    <row r="4">
      <c r="A4" s="59" t="s">
        <v>45</v>
      </c>
      <c r="B4" s="60">
        <v>46023.0</v>
      </c>
      <c r="C4" s="61" t="s">
        <v>68</v>
      </c>
      <c r="D4" s="10" t="s">
        <v>88</v>
      </c>
      <c r="E4" s="12" t="s">
        <v>89</v>
      </c>
      <c r="F4" s="62" t="s">
        <v>74</v>
      </c>
      <c r="G4" s="63" t="s">
        <v>90</v>
      </c>
      <c r="H4" s="64" t="s">
        <v>25</v>
      </c>
      <c r="I4" s="65" t="s">
        <v>83</v>
      </c>
      <c r="J4" s="66">
        <v>46025.0</v>
      </c>
      <c r="K4" s="67"/>
      <c r="L4" s="68"/>
      <c r="M4" s="70" t="s">
        <v>95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>
      <c r="A5" s="59" t="s">
        <v>45</v>
      </c>
      <c r="B5" s="60">
        <v>46023.0</v>
      </c>
      <c r="C5" s="61" t="s">
        <v>68</v>
      </c>
      <c r="D5" s="10" t="s">
        <v>98</v>
      </c>
      <c r="E5" s="12" t="s">
        <v>100</v>
      </c>
      <c r="F5" s="62" t="s">
        <v>74</v>
      </c>
      <c r="G5" s="63" t="s">
        <v>102</v>
      </c>
      <c r="H5" s="64" t="s">
        <v>25</v>
      </c>
      <c r="I5" s="65" t="s">
        <v>58</v>
      </c>
      <c r="J5" s="66">
        <v>46023.0</v>
      </c>
      <c r="K5" s="66">
        <v>46025.0</v>
      </c>
      <c r="L5" s="64">
        <v>2.0</v>
      </c>
      <c r="M5" s="70" t="s">
        <v>105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>
      <c r="A6" s="59" t="s">
        <v>108</v>
      </c>
      <c r="B6" s="60">
        <v>46024.0</v>
      </c>
      <c r="C6" s="61" t="s">
        <v>53</v>
      </c>
      <c r="D6" s="10" t="s">
        <v>88</v>
      </c>
      <c r="E6" s="12" t="s">
        <v>112</v>
      </c>
      <c r="F6" s="62"/>
      <c r="G6" s="63" t="s">
        <v>113</v>
      </c>
      <c r="H6" s="68"/>
      <c r="I6" s="75" t="s">
        <v>74</v>
      </c>
      <c r="J6" s="77">
        <v>46133.0</v>
      </c>
      <c r="K6" s="67"/>
      <c r="L6" s="68"/>
      <c r="M6" s="58" t="s">
        <v>120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>
      <c r="A7" s="59" t="s">
        <v>67</v>
      </c>
      <c r="B7" s="60">
        <v>46024.0</v>
      </c>
      <c r="C7" s="61" t="s">
        <v>68</v>
      </c>
      <c r="D7" s="10" t="s">
        <v>125</v>
      </c>
      <c r="E7" s="12" t="s">
        <v>126</v>
      </c>
      <c r="F7" s="62" t="s">
        <v>74</v>
      </c>
      <c r="G7" s="63" t="s">
        <v>128</v>
      </c>
      <c r="H7" s="64" t="s">
        <v>25</v>
      </c>
      <c r="I7" s="65" t="s">
        <v>58</v>
      </c>
      <c r="J7" s="66">
        <v>46025.0</v>
      </c>
      <c r="K7" s="67"/>
      <c r="L7" s="68"/>
      <c r="M7" s="70" t="s">
        <v>131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>
      <c r="A8" s="59" t="s">
        <v>45</v>
      </c>
      <c r="B8" s="60">
        <v>46024.0</v>
      </c>
      <c r="C8" s="61" t="s">
        <v>53</v>
      </c>
      <c r="D8" s="10" t="s">
        <v>134</v>
      </c>
      <c r="E8" s="12" t="s">
        <v>135</v>
      </c>
      <c r="F8" s="62"/>
      <c r="G8" s="63" t="s">
        <v>137</v>
      </c>
      <c r="H8" s="68"/>
      <c r="I8" s="65" t="s">
        <v>83</v>
      </c>
      <c r="J8" s="66">
        <v>46025.0</v>
      </c>
      <c r="K8" s="67"/>
      <c r="L8" s="68"/>
      <c r="M8" s="70" t="s">
        <v>138</v>
      </c>
    </row>
    <row r="9">
      <c r="A9" s="59" t="s">
        <v>45</v>
      </c>
      <c r="B9" s="60">
        <v>46024.0</v>
      </c>
      <c r="C9" s="61" t="s">
        <v>68</v>
      </c>
      <c r="D9" s="10" t="s">
        <v>141</v>
      </c>
      <c r="E9" s="12" t="s">
        <v>142</v>
      </c>
      <c r="F9" s="62" t="s">
        <v>74</v>
      </c>
      <c r="G9" s="63" t="s">
        <v>143</v>
      </c>
      <c r="H9" s="64" t="s">
        <v>25</v>
      </c>
      <c r="I9" s="65" t="s">
        <v>83</v>
      </c>
      <c r="J9" s="66">
        <v>46025.0</v>
      </c>
      <c r="K9" s="66">
        <v>46032.0</v>
      </c>
      <c r="L9" s="64">
        <v>4.0</v>
      </c>
      <c r="M9" s="70" t="s">
        <v>146</v>
      </c>
    </row>
    <row r="10">
      <c r="A10" s="89" t="s">
        <v>147</v>
      </c>
      <c r="B10" s="60">
        <v>46025.0</v>
      </c>
      <c r="C10" s="61" t="s">
        <v>148</v>
      </c>
      <c r="D10" s="10" t="s">
        <v>149</v>
      </c>
      <c r="E10" s="12" t="s">
        <v>150</v>
      </c>
      <c r="F10" s="62" t="s">
        <v>83</v>
      </c>
      <c r="G10" s="91" t="s">
        <v>151</v>
      </c>
      <c r="H10" s="64" t="s">
        <v>25</v>
      </c>
      <c r="I10" s="65"/>
      <c r="J10" s="66">
        <v>46029.0</v>
      </c>
      <c r="K10" s="67"/>
      <c r="L10" s="68"/>
      <c r="M10" s="92" t="s">
        <v>155</v>
      </c>
    </row>
    <row r="11">
      <c r="A11" s="89" t="s">
        <v>147</v>
      </c>
      <c r="B11" s="60">
        <v>46025.0</v>
      </c>
      <c r="C11" s="61" t="s">
        <v>148</v>
      </c>
      <c r="D11" s="10" t="s">
        <v>157</v>
      </c>
      <c r="E11" s="12" t="s">
        <v>159</v>
      </c>
      <c r="F11" s="62" t="s">
        <v>83</v>
      </c>
      <c r="G11" s="93" t="s">
        <v>160</v>
      </c>
      <c r="H11" s="64" t="s">
        <v>25</v>
      </c>
      <c r="I11" s="65"/>
      <c r="J11" s="66">
        <v>46029.0</v>
      </c>
      <c r="K11" s="67"/>
      <c r="L11" s="68"/>
      <c r="M11" s="70" t="s">
        <v>163</v>
      </c>
    </row>
    <row r="12">
      <c r="A12" s="89" t="s">
        <v>147</v>
      </c>
      <c r="B12" s="60">
        <v>46025.0</v>
      </c>
      <c r="C12" s="61" t="s">
        <v>148</v>
      </c>
      <c r="D12" s="10" t="s">
        <v>164</v>
      </c>
      <c r="E12" s="12" t="s">
        <v>166</v>
      </c>
      <c r="F12" s="62" t="s">
        <v>83</v>
      </c>
      <c r="G12" s="95" t="s">
        <v>168</v>
      </c>
      <c r="H12" s="64" t="s">
        <v>25</v>
      </c>
      <c r="I12" s="65"/>
      <c r="J12" s="66">
        <v>46028.0</v>
      </c>
      <c r="K12" s="67"/>
      <c r="L12" s="68"/>
      <c r="M12" s="92" t="s">
        <v>172</v>
      </c>
    </row>
    <row r="13">
      <c r="A13" s="89" t="s">
        <v>147</v>
      </c>
      <c r="B13" s="60">
        <v>46025.0</v>
      </c>
      <c r="C13" s="61" t="s">
        <v>148</v>
      </c>
      <c r="D13" s="10" t="s">
        <v>176</v>
      </c>
      <c r="E13" s="12" t="s">
        <v>178</v>
      </c>
      <c r="F13" s="62" t="s">
        <v>83</v>
      </c>
      <c r="G13" s="98" t="s">
        <v>179</v>
      </c>
      <c r="H13" s="64" t="s">
        <v>25</v>
      </c>
      <c r="I13" s="65"/>
      <c r="J13" s="66">
        <v>46025.0</v>
      </c>
      <c r="K13" s="67"/>
      <c r="L13" s="68"/>
      <c r="M13" s="92" t="s">
        <v>182</v>
      </c>
    </row>
    <row r="14">
      <c r="A14" s="89" t="s">
        <v>147</v>
      </c>
      <c r="B14" s="60">
        <v>46025.0</v>
      </c>
      <c r="C14" s="61" t="s">
        <v>68</v>
      </c>
      <c r="D14" s="10" t="s">
        <v>184</v>
      </c>
      <c r="E14" s="12" t="s">
        <v>186</v>
      </c>
      <c r="F14" s="62" t="s">
        <v>58</v>
      </c>
      <c r="G14" s="63" t="s">
        <v>187</v>
      </c>
      <c r="H14" s="64" t="s">
        <v>25</v>
      </c>
      <c r="I14" s="65"/>
      <c r="J14" s="66">
        <v>46029.0</v>
      </c>
      <c r="K14" s="67"/>
      <c r="L14" s="68"/>
      <c r="M14" s="70" t="s">
        <v>190</v>
      </c>
    </row>
    <row r="15">
      <c r="A15" s="59" t="s">
        <v>108</v>
      </c>
      <c r="B15" s="60">
        <v>46025.0</v>
      </c>
      <c r="C15" s="61" t="s">
        <v>148</v>
      </c>
      <c r="D15" s="10" t="s">
        <v>191</v>
      </c>
      <c r="E15" s="12" t="s">
        <v>192</v>
      </c>
      <c r="F15" s="62" t="s">
        <v>83</v>
      </c>
      <c r="G15" s="98" t="s">
        <v>197</v>
      </c>
      <c r="H15" s="64" t="s">
        <v>25</v>
      </c>
      <c r="I15" s="65" t="s">
        <v>58</v>
      </c>
      <c r="J15" s="66">
        <v>46025.0</v>
      </c>
      <c r="K15" s="67"/>
      <c r="L15" s="68"/>
      <c r="M15" s="70" t="s">
        <v>199</v>
      </c>
    </row>
    <row r="16">
      <c r="A16" s="59" t="s">
        <v>108</v>
      </c>
      <c r="B16" s="60">
        <v>46025.0</v>
      </c>
      <c r="C16" s="61" t="s">
        <v>148</v>
      </c>
      <c r="D16" s="10" t="s">
        <v>202</v>
      </c>
      <c r="E16" s="12" t="s">
        <v>204</v>
      </c>
      <c r="F16" s="62" t="s">
        <v>58</v>
      </c>
      <c r="G16" s="102" t="s">
        <v>206</v>
      </c>
      <c r="H16" s="64" t="s">
        <v>25</v>
      </c>
      <c r="I16" s="65"/>
      <c r="J16" s="66">
        <v>46029.0</v>
      </c>
      <c r="K16" s="67"/>
      <c r="L16" s="68"/>
      <c r="M16" s="70" t="s">
        <v>209</v>
      </c>
    </row>
    <row r="17">
      <c r="A17" s="59" t="s">
        <v>108</v>
      </c>
      <c r="B17" s="60">
        <v>46025.0</v>
      </c>
      <c r="C17" s="61" t="s">
        <v>68</v>
      </c>
      <c r="D17" s="10" t="s">
        <v>211</v>
      </c>
      <c r="E17" s="12" t="s">
        <v>212</v>
      </c>
      <c r="F17" s="62" t="s">
        <v>74</v>
      </c>
      <c r="G17" s="63" t="s">
        <v>214</v>
      </c>
      <c r="H17" s="64" t="s">
        <v>25</v>
      </c>
      <c r="I17" s="65" t="s">
        <v>83</v>
      </c>
      <c r="J17" s="66">
        <v>46025.0</v>
      </c>
      <c r="K17" s="67"/>
      <c r="L17" s="68"/>
      <c r="M17" s="70" t="s">
        <v>218</v>
      </c>
    </row>
    <row r="18">
      <c r="A18" s="59" t="s">
        <v>67</v>
      </c>
      <c r="B18" s="60">
        <v>46025.0</v>
      </c>
      <c r="C18" s="61" t="s">
        <v>221</v>
      </c>
      <c r="D18" s="10" t="s">
        <v>222</v>
      </c>
      <c r="E18" s="12" t="s">
        <v>223</v>
      </c>
      <c r="F18" s="62" t="s">
        <v>83</v>
      </c>
      <c r="G18" s="104" t="s">
        <v>224</v>
      </c>
      <c r="H18" s="64" t="s">
        <v>25</v>
      </c>
      <c r="I18" s="65" t="s">
        <v>58</v>
      </c>
      <c r="J18" s="66">
        <v>46032.0</v>
      </c>
      <c r="K18" s="67"/>
      <c r="L18" s="68"/>
      <c r="M18" s="70" t="s">
        <v>228</v>
      </c>
    </row>
    <row r="19">
      <c r="A19" s="59" t="s">
        <v>67</v>
      </c>
      <c r="B19" s="60">
        <v>46025.0</v>
      </c>
      <c r="C19" s="61" t="s">
        <v>148</v>
      </c>
      <c r="D19" s="10" t="s">
        <v>231</v>
      </c>
      <c r="E19" s="12" t="s">
        <v>232</v>
      </c>
      <c r="F19" s="62" t="s">
        <v>83</v>
      </c>
      <c r="G19" s="93" t="s">
        <v>160</v>
      </c>
      <c r="H19" s="64" t="s">
        <v>25</v>
      </c>
      <c r="I19" s="65" t="s">
        <v>83</v>
      </c>
      <c r="J19" s="66">
        <v>46029.0</v>
      </c>
      <c r="K19" s="67"/>
      <c r="L19" s="68"/>
      <c r="M19" s="70" t="s">
        <v>238</v>
      </c>
    </row>
    <row r="20">
      <c r="A20" s="59" t="s">
        <v>45</v>
      </c>
      <c r="B20" s="60">
        <v>46025.0</v>
      </c>
      <c r="C20" s="61" t="s">
        <v>148</v>
      </c>
      <c r="D20" s="10" t="s">
        <v>239</v>
      </c>
      <c r="E20" s="12" t="s">
        <v>242</v>
      </c>
      <c r="F20" s="105" t="s">
        <v>83</v>
      </c>
      <c r="G20" s="102" t="s">
        <v>206</v>
      </c>
      <c r="H20" s="64" t="s">
        <v>25</v>
      </c>
      <c r="I20" s="65" t="s">
        <v>74</v>
      </c>
      <c r="J20" s="66">
        <v>46025.0</v>
      </c>
      <c r="K20" s="67"/>
      <c r="L20" s="68"/>
      <c r="M20" s="70" t="s">
        <v>247</v>
      </c>
    </row>
    <row r="21">
      <c r="A21" s="59" t="s">
        <v>45</v>
      </c>
      <c r="B21" s="60">
        <v>46025.0</v>
      </c>
      <c r="C21" s="61" t="s">
        <v>148</v>
      </c>
      <c r="D21" s="10" t="s">
        <v>249</v>
      </c>
      <c r="E21" s="12" t="s">
        <v>251</v>
      </c>
      <c r="F21" s="62" t="s">
        <v>83</v>
      </c>
      <c r="G21" s="102" t="s">
        <v>206</v>
      </c>
      <c r="H21" s="64" t="s">
        <v>25</v>
      </c>
      <c r="I21" s="65" t="s">
        <v>58</v>
      </c>
      <c r="J21" s="66">
        <v>46028.0</v>
      </c>
      <c r="K21" s="67"/>
      <c r="L21" s="68"/>
      <c r="M21" s="70" t="s">
        <v>256</v>
      </c>
    </row>
    <row r="22">
      <c r="A22" s="59" t="s">
        <v>45</v>
      </c>
      <c r="B22" s="60">
        <v>46025.0</v>
      </c>
      <c r="C22" s="61" t="s">
        <v>148</v>
      </c>
      <c r="D22" s="10" t="s">
        <v>258</v>
      </c>
      <c r="E22" s="12" t="s">
        <v>259</v>
      </c>
      <c r="F22" s="62" t="s">
        <v>83</v>
      </c>
      <c r="G22" s="102" t="s">
        <v>206</v>
      </c>
      <c r="H22" s="64" t="s">
        <v>25</v>
      </c>
      <c r="I22" s="65" t="s">
        <v>83</v>
      </c>
      <c r="J22" s="66">
        <v>46028.0</v>
      </c>
      <c r="K22" s="66">
        <v>46039.0</v>
      </c>
      <c r="L22" s="64">
        <v>3.0</v>
      </c>
      <c r="M22" s="70" t="s">
        <v>262</v>
      </c>
    </row>
    <row r="23">
      <c r="A23" s="59" t="s">
        <v>45</v>
      </c>
      <c r="B23" s="60">
        <v>46025.0</v>
      </c>
      <c r="C23" s="61" t="s">
        <v>148</v>
      </c>
      <c r="D23" s="10" t="s">
        <v>264</v>
      </c>
      <c r="E23" s="12" t="s">
        <v>265</v>
      </c>
      <c r="F23" s="62" t="s">
        <v>83</v>
      </c>
      <c r="G23" s="95" t="s">
        <v>267</v>
      </c>
      <c r="H23" s="64" t="s">
        <v>25</v>
      </c>
      <c r="I23" s="65"/>
      <c r="J23" s="66">
        <v>46028.0</v>
      </c>
      <c r="K23" s="67"/>
      <c r="L23" s="68"/>
      <c r="M23" s="92" t="s">
        <v>270</v>
      </c>
    </row>
    <row r="24">
      <c r="A24" s="59" t="s">
        <v>45</v>
      </c>
      <c r="B24" s="60">
        <v>46025.0</v>
      </c>
      <c r="C24" s="61" t="s">
        <v>148</v>
      </c>
      <c r="D24" s="10" t="s">
        <v>272</v>
      </c>
      <c r="E24" s="12" t="s">
        <v>274</v>
      </c>
      <c r="F24" s="62" t="s">
        <v>58</v>
      </c>
      <c r="G24" s="112" t="s">
        <v>275</v>
      </c>
      <c r="H24" s="64" t="s">
        <v>25</v>
      </c>
      <c r="I24" s="65" t="s">
        <v>74</v>
      </c>
      <c r="J24" s="66">
        <v>46032.0</v>
      </c>
      <c r="K24" s="66">
        <v>46046.0</v>
      </c>
      <c r="L24" s="64">
        <v>2.0</v>
      </c>
      <c r="M24" s="58" t="s">
        <v>277</v>
      </c>
    </row>
    <row r="25">
      <c r="A25" s="59" t="s">
        <v>45</v>
      </c>
      <c r="B25" s="60">
        <v>46025.0</v>
      </c>
      <c r="C25" s="61" t="s">
        <v>68</v>
      </c>
      <c r="D25" s="10" t="s">
        <v>279</v>
      </c>
      <c r="E25" s="12" t="s">
        <v>281</v>
      </c>
      <c r="F25" s="62" t="s">
        <v>74</v>
      </c>
      <c r="G25" s="63" t="s">
        <v>282</v>
      </c>
      <c r="H25" s="64" t="s">
        <v>25</v>
      </c>
      <c r="I25" s="65" t="s">
        <v>83</v>
      </c>
      <c r="J25" s="66">
        <v>46030.0</v>
      </c>
      <c r="K25" s="66">
        <v>46036.0</v>
      </c>
      <c r="L25" s="64">
        <v>1.0</v>
      </c>
      <c r="M25" s="70" t="s">
        <v>286</v>
      </c>
    </row>
    <row r="26">
      <c r="A26" s="89" t="s">
        <v>147</v>
      </c>
      <c r="B26" s="60">
        <v>46026.0</v>
      </c>
      <c r="C26" s="61" t="s">
        <v>148</v>
      </c>
      <c r="D26" s="10" t="s">
        <v>290</v>
      </c>
      <c r="E26" s="12" t="s">
        <v>292</v>
      </c>
      <c r="F26" s="62" t="s">
        <v>58</v>
      </c>
      <c r="G26" s="95" t="s">
        <v>293</v>
      </c>
      <c r="H26" s="64" t="s">
        <v>25</v>
      </c>
      <c r="I26" s="65"/>
      <c r="J26" s="66">
        <v>46029.0</v>
      </c>
      <c r="K26" s="67"/>
      <c r="L26" s="68"/>
      <c r="M26" s="92" t="s">
        <v>190</v>
      </c>
    </row>
    <row r="27">
      <c r="A27" s="89" t="s">
        <v>147</v>
      </c>
      <c r="B27" s="60">
        <v>46026.0</v>
      </c>
      <c r="C27" s="61" t="s">
        <v>148</v>
      </c>
      <c r="D27" s="10" t="s">
        <v>294</v>
      </c>
      <c r="E27" s="12" t="s">
        <v>295</v>
      </c>
      <c r="F27" s="62" t="s">
        <v>58</v>
      </c>
      <c r="G27" s="95" t="s">
        <v>296</v>
      </c>
      <c r="H27" s="64" t="s">
        <v>25</v>
      </c>
      <c r="I27" s="65"/>
      <c r="J27" s="66">
        <v>46029.0</v>
      </c>
      <c r="K27" s="67"/>
      <c r="L27" s="68"/>
      <c r="M27" s="92" t="s">
        <v>182</v>
      </c>
    </row>
    <row r="28">
      <c r="A28" s="59" t="s">
        <v>108</v>
      </c>
      <c r="B28" s="60">
        <v>46026.0</v>
      </c>
      <c r="C28" s="61" t="s">
        <v>148</v>
      </c>
      <c r="D28" s="10" t="s">
        <v>297</v>
      </c>
      <c r="E28" s="12" t="s">
        <v>298</v>
      </c>
      <c r="F28" s="62" t="s">
        <v>58</v>
      </c>
      <c r="G28" s="91" t="s">
        <v>299</v>
      </c>
      <c r="H28" s="64" t="s">
        <v>25</v>
      </c>
      <c r="I28" s="65" t="s">
        <v>83</v>
      </c>
      <c r="J28" s="66">
        <v>46028.0</v>
      </c>
      <c r="K28" s="67"/>
      <c r="L28" s="68"/>
      <c r="M28" s="116" t="s">
        <v>190</v>
      </c>
    </row>
    <row r="29">
      <c r="A29" s="59" t="s">
        <v>108</v>
      </c>
      <c r="B29" s="60">
        <v>46026.0</v>
      </c>
      <c r="C29" s="61" t="s">
        <v>148</v>
      </c>
      <c r="D29" s="10" t="s">
        <v>300</v>
      </c>
      <c r="E29" s="12" t="s">
        <v>302</v>
      </c>
      <c r="F29" s="62" t="s">
        <v>58</v>
      </c>
      <c r="G29" s="93" t="s">
        <v>303</v>
      </c>
      <c r="H29" s="64" t="s">
        <v>25</v>
      </c>
      <c r="I29" s="65"/>
      <c r="J29" s="66">
        <v>46030.0</v>
      </c>
      <c r="K29" s="67"/>
      <c r="L29" s="68"/>
      <c r="M29" s="70" t="s">
        <v>304</v>
      </c>
    </row>
    <row r="30">
      <c r="A30" s="59" t="s">
        <v>108</v>
      </c>
      <c r="B30" s="60">
        <v>46026.0</v>
      </c>
      <c r="C30" s="61" t="s">
        <v>148</v>
      </c>
      <c r="D30" s="10" t="s">
        <v>305</v>
      </c>
      <c r="E30" s="12" t="s">
        <v>306</v>
      </c>
      <c r="F30" s="62" t="s">
        <v>58</v>
      </c>
      <c r="G30" s="98" t="s">
        <v>197</v>
      </c>
      <c r="H30" s="64" t="s">
        <v>25</v>
      </c>
      <c r="I30" s="65" t="s">
        <v>58</v>
      </c>
      <c r="J30" s="66">
        <v>46038.0</v>
      </c>
      <c r="K30" s="67"/>
      <c r="L30" s="68"/>
      <c r="M30" s="70" t="s">
        <v>307</v>
      </c>
    </row>
    <row r="31">
      <c r="A31" s="59" t="s">
        <v>45</v>
      </c>
      <c r="B31" s="60">
        <v>46026.0</v>
      </c>
      <c r="C31" s="61" t="s">
        <v>148</v>
      </c>
      <c r="D31" s="10" t="s">
        <v>308</v>
      </c>
      <c r="E31" s="12" t="s">
        <v>309</v>
      </c>
      <c r="F31" s="62" t="s">
        <v>58</v>
      </c>
      <c r="G31" s="93" t="s">
        <v>160</v>
      </c>
      <c r="H31" s="64" t="s">
        <v>25</v>
      </c>
      <c r="I31" s="65" t="s">
        <v>58</v>
      </c>
      <c r="J31" s="66">
        <v>46030.0</v>
      </c>
      <c r="K31" s="66">
        <v>46036.0</v>
      </c>
      <c r="L31" s="64">
        <v>1.0</v>
      </c>
      <c r="M31" s="70" t="s">
        <v>310</v>
      </c>
    </row>
    <row r="32">
      <c r="A32" s="59" t="s">
        <v>45</v>
      </c>
      <c r="B32" s="60">
        <v>46026.0</v>
      </c>
      <c r="C32" s="61" t="s">
        <v>148</v>
      </c>
      <c r="D32" s="10" t="s">
        <v>311</v>
      </c>
      <c r="E32" s="12" t="s">
        <v>312</v>
      </c>
      <c r="F32" s="62" t="s">
        <v>58</v>
      </c>
      <c r="G32" s="112" t="s">
        <v>275</v>
      </c>
      <c r="H32" s="64" t="s">
        <v>25</v>
      </c>
      <c r="I32" s="65" t="s">
        <v>58</v>
      </c>
      <c r="J32" s="66">
        <v>46038.0</v>
      </c>
      <c r="K32" s="67"/>
      <c r="L32" s="68"/>
      <c r="M32" s="70" t="s">
        <v>313</v>
      </c>
    </row>
    <row r="33">
      <c r="A33" s="59" t="s">
        <v>45</v>
      </c>
      <c r="B33" s="60">
        <v>46026.0</v>
      </c>
      <c r="C33" s="61" t="s">
        <v>148</v>
      </c>
      <c r="D33" s="10" t="s">
        <v>314</v>
      </c>
      <c r="E33" s="12" t="s">
        <v>315</v>
      </c>
      <c r="F33" s="62" t="s">
        <v>58</v>
      </c>
      <c r="G33" s="112" t="s">
        <v>275</v>
      </c>
      <c r="H33" s="64" t="s">
        <v>25</v>
      </c>
      <c r="I33" s="65" t="s">
        <v>74</v>
      </c>
      <c r="J33" s="66">
        <v>46032.0</v>
      </c>
      <c r="K33" s="66">
        <v>46039.0</v>
      </c>
      <c r="L33" s="64">
        <v>1.0</v>
      </c>
      <c r="M33" s="70" t="s">
        <v>316</v>
      </c>
    </row>
    <row r="34">
      <c r="A34" s="89" t="s">
        <v>147</v>
      </c>
      <c r="B34" s="60">
        <v>46027.0</v>
      </c>
      <c r="C34" s="61" t="s">
        <v>148</v>
      </c>
      <c r="D34" s="10" t="s">
        <v>317</v>
      </c>
      <c r="E34" s="12" t="s">
        <v>318</v>
      </c>
      <c r="F34" s="62" t="s">
        <v>58</v>
      </c>
      <c r="G34" s="93" t="s">
        <v>319</v>
      </c>
      <c r="H34" s="64" t="s">
        <v>25</v>
      </c>
      <c r="I34" s="65"/>
      <c r="J34" s="66">
        <v>46030.0</v>
      </c>
      <c r="K34" s="67"/>
      <c r="L34" s="68"/>
      <c r="M34" s="92" t="s">
        <v>182</v>
      </c>
    </row>
    <row r="35">
      <c r="A35" s="89" t="s">
        <v>147</v>
      </c>
      <c r="B35" s="60">
        <v>46027.0</v>
      </c>
      <c r="C35" s="61" t="s">
        <v>148</v>
      </c>
      <c r="D35" s="10" t="s">
        <v>321</v>
      </c>
      <c r="E35" s="12" t="s">
        <v>322</v>
      </c>
      <c r="F35" s="62" t="s">
        <v>58</v>
      </c>
      <c r="G35" s="95" t="s">
        <v>323</v>
      </c>
      <c r="H35" s="64" t="s">
        <v>25</v>
      </c>
      <c r="I35" s="65"/>
      <c r="J35" s="66">
        <v>46029.0</v>
      </c>
      <c r="K35" s="67"/>
      <c r="L35" s="68"/>
      <c r="M35" s="92" t="s">
        <v>190</v>
      </c>
    </row>
    <row r="36">
      <c r="A36" s="89" t="s">
        <v>147</v>
      </c>
      <c r="B36" s="60">
        <v>46027.0</v>
      </c>
      <c r="C36" s="61" t="s">
        <v>148</v>
      </c>
      <c r="D36" s="10" t="s">
        <v>324</v>
      </c>
      <c r="E36" s="12" t="s">
        <v>325</v>
      </c>
      <c r="F36" s="62" t="s">
        <v>58</v>
      </c>
      <c r="G36" s="95" t="s">
        <v>326</v>
      </c>
      <c r="H36" s="64" t="s">
        <v>25</v>
      </c>
      <c r="I36" s="65"/>
      <c r="J36" s="66">
        <v>46029.0</v>
      </c>
      <c r="K36" s="67"/>
      <c r="L36" s="68"/>
      <c r="M36" s="92" t="s">
        <v>190</v>
      </c>
    </row>
    <row r="37">
      <c r="A37" s="89" t="s">
        <v>147</v>
      </c>
      <c r="B37" s="60">
        <v>46027.0</v>
      </c>
      <c r="C37" s="61" t="s">
        <v>148</v>
      </c>
      <c r="D37" s="10" t="s">
        <v>327</v>
      </c>
      <c r="E37" s="12" t="s">
        <v>328</v>
      </c>
      <c r="F37" s="62" t="s">
        <v>58</v>
      </c>
      <c r="G37" s="95" t="s">
        <v>206</v>
      </c>
      <c r="H37" s="64" t="s">
        <v>25</v>
      </c>
      <c r="I37" s="65" t="s">
        <v>58</v>
      </c>
      <c r="J37" s="66">
        <v>46038.0</v>
      </c>
      <c r="K37" s="67"/>
      <c r="L37" s="68"/>
      <c r="M37" s="70" t="s">
        <v>182</v>
      </c>
    </row>
    <row r="38">
      <c r="A38" s="59" t="s">
        <v>108</v>
      </c>
      <c r="B38" s="60">
        <v>46027.0</v>
      </c>
      <c r="C38" s="61" t="s">
        <v>148</v>
      </c>
      <c r="D38" s="10" t="s">
        <v>329</v>
      </c>
      <c r="E38" s="12" t="s">
        <v>330</v>
      </c>
      <c r="F38" s="62" t="s">
        <v>58</v>
      </c>
      <c r="G38" s="93" t="s">
        <v>160</v>
      </c>
      <c r="H38" s="64" t="s">
        <v>25</v>
      </c>
      <c r="I38" s="65"/>
      <c r="J38" s="66">
        <v>46030.0</v>
      </c>
      <c r="K38" s="67"/>
      <c r="L38" s="68"/>
      <c r="M38" s="70" t="s">
        <v>331</v>
      </c>
    </row>
    <row r="39">
      <c r="A39" s="59" t="s">
        <v>45</v>
      </c>
      <c r="B39" s="60">
        <v>46027.0</v>
      </c>
      <c r="C39" s="61" t="s">
        <v>221</v>
      </c>
      <c r="D39" s="10" t="s">
        <v>332</v>
      </c>
      <c r="E39" s="12" t="s">
        <v>333</v>
      </c>
      <c r="F39" s="62" t="s">
        <v>58</v>
      </c>
      <c r="G39" s="124" t="s">
        <v>334</v>
      </c>
      <c r="H39" s="64" t="s">
        <v>25</v>
      </c>
      <c r="I39" s="65" t="s">
        <v>58</v>
      </c>
      <c r="J39" s="66">
        <v>46029.0</v>
      </c>
      <c r="K39" s="66">
        <v>46031.0</v>
      </c>
      <c r="L39" s="64">
        <v>4.0</v>
      </c>
      <c r="M39" s="70" t="s">
        <v>335</v>
      </c>
    </row>
    <row r="40">
      <c r="A40" s="59" t="s">
        <v>45</v>
      </c>
      <c r="B40" s="60">
        <v>46027.0</v>
      </c>
      <c r="C40" s="61" t="s">
        <v>148</v>
      </c>
      <c r="D40" s="10" t="s">
        <v>336</v>
      </c>
      <c r="E40" s="12" t="s">
        <v>337</v>
      </c>
      <c r="F40" s="62" t="s">
        <v>58</v>
      </c>
      <c r="G40" s="95" t="s">
        <v>206</v>
      </c>
      <c r="H40" s="64" t="s">
        <v>25</v>
      </c>
      <c r="I40" s="65" t="s">
        <v>83</v>
      </c>
      <c r="J40" s="66">
        <v>46029.0</v>
      </c>
      <c r="K40" s="67"/>
      <c r="L40" s="68"/>
      <c r="M40" s="70" t="s">
        <v>339</v>
      </c>
    </row>
    <row r="41">
      <c r="A41" s="89" t="s">
        <v>147</v>
      </c>
      <c r="B41" s="60">
        <v>46028.0</v>
      </c>
      <c r="C41" s="61" t="s">
        <v>53</v>
      </c>
      <c r="D41" s="10" t="s">
        <v>340</v>
      </c>
      <c r="E41" s="12" t="s">
        <v>341</v>
      </c>
      <c r="F41" s="62" t="s">
        <v>83</v>
      </c>
      <c r="G41" s="63" t="s">
        <v>342</v>
      </c>
      <c r="H41" s="68"/>
      <c r="I41" s="65" t="s">
        <v>83</v>
      </c>
      <c r="J41" s="66">
        <v>46030.0</v>
      </c>
      <c r="K41" s="67"/>
      <c r="L41" s="68"/>
      <c r="M41" s="92" t="s">
        <v>343</v>
      </c>
    </row>
    <row r="42">
      <c r="A42" s="59" t="s">
        <v>108</v>
      </c>
      <c r="B42" s="60">
        <v>46028.0</v>
      </c>
      <c r="C42" s="61" t="s">
        <v>53</v>
      </c>
      <c r="D42" s="10" t="s">
        <v>344</v>
      </c>
      <c r="E42" s="12" t="s">
        <v>345</v>
      </c>
      <c r="F42" s="62" t="s">
        <v>83</v>
      </c>
      <c r="G42" s="63" t="s">
        <v>347</v>
      </c>
      <c r="H42" s="68"/>
      <c r="I42" s="65" t="s">
        <v>83</v>
      </c>
      <c r="J42" s="66">
        <v>46028.0</v>
      </c>
      <c r="K42" s="67"/>
      <c r="L42" s="68"/>
      <c r="M42" s="70" t="s">
        <v>348</v>
      </c>
    </row>
    <row r="43">
      <c r="A43" s="59" t="s">
        <v>45</v>
      </c>
      <c r="B43" s="60">
        <v>46028.0</v>
      </c>
      <c r="C43" s="61" t="s">
        <v>148</v>
      </c>
      <c r="D43" s="10" t="s">
        <v>349</v>
      </c>
      <c r="E43" s="12" t="s">
        <v>350</v>
      </c>
      <c r="F43" s="62" t="s">
        <v>58</v>
      </c>
      <c r="G43" s="95" t="s">
        <v>206</v>
      </c>
      <c r="H43" s="64" t="s">
        <v>25</v>
      </c>
      <c r="I43" s="65" t="s">
        <v>83</v>
      </c>
      <c r="J43" s="66">
        <v>46029.0</v>
      </c>
      <c r="K43" s="67"/>
      <c r="L43" s="68"/>
      <c r="M43" s="70" t="s">
        <v>351</v>
      </c>
    </row>
    <row r="44">
      <c r="A44" s="59" t="s">
        <v>45</v>
      </c>
      <c r="B44" s="60">
        <v>46028.0</v>
      </c>
      <c r="C44" s="61" t="s">
        <v>148</v>
      </c>
      <c r="D44" s="10" t="s">
        <v>352</v>
      </c>
      <c r="E44" s="12" t="s">
        <v>353</v>
      </c>
      <c r="F44" s="62" t="s">
        <v>58</v>
      </c>
      <c r="G44" s="95" t="s">
        <v>206</v>
      </c>
      <c r="H44" s="64" t="s">
        <v>25</v>
      </c>
      <c r="I44" s="65" t="s">
        <v>74</v>
      </c>
      <c r="J44" s="66">
        <v>46032.0</v>
      </c>
      <c r="K44" s="67"/>
      <c r="L44" s="68"/>
      <c r="M44" s="70" t="s">
        <v>354</v>
      </c>
    </row>
    <row r="45">
      <c r="A45" s="59" t="s">
        <v>45</v>
      </c>
      <c r="B45" s="60">
        <v>46028.0</v>
      </c>
      <c r="C45" s="61" t="s">
        <v>53</v>
      </c>
      <c r="D45" s="10" t="s">
        <v>355</v>
      </c>
      <c r="E45" s="12" t="s">
        <v>356</v>
      </c>
      <c r="F45" s="62" t="s">
        <v>83</v>
      </c>
      <c r="G45" s="63" t="s">
        <v>357</v>
      </c>
      <c r="H45" s="68"/>
      <c r="I45" s="65" t="s">
        <v>83</v>
      </c>
      <c r="J45" s="66">
        <v>46028.0</v>
      </c>
      <c r="K45" s="66">
        <v>46043.0</v>
      </c>
      <c r="L45" s="64">
        <v>1.0</v>
      </c>
      <c r="M45" s="70"/>
    </row>
    <row r="46">
      <c r="A46" s="59" t="s">
        <v>45</v>
      </c>
      <c r="B46" s="60">
        <v>46028.0</v>
      </c>
      <c r="C46" s="61" t="s">
        <v>53</v>
      </c>
      <c r="D46" s="10" t="s">
        <v>358</v>
      </c>
      <c r="E46" s="12" t="s">
        <v>359</v>
      </c>
      <c r="F46" s="62" t="s">
        <v>83</v>
      </c>
      <c r="G46" s="63" t="s">
        <v>360</v>
      </c>
      <c r="H46" s="68"/>
      <c r="I46" s="65" t="s">
        <v>83</v>
      </c>
      <c r="J46" s="66">
        <v>46028.0</v>
      </c>
      <c r="K46" s="66">
        <v>46031.0</v>
      </c>
      <c r="L46" s="64">
        <v>2.0</v>
      </c>
      <c r="M46" s="70" t="s">
        <v>361</v>
      </c>
    </row>
    <row r="47">
      <c r="A47" s="59" t="s">
        <v>45</v>
      </c>
      <c r="B47" s="60">
        <v>46028.0</v>
      </c>
      <c r="C47" s="61" t="s">
        <v>53</v>
      </c>
      <c r="D47" s="10" t="s">
        <v>362</v>
      </c>
      <c r="E47" s="12" t="s">
        <v>363</v>
      </c>
      <c r="F47" s="62" t="s">
        <v>83</v>
      </c>
      <c r="G47" s="63" t="s">
        <v>364</v>
      </c>
      <c r="H47" s="68"/>
      <c r="I47" s="65" t="s">
        <v>83</v>
      </c>
      <c r="J47" s="66">
        <v>46030.0</v>
      </c>
      <c r="K47" s="66">
        <v>46036.0</v>
      </c>
      <c r="L47" s="64">
        <v>2.0</v>
      </c>
      <c r="M47" s="58" t="s">
        <v>366</v>
      </c>
    </row>
    <row r="48">
      <c r="A48" s="59" t="s">
        <v>45</v>
      </c>
      <c r="B48" s="60">
        <v>46028.0</v>
      </c>
      <c r="C48" s="61" t="s">
        <v>68</v>
      </c>
      <c r="D48" s="10" t="s">
        <v>368</v>
      </c>
      <c r="E48" s="12" t="s">
        <v>369</v>
      </c>
      <c r="F48" s="62" t="s">
        <v>58</v>
      </c>
      <c r="G48" s="63" t="s">
        <v>370</v>
      </c>
      <c r="H48" s="64" t="s">
        <v>25</v>
      </c>
      <c r="I48" s="65" t="s">
        <v>83</v>
      </c>
      <c r="J48" s="64">
        <v>1.8</v>
      </c>
      <c r="K48" s="67"/>
      <c r="L48" s="68"/>
      <c r="M48" s="70" t="s">
        <v>372</v>
      </c>
    </row>
    <row r="49">
      <c r="A49" s="89" t="s">
        <v>45</v>
      </c>
      <c r="B49" s="60">
        <v>46028.0</v>
      </c>
      <c r="C49" s="61" t="s">
        <v>148</v>
      </c>
      <c r="D49" s="10" t="s">
        <v>379</v>
      </c>
      <c r="E49" s="12" t="s">
        <v>381</v>
      </c>
      <c r="F49" s="62" t="s">
        <v>58</v>
      </c>
      <c r="G49" s="95" t="s">
        <v>206</v>
      </c>
      <c r="H49" s="64" t="s">
        <v>25</v>
      </c>
      <c r="I49" s="75" t="s">
        <v>74</v>
      </c>
      <c r="J49" s="77">
        <v>46133.0</v>
      </c>
      <c r="K49" s="135">
        <v>46165.0</v>
      </c>
      <c r="L49" s="33">
        <v>2.0</v>
      </c>
      <c r="M49" s="136" t="s">
        <v>383</v>
      </c>
    </row>
    <row r="50">
      <c r="A50" s="89" t="s">
        <v>147</v>
      </c>
      <c r="B50" s="60">
        <v>46029.0</v>
      </c>
      <c r="C50" s="61" t="s">
        <v>148</v>
      </c>
      <c r="D50" s="10" t="s">
        <v>384</v>
      </c>
      <c r="E50" s="12" t="s">
        <v>386</v>
      </c>
      <c r="F50" s="62" t="s">
        <v>74</v>
      </c>
      <c r="G50" s="95" t="s">
        <v>206</v>
      </c>
      <c r="H50" s="64" t="s">
        <v>25</v>
      </c>
      <c r="I50" s="65"/>
      <c r="J50" s="66">
        <v>46030.0</v>
      </c>
      <c r="K50" s="67"/>
      <c r="L50" s="68"/>
      <c r="M50" s="92" t="s">
        <v>190</v>
      </c>
    </row>
    <row r="51">
      <c r="A51" s="89" t="s">
        <v>147</v>
      </c>
      <c r="B51" s="60">
        <v>46029.0</v>
      </c>
      <c r="C51" s="61" t="s">
        <v>148</v>
      </c>
      <c r="D51" s="10" t="s">
        <v>387</v>
      </c>
      <c r="E51" s="12" t="s">
        <v>388</v>
      </c>
      <c r="F51" s="62" t="s">
        <v>74</v>
      </c>
      <c r="G51" s="95" t="s">
        <v>206</v>
      </c>
      <c r="H51" s="64" t="s">
        <v>25</v>
      </c>
      <c r="I51" s="65"/>
      <c r="J51" s="66">
        <v>46030.0</v>
      </c>
      <c r="K51" s="67"/>
      <c r="L51" s="68"/>
      <c r="M51" s="92" t="s">
        <v>182</v>
      </c>
    </row>
    <row r="52">
      <c r="A52" s="89" t="s">
        <v>147</v>
      </c>
      <c r="B52" s="60">
        <v>46029.0</v>
      </c>
      <c r="C52" s="61" t="s">
        <v>148</v>
      </c>
      <c r="D52" s="10" t="s">
        <v>389</v>
      </c>
      <c r="E52" s="12" t="s">
        <v>390</v>
      </c>
      <c r="F52" s="62" t="s">
        <v>58</v>
      </c>
      <c r="G52" s="95" t="s">
        <v>206</v>
      </c>
      <c r="H52" s="64" t="s">
        <v>25</v>
      </c>
      <c r="I52" s="65"/>
      <c r="J52" s="66">
        <v>46031.0</v>
      </c>
      <c r="K52" s="67"/>
      <c r="L52" s="68"/>
      <c r="M52" s="70" t="s">
        <v>190</v>
      </c>
    </row>
    <row r="53">
      <c r="A53" s="59" t="s">
        <v>108</v>
      </c>
      <c r="B53" s="60">
        <v>46029.0</v>
      </c>
      <c r="C53" s="61" t="s">
        <v>148</v>
      </c>
      <c r="D53" s="10" t="s">
        <v>391</v>
      </c>
      <c r="E53" s="12" t="s">
        <v>392</v>
      </c>
      <c r="F53" s="62" t="s">
        <v>74</v>
      </c>
      <c r="G53" s="91" t="s">
        <v>393</v>
      </c>
      <c r="H53" s="64" t="s">
        <v>25</v>
      </c>
      <c r="I53" s="65" t="s">
        <v>83</v>
      </c>
      <c r="J53" s="66">
        <v>46030.0</v>
      </c>
      <c r="K53" s="67"/>
      <c r="L53" s="68"/>
      <c r="M53" s="70" t="s">
        <v>394</v>
      </c>
    </row>
    <row r="54">
      <c r="A54" s="59" t="s">
        <v>108</v>
      </c>
      <c r="B54" s="60">
        <v>46029.0</v>
      </c>
      <c r="C54" s="61" t="s">
        <v>148</v>
      </c>
      <c r="D54" s="10" t="s">
        <v>395</v>
      </c>
      <c r="E54" s="12" t="s">
        <v>396</v>
      </c>
      <c r="F54" s="62" t="s">
        <v>74</v>
      </c>
      <c r="G54" s="98" t="s">
        <v>197</v>
      </c>
      <c r="H54" s="64" t="s">
        <v>25</v>
      </c>
      <c r="I54" s="65" t="s">
        <v>58</v>
      </c>
      <c r="J54" s="66">
        <v>46038.0</v>
      </c>
      <c r="K54" s="67"/>
      <c r="L54" s="68"/>
      <c r="M54" s="70" t="s">
        <v>397</v>
      </c>
    </row>
    <row r="55">
      <c r="A55" s="59" t="s">
        <v>108</v>
      </c>
      <c r="B55" s="60">
        <v>46029.0</v>
      </c>
      <c r="C55" s="61" t="s">
        <v>148</v>
      </c>
      <c r="D55" s="10" t="s">
        <v>398</v>
      </c>
      <c r="E55" s="12" t="s">
        <v>399</v>
      </c>
      <c r="F55" s="62" t="s">
        <v>74</v>
      </c>
      <c r="G55" s="98" t="s">
        <v>197</v>
      </c>
      <c r="H55" s="64" t="s">
        <v>25</v>
      </c>
      <c r="I55" s="65" t="s">
        <v>74</v>
      </c>
      <c r="J55" s="66">
        <v>46032.0</v>
      </c>
      <c r="K55" s="67"/>
      <c r="L55" s="68"/>
      <c r="M55" s="58" t="s">
        <v>401</v>
      </c>
    </row>
    <row r="56">
      <c r="A56" s="59" t="s">
        <v>67</v>
      </c>
      <c r="B56" s="60">
        <v>46029.0</v>
      </c>
      <c r="C56" s="61" t="s">
        <v>148</v>
      </c>
      <c r="D56" s="10" t="s">
        <v>402</v>
      </c>
      <c r="E56" s="12" t="s">
        <v>403</v>
      </c>
      <c r="F56" s="62" t="s">
        <v>74</v>
      </c>
      <c r="G56" s="91" t="s">
        <v>160</v>
      </c>
      <c r="H56" s="64" t="s">
        <v>25</v>
      </c>
      <c r="I56" s="65" t="s">
        <v>83</v>
      </c>
      <c r="J56" s="66">
        <v>46030.0</v>
      </c>
      <c r="K56" s="67"/>
      <c r="L56" s="68"/>
      <c r="M56" s="70" t="s">
        <v>405</v>
      </c>
    </row>
    <row r="57">
      <c r="A57" s="59" t="s">
        <v>45</v>
      </c>
      <c r="B57" s="60">
        <v>46029.0</v>
      </c>
      <c r="C57" s="61" t="s">
        <v>53</v>
      </c>
      <c r="D57" s="10" t="s">
        <v>406</v>
      </c>
      <c r="E57" s="12" t="s">
        <v>407</v>
      </c>
      <c r="F57" s="62" t="s">
        <v>83</v>
      </c>
      <c r="G57" s="63" t="s">
        <v>408</v>
      </c>
      <c r="H57" s="68"/>
      <c r="I57" s="65" t="s">
        <v>83</v>
      </c>
      <c r="J57" s="66">
        <v>46030.0</v>
      </c>
      <c r="K57" s="66">
        <v>46053.0</v>
      </c>
      <c r="L57" s="64">
        <v>2.0</v>
      </c>
      <c r="M57" s="58" t="s">
        <v>409</v>
      </c>
    </row>
    <row r="58">
      <c r="A58" s="59" t="s">
        <v>45</v>
      </c>
      <c r="B58" s="60">
        <v>46029.0</v>
      </c>
      <c r="C58" s="61" t="s">
        <v>68</v>
      </c>
      <c r="D58" s="10" t="s">
        <v>410</v>
      </c>
      <c r="E58" s="12" t="s">
        <v>411</v>
      </c>
      <c r="F58" s="62" t="s">
        <v>83</v>
      </c>
      <c r="G58" s="63" t="s">
        <v>412</v>
      </c>
      <c r="H58" s="64" t="s">
        <v>25</v>
      </c>
      <c r="I58" s="65" t="s">
        <v>83</v>
      </c>
      <c r="J58" s="66">
        <v>46030.0</v>
      </c>
      <c r="K58" s="67"/>
      <c r="L58" s="68"/>
      <c r="M58" s="70" t="s">
        <v>413</v>
      </c>
    </row>
    <row r="59">
      <c r="A59" s="59" t="s">
        <v>45</v>
      </c>
      <c r="B59" s="60">
        <v>46030.0</v>
      </c>
      <c r="C59" s="61" t="s">
        <v>53</v>
      </c>
      <c r="D59" s="10" t="s">
        <v>329</v>
      </c>
      <c r="E59" s="12" t="s">
        <v>330</v>
      </c>
      <c r="F59" s="62" t="s">
        <v>83</v>
      </c>
      <c r="G59" s="63" t="s">
        <v>414</v>
      </c>
      <c r="H59" s="68"/>
      <c r="I59" s="65" t="s">
        <v>83</v>
      </c>
      <c r="J59" s="66">
        <v>46030.0</v>
      </c>
      <c r="K59" s="66">
        <v>46043.0</v>
      </c>
      <c r="L59" s="64">
        <v>3.0</v>
      </c>
      <c r="M59" s="70" t="s">
        <v>415</v>
      </c>
    </row>
    <row r="60">
      <c r="A60" s="59" t="s">
        <v>45</v>
      </c>
      <c r="B60" s="60">
        <v>46030.0</v>
      </c>
      <c r="C60" s="61" t="s">
        <v>68</v>
      </c>
      <c r="D60" s="10" t="s">
        <v>416</v>
      </c>
      <c r="E60" s="12" t="s">
        <v>417</v>
      </c>
      <c r="F60" s="146" t="s">
        <v>74</v>
      </c>
      <c r="G60" s="63" t="s">
        <v>419</v>
      </c>
      <c r="H60" s="64" t="s">
        <v>25</v>
      </c>
      <c r="I60" s="65" t="s">
        <v>83</v>
      </c>
      <c r="J60" s="66">
        <v>46030.0</v>
      </c>
      <c r="K60" s="66">
        <v>46043.0</v>
      </c>
      <c r="L60" s="64">
        <v>2.0</v>
      </c>
      <c r="M60" s="70" t="s">
        <v>420</v>
      </c>
    </row>
    <row r="61">
      <c r="A61" s="89" t="s">
        <v>147</v>
      </c>
      <c r="B61" s="60">
        <v>46031.0</v>
      </c>
      <c r="C61" s="61" t="s">
        <v>68</v>
      </c>
      <c r="D61" s="10" t="s">
        <v>421</v>
      </c>
      <c r="E61" s="12" t="s">
        <v>422</v>
      </c>
      <c r="F61" s="62" t="s">
        <v>83</v>
      </c>
      <c r="G61" s="63" t="s">
        <v>423</v>
      </c>
      <c r="H61" s="64" t="s">
        <v>25</v>
      </c>
      <c r="I61" s="65" t="s">
        <v>58</v>
      </c>
      <c r="J61" s="66">
        <v>46038.0</v>
      </c>
      <c r="K61" s="67"/>
      <c r="L61" s="68"/>
      <c r="M61" s="58" t="s">
        <v>424</v>
      </c>
    </row>
    <row r="62">
      <c r="A62" s="59" t="s">
        <v>45</v>
      </c>
      <c r="B62" s="60">
        <v>46031.0</v>
      </c>
      <c r="C62" s="61" t="s">
        <v>148</v>
      </c>
      <c r="D62" s="10" t="s">
        <v>425</v>
      </c>
      <c r="E62" s="12" t="s">
        <v>426</v>
      </c>
      <c r="F62" s="62" t="s">
        <v>58</v>
      </c>
      <c r="G62" s="95" t="s">
        <v>206</v>
      </c>
      <c r="H62" s="64" t="s">
        <v>25</v>
      </c>
      <c r="I62" s="65"/>
      <c r="J62" s="66">
        <v>46035.0</v>
      </c>
      <c r="K62" s="67"/>
      <c r="L62" s="68"/>
      <c r="M62" s="70" t="s">
        <v>427</v>
      </c>
    </row>
    <row r="63">
      <c r="A63" s="59" t="s">
        <v>45</v>
      </c>
      <c r="B63" s="60">
        <v>46031.0</v>
      </c>
      <c r="C63" s="61" t="s">
        <v>68</v>
      </c>
      <c r="D63" s="10" t="s">
        <v>428</v>
      </c>
      <c r="E63" s="12" t="s">
        <v>429</v>
      </c>
      <c r="F63" s="62" t="s">
        <v>74</v>
      </c>
      <c r="G63" s="63" t="s">
        <v>430</v>
      </c>
      <c r="H63" s="64" t="s">
        <v>25</v>
      </c>
      <c r="I63" s="65" t="s">
        <v>74</v>
      </c>
      <c r="J63" s="66">
        <v>46032.0</v>
      </c>
      <c r="K63" s="66">
        <v>46036.0</v>
      </c>
      <c r="L63" s="64">
        <v>2.0</v>
      </c>
      <c r="M63" s="70" t="s">
        <v>431</v>
      </c>
    </row>
    <row r="64">
      <c r="A64" s="59" t="s">
        <v>45</v>
      </c>
      <c r="B64" s="60">
        <v>46031.0</v>
      </c>
      <c r="C64" s="61" t="s">
        <v>68</v>
      </c>
      <c r="D64" s="10" t="s">
        <v>432</v>
      </c>
      <c r="E64" s="12" t="s">
        <v>433</v>
      </c>
      <c r="F64" s="62" t="s">
        <v>58</v>
      </c>
      <c r="G64" s="149" t="s">
        <v>434</v>
      </c>
      <c r="H64" s="68"/>
      <c r="I64" s="65" t="s">
        <v>58</v>
      </c>
      <c r="J64" s="66">
        <v>46031.0</v>
      </c>
      <c r="K64" s="66">
        <v>46039.0</v>
      </c>
      <c r="L64" s="64">
        <v>2.0</v>
      </c>
      <c r="M64" s="70" t="s">
        <v>436</v>
      </c>
    </row>
    <row r="65">
      <c r="A65" s="59" t="s">
        <v>108</v>
      </c>
      <c r="B65" s="60">
        <v>46032.0</v>
      </c>
      <c r="C65" s="61" t="s">
        <v>148</v>
      </c>
      <c r="D65" s="10" t="s">
        <v>437</v>
      </c>
      <c r="E65" s="12" t="s">
        <v>438</v>
      </c>
      <c r="F65" s="62" t="s">
        <v>58</v>
      </c>
      <c r="G65" s="112" t="s">
        <v>275</v>
      </c>
      <c r="H65" s="64" t="s">
        <v>25</v>
      </c>
      <c r="I65" s="65" t="s">
        <v>58</v>
      </c>
      <c r="J65" s="66">
        <v>46038.0</v>
      </c>
      <c r="K65" s="67"/>
      <c r="L65" s="68"/>
      <c r="M65" s="70" t="s">
        <v>440</v>
      </c>
    </row>
    <row r="66">
      <c r="A66" s="59" t="s">
        <v>67</v>
      </c>
      <c r="B66" s="60">
        <v>46032.0</v>
      </c>
      <c r="C66" s="61" t="s">
        <v>53</v>
      </c>
      <c r="D66" s="10" t="s">
        <v>441</v>
      </c>
      <c r="E66" s="12" t="s">
        <v>442</v>
      </c>
      <c r="F66" s="62" t="s">
        <v>58</v>
      </c>
      <c r="G66" s="63" t="s">
        <v>443</v>
      </c>
      <c r="H66" s="68"/>
      <c r="I66" s="65" t="s">
        <v>58</v>
      </c>
      <c r="J66" s="66">
        <v>46035.0</v>
      </c>
      <c r="K66" s="67"/>
      <c r="L66" s="68"/>
      <c r="M66" s="70" t="s">
        <v>444</v>
      </c>
    </row>
    <row r="67">
      <c r="A67" s="59" t="s">
        <v>45</v>
      </c>
      <c r="B67" s="60">
        <v>46032.0</v>
      </c>
      <c r="C67" s="61" t="s">
        <v>148</v>
      </c>
      <c r="D67" s="10" t="s">
        <v>445</v>
      </c>
      <c r="E67" s="12" t="s">
        <v>446</v>
      </c>
      <c r="F67" s="62" t="s">
        <v>58</v>
      </c>
      <c r="G67" s="112" t="s">
        <v>275</v>
      </c>
      <c r="H67" s="64" t="s">
        <v>25</v>
      </c>
      <c r="I67" s="65" t="s">
        <v>58</v>
      </c>
      <c r="J67" s="66">
        <v>46038.0</v>
      </c>
      <c r="K67" s="67"/>
      <c r="L67" s="68"/>
      <c r="M67" s="70" t="s">
        <v>447</v>
      </c>
    </row>
    <row r="68">
      <c r="A68" s="59" t="s">
        <v>45</v>
      </c>
      <c r="B68" s="60">
        <v>46033.0</v>
      </c>
      <c r="C68" s="61" t="s">
        <v>221</v>
      </c>
      <c r="D68" s="10" t="s">
        <v>448</v>
      </c>
      <c r="E68" s="12" t="s">
        <v>449</v>
      </c>
      <c r="F68" s="62" t="s">
        <v>58</v>
      </c>
      <c r="G68" s="154" t="s">
        <v>450</v>
      </c>
      <c r="H68" s="64" t="s">
        <v>25</v>
      </c>
      <c r="I68" s="65" t="s">
        <v>58</v>
      </c>
      <c r="J68" s="66">
        <v>46035.0</v>
      </c>
      <c r="K68" s="66">
        <v>46046.0</v>
      </c>
      <c r="L68" s="64">
        <v>3.0</v>
      </c>
      <c r="M68" s="70" t="s">
        <v>451</v>
      </c>
    </row>
    <row r="69">
      <c r="A69" s="89" t="s">
        <v>45</v>
      </c>
      <c r="B69" s="60">
        <v>46033.0</v>
      </c>
      <c r="C69" s="61" t="s">
        <v>53</v>
      </c>
      <c r="D69" s="10" t="s">
        <v>453</v>
      </c>
      <c r="E69" s="12" t="s">
        <v>454</v>
      </c>
      <c r="F69" s="62" t="s">
        <v>58</v>
      </c>
      <c r="G69" s="63" t="s">
        <v>455</v>
      </c>
      <c r="H69" s="68"/>
      <c r="I69" s="65" t="s">
        <v>58</v>
      </c>
      <c r="J69" s="66">
        <v>46035.0</v>
      </c>
      <c r="K69" s="67"/>
      <c r="L69" s="68"/>
      <c r="M69" s="70" t="s">
        <v>456</v>
      </c>
    </row>
    <row r="70">
      <c r="A70" s="59" t="s">
        <v>67</v>
      </c>
      <c r="B70" s="60">
        <v>46034.0</v>
      </c>
      <c r="C70" s="61" t="s">
        <v>148</v>
      </c>
      <c r="D70" s="10" t="s">
        <v>457</v>
      </c>
      <c r="E70" s="12" t="s">
        <v>458</v>
      </c>
      <c r="F70" s="62" t="s">
        <v>58</v>
      </c>
      <c r="G70" s="95" t="s">
        <v>206</v>
      </c>
      <c r="H70" s="64" t="s">
        <v>25</v>
      </c>
      <c r="I70" s="65" t="s">
        <v>58</v>
      </c>
      <c r="J70" s="66">
        <v>46035.0</v>
      </c>
      <c r="K70" s="67"/>
      <c r="L70" s="68"/>
      <c r="M70" s="70" t="s">
        <v>459</v>
      </c>
    </row>
    <row r="71">
      <c r="A71" s="59" t="s">
        <v>45</v>
      </c>
      <c r="B71" s="60">
        <v>46034.0</v>
      </c>
      <c r="C71" s="61" t="s">
        <v>221</v>
      </c>
      <c r="D71" s="10" t="s">
        <v>460</v>
      </c>
      <c r="E71" s="12" t="s">
        <v>461</v>
      </c>
      <c r="F71" s="62" t="s">
        <v>58</v>
      </c>
      <c r="G71" s="63" t="s">
        <v>462</v>
      </c>
      <c r="H71" s="64" t="s">
        <v>25</v>
      </c>
      <c r="I71" s="65" t="s">
        <v>58</v>
      </c>
      <c r="J71" s="66">
        <v>46035.0</v>
      </c>
      <c r="K71" s="66">
        <v>46036.0</v>
      </c>
      <c r="L71" s="64">
        <v>2.0</v>
      </c>
      <c r="M71" s="70" t="s">
        <v>463</v>
      </c>
    </row>
    <row r="72">
      <c r="A72" s="89" t="s">
        <v>108</v>
      </c>
      <c r="B72" s="60">
        <v>46035.0</v>
      </c>
      <c r="C72" s="61" t="s">
        <v>148</v>
      </c>
      <c r="D72" s="10" t="s">
        <v>464</v>
      </c>
      <c r="E72" s="12" t="s">
        <v>465</v>
      </c>
      <c r="F72" s="62" t="s">
        <v>58</v>
      </c>
      <c r="G72" s="95" t="s">
        <v>206</v>
      </c>
      <c r="H72" s="64" t="s">
        <v>25</v>
      </c>
      <c r="I72" s="65" t="s">
        <v>74</v>
      </c>
      <c r="J72" s="66">
        <v>46038.0</v>
      </c>
      <c r="K72" s="67"/>
      <c r="L72" s="68"/>
      <c r="M72" s="70" t="s">
        <v>466</v>
      </c>
    </row>
    <row r="73">
      <c r="A73" s="59" t="s">
        <v>108</v>
      </c>
      <c r="B73" s="60">
        <v>46035.0</v>
      </c>
      <c r="C73" s="61" t="s">
        <v>148</v>
      </c>
      <c r="D73" s="10" t="s">
        <v>467</v>
      </c>
      <c r="E73" s="12" t="s">
        <v>468</v>
      </c>
      <c r="F73" s="62" t="s">
        <v>58</v>
      </c>
      <c r="G73" s="95" t="s">
        <v>206</v>
      </c>
      <c r="H73" s="64" t="s">
        <v>25</v>
      </c>
      <c r="I73" s="65" t="s">
        <v>74</v>
      </c>
      <c r="J73" s="66">
        <v>46042.0</v>
      </c>
      <c r="K73" s="67"/>
      <c r="L73" s="68"/>
      <c r="M73" s="70" t="s">
        <v>470</v>
      </c>
    </row>
    <row r="74">
      <c r="A74" s="59" t="s">
        <v>108</v>
      </c>
      <c r="B74" s="60">
        <v>46035.0</v>
      </c>
      <c r="C74" s="61" t="s">
        <v>148</v>
      </c>
      <c r="D74" s="10" t="s">
        <v>471</v>
      </c>
      <c r="E74" s="12" t="s">
        <v>472</v>
      </c>
      <c r="F74" s="62" t="s">
        <v>58</v>
      </c>
      <c r="G74" s="95" t="s">
        <v>206</v>
      </c>
      <c r="H74" s="64" t="s">
        <v>25</v>
      </c>
      <c r="I74" s="65" t="s">
        <v>74</v>
      </c>
      <c r="J74" s="66">
        <v>46038.0</v>
      </c>
      <c r="K74" s="67"/>
      <c r="L74" s="68"/>
      <c r="M74" s="70" t="s">
        <v>473</v>
      </c>
    </row>
    <row r="75">
      <c r="A75" s="59" t="s">
        <v>67</v>
      </c>
      <c r="B75" s="60">
        <v>46035.0</v>
      </c>
      <c r="C75" s="61" t="s">
        <v>221</v>
      </c>
      <c r="D75" s="10" t="s">
        <v>474</v>
      </c>
      <c r="E75" s="12" t="s">
        <v>475</v>
      </c>
      <c r="F75" s="62" t="s">
        <v>58</v>
      </c>
      <c r="G75" s="63" t="s">
        <v>476</v>
      </c>
      <c r="H75" s="64" t="s">
        <v>25</v>
      </c>
      <c r="I75" s="65" t="s">
        <v>74</v>
      </c>
      <c r="J75" s="66">
        <v>46036.0</v>
      </c>
      <c r="K75" s="67"/>
      <c r="L75" s="68"/>
      <c r="M75" s="70" t="s">
        <v>477</v>
      </c>
    </row>
    <row r="76">
      <c r="A76" s="59" t="s">
        <v>67</v>
      </c>
      <c r="B76" s="60">
        <v>46035.0</v>
      </c>
      <c r="C76" s="61" t="s">
        <v>68</v>
      </c>
      <c r="D76" s="10" t="s">
        <v>478</v>
      </c>
      <c r="E76" s="12" t="s">
        <v>479</v>
      </c>
      <c r="F76" s="62" t="s">
        <v>83</v>
      </c>
      <c r="G76" s="63" t="s">
        <v>480</v>
      </c>
      <c r="H76" s="64" t="s">
        <v>25</v>
      </c>
      <c r="I76" s="65" t="s">
        <v>83</v>
      </c>
      <c r="J76" s="66">
        <v>46035.0</v>
      </c>
      <c r="K76" s="67"/>
      <c r="L76" s="68"/>
      <c r="M76" s="70" t="s">
        <v>481</v>
      </c>
    </row>
    <row r="77">
      <c r="A77" s="59" t="s">
        <v>45</v>
      </c>
      <c r="B77" s="60">
        <v>46035.0</v>
      </c>
      <c r="C77" s="61" t="s">
        <v>68</v>
      </c>
      <c r="D77" s="10" t="s">
        <v>482</v>
      </c>
      <c r="E77" s="12" t="s">
        <v>483</v>
      </c>
      <c r="F77" s="62" t="s">
        <v>83</v>
      </c>
      <c r="G77" s="63" t="s">
        <v>484</v>
      </c>
      <c r="H77" s="64" t="s">
        <v>25</v>
      </c>
      <c r="I77" s="65" t="s">
        <v>58</v>
      </c>
      <c r="J77" s="66">
        <v>46035.0</v>
      </c>
      <c r="K77" s="66">
        <v>46049.0</v>
      </c>
      <c r="L77" s="64">
        <v>2.0</v>
      </c>
      <c r="M77" s="58" t="s">
        <v>485</v>
      </c>
    </row>
    <row r="78">
      <c r="A78" s="89" t="s">
        <v>147</v>
      </c>
      <c r="B78" s="60">
        <v>46036.0</v>
      </c>
      <c r="C78" s="61" t="s">
        <v>148</v>
      </c>
      <c r="D78" s="10" t="s">
        <v>486</v>
      </c>
      <c r="E78" s="12" t="s">
        <v>487</v>
      </c>
      <c r="F78" s="62" t="s">
        <v>58</v>
      </c>
      <c r="G78" s="112" t="s">
        <v>275</v>
      </c>
      <c r="H78" s="64" t="s">
        <v>25</v>
      </c>
      <c r="I78" s="65" t="s">
        <v>58</v>
      </c>
      <c r="J78" s="66">
        <v>46038.0</v>
      </c>
      <c r="K78" s="67"/>
      <c r="L78" s="68"/>
      <c r="M78" s="70" t="s">
        <v>489</v>
      </c>
    </row>
    <row r="79">
      <c r="A79" s="89" t="s">
        <v>147</v>
      </c>
      <c r="B79" s="60">
        <v>46036.0</v>
      </c>
      <c r="C79" s="61" t="s">
        <v>148</v>
      </c>
      <c r="D79" s="10" t="s">
        <v>490</v>
      </c>
      <c r="E79" s="12" t="s">
        <v>491</v>
      </c>
      <c r="F79" s="62" t="s">
        <v>58</v>
      </c>
      <c r="G79" s="98" t="s">
        <v>197</v>
      </c>
      <c r="H79" s="64" t="s">
        <v>25</v>
      </c>
      <c r="I79" s="65" t="s">
        <v>58</v>
      </c>
      <c r="J79" s="66">
        <v>46042.0</v>
      </c>
      <c r="K79" s="67"/>
      <c r="L79" s="68"/>
      <c r="M79" s="70" t="s">
        <v>182</v>
      </c>
    </row>
    <row r="80">
      <c r="A80" s="59" t="s">
        <v>108</v>
      </c>
      <c r="B80" s="60">
        <v>46036.0</v>
      </c>
      <c r="C80" s="61" t="s">
        <v>148</v>
      </c>
      <c r="D80" s="10" t="s">
        <v>492</v>
      </c>
      <c r="E80" s="12" t="s">
        <v>493</v>
      </c>
      <c r="F80" s="62" t="s">
        <v>58</v>
      </c>
      <c r="G80" s="98" t="s">
        <v>197</v>
      </c>
      <c r="H80" s="64" t="s">
        <v>25</v>
      </c>
      <c r="I80" s="65" t="s">
        <v>58</v>
      </c>
      <c r="J80" s="66">
        <v>46038.0</v>
      </c>
      <c r="K80" s="67"/>
      <c r="L80" s="68"/>
      <c r="M80" s="70" t="s">
        <v>494</v>
      </c>
    </row>
    <row r="81">
      <c r="A81" s="59" t="s">
        <v>108</v>
      </c>
      <c r="B81" s="60">
        <v>46036.0</v>
      </c>
      <c r="C81" s="61" t="s">
        <v>68</v>
      </c>
      <c r="D81" s="10" t="s">
        <v>496</v>
      </c>
      <c r="E81" s="12" t="s">
        <v>497</v>
      </c>
      <c r="F81" s="62" t="s">
        <v>74</v>
      </c>
      <c r="G81" s="63" t="s">
        <v>498</v>
      </c>
      <c r="H81" s="64" t="s">
        <v>25</v>
      </c>
      <c r="I81" s="65" t="s">
        <v>74</v>
      </c>
      <c r="J81" s="66">
        <v>46036.0</v>
      </c>
      <c r="K81" s="64" t="s">
        <v>400</v>
      </c>
      <c r="L81" s="68"/>
      <c r="M81" s="70" t="s">
        <v>499</v>
      </c>
    </row>
    <row r="82">
      <c r="A82" s="59" t="s">
        <v>108</v>
      </c>
      <c r="B82" s="60">
        <v>46036.0</v>
      </c>
      <c r="C82" s="61" t="s">
        <v>68</v>
      </c>
      <c r="D82" s="10" t="s">
        <v>500</v>
      </c>
      <c r="E82" s="12" t="s">
        <v>501</v>
      </c>
      <c r="F82" s="62" t="s">
        <v>83</v>
      </c>
      <c r="G82" s="63" t="s">
        <v>502</v>
      </c>
      <c r="H82" s="64" t="s">
        <v>25</v>
      </c>
      <c r="I82" s="65" t="s">
        <v>58</v>
      </c>
      <c r="J82" s="66">
        <v>46038.0</v>
      </c>
      <c r="K82" s="67"/>
      <c r="L82" s="68"/>
      <c r="M82" s="70" t="s">
        <v>503</v>
      </c>
    </row>
    <row r="83">
      <c r="A83" s="59" t="s">
        <v>108</v>
      </c>
      <c r="B83" s="60">
        <v>46036.0</v>
      </c>
      <c r="C83" s="61" t="s">
        <v>68</v>
      </c>
      <c r="D83" s="10" t="s">
        <v>504</v>
      </c>
      <c r="E83" s="12" t="s">
        <v>505</v>
      </c>
      <c r="F83" s="62" t="s">
        <v>74</v>
      </c>
      <c r="G83" s="63" t="s">
        <v>506</v>
      </c>
      <c r="H83" s="64" t="s">
        <v>25</v>
      </c>
      <c r="I83" s="65" t="s">
        <v>74</v>
      </c>
      <c r="J83" s="66">
        <v>46036.0</v>
      </c>
      <c r="K83" s="67"/>
      <c r="L83" s="68"/>
      <c r="M83" s="58" t="s">
        <v>507</v>
      </c>
    </row>
    <row r="84">
      <c r="A84" s="89" t="s">
        <v>45</v>
      </c>
      <c r="B84" s="60">
        <v>46036.0</v>
      </c>
      <c r="C84" s="61" t="s">
        <v>148</v>
      </c>
      <c r="D84" s="10" t="s">
        <v>508</v>
      </c>
      <c r="E84" s="12" t="s">
        <v>509</v>
      </c>
      <c r="F84" s="62" t="s">
        <v>58</v>
      </c>
      <c r="G84" s="95" t="s">
        <v>206</v>
      </c>
      <c r="H84" s="64" t="s">
        <v>25</v>
      </c>
      <c r="I84" s="65" t="s">
        <v>74</v>
      </c>
      <c r="J84" s="66">
        <v>46038.0</v>
      </c>
      <c r="K84" s="66">
        <v>46049.0</v>
      </c>
      <c r="L84" s="64">
        <v>1.0</v>
      </c>
      <c r="M84" s="70" t="s">
        <v>511</v>
      </c>
    </row>
    <row r="85">
      <c r="A85" s="59" t="s">
        <v>45</v>
      </c>
      <c r="B85" s="60">
        <v>46036.0</v>
      </c>
      <c r="C85" s="61" t="s">
        <v>148</v>
      </c>
      <c r="D85" s="10" t="s">
        <v>512</v>
      </c>
      <c r="E85" s="12" t="s">
        <v>513</v>
      </c>
      <c r="F85" s="62" t="s">
        <v>58</v>
      </c>
      <c r="G85" s="98" t="s">
        <v>197</v>
      </c>
      <c r="H85" s="64" t="s">
        <v>25</v>
      </c>
      <c r="I85" s="65" t="s">
        <v>58</v>
      </c>
      <c r="J85" s="66">
        <v>46042.0</v>
      </c>
      <c r="K85" s="67"/>
      <c r="L85" s="68"/>
      <c r="M85" s="70" t="s">
        <v>514</v>
      </c>
    </row>
    <row r="86">
      <c r="A86" s="59" t="s">
        <v>45</v>
      </c>
      <c r="B86" s="60">
        <v>46036.0</v>
      </c>
      <c r="C86" s="61" t="s">
        <v>68</v>
      </c>
      <c r="D86" s="10" t="s">
        <v>515</v>
      </c>
      <c r="E86" s="12" t="s">
        <v>516</v>
      </c>
      <c r="F86" s="62" t="s">
        <v>74</v>
      </c>
      <c r="G86" s="63" t="s">
        <v>517</v>
      </c>
      <c r="H86" s="64" t="s">
        <v>25</v>
      </c>
      <c r="I86" s="65" t="s">
        <v>74</v>
      </c>
      <c r="J86" s="66">
        <v>46036.0</v>
      </c>
      <c r="K86" s="66">
        <v>46069.0</v>
      </c>
      <c r="L86" s="64">
        <v>5.0</v>
      </c>
      <c r="M86" s="70"/>
    </row>
    <row r="87">
      <c r="A87" s="89" t="s">
        <v>147</v>
      </c>
      <c r="B87" s="60">
        <v>46037.0</v>
      </c>
      <c r="C87" s="61" t="s">
        <v>148</v>
      </c>
      <c r="D87" s="10" t="s">
        <v>518</v>
      </c>
      <c r="E87" s="12" t="s">
        <v>519</v>
      </c>
      <c r="F87" s="62" t="s">
        <v>58</v>
      </c>
      <c r="G87" s="98" t="s">
        <v>197</v>
      </c>
      <c r="H87" s="64" t="s">
        <v>25</v>
      </c>
      <c r="I87" s="65" t="s">
        <v>58</v>
      </c>
      <c r="J87" s="66">
        <v>46042.0</v>
      </c>
      <c r="K87" s="67"/>
      <c r="L87" s="68"/>
      <c r="M87" s="70" t="s">
        <v>182</v>
      </c>
    </row>
    <row r="88">
      <c r="A88" s="89" t="s">
        <v>147</v>
      </c>
      <c r="B88" s="60">
        <v>46037.0</v>
      </c>
      <c r="C88" s="61" t="s">
        <v>148</v>
      </c>
      <c r="D88" s="10" t="s">
        <v>520</v>
      </c>
      <c r="E88" s="12" t="s">
        <v>521</v>
      </c>
      <c r="F88" s="62" t="s">
        <v>58</v>
      </c>
      <c r="G88" s="91" t="s">
        <v>160</v>
      </c>
      <c r="H88" s="64" t="s">
        <v>25</v>
      </c>
      <c r="I88" s="65" t="s">
        <v>58</v>
      </c>
      <c r="J88" s="66">
        <v>46042.0</v>
      </c>
      <c r="K88" s="67"/>
      <c r="L88" s="68"/>
      <c r="M88" s="70" t="s">
        <v>522</v>
      </c>
    </row>
    <row r="89">
      <c r="A89" s="89" t="s">
        <v>147</v>
      </c>
      <c r="B89" s="60">
        <v>46037.0</v>
      </c>
      <c r="C89" s="61" t="s">
        <v>148</v>
      </c>
      <c r="D89" s="10" t="s">
        <v>523</v>
      </c>
      <c r="E89" s="12" t="s">
        <v>524</v>
      </c>
      <c r="F89" s="62" t="s">
        <v>58</v>
      </c>
      <c r="G89" s="95" t="s">
        <v>206</v>
      </c>
      <c r="H89" s="64" t="s">
        <v>25</v>
      </c>
      <c r="I89" s="65" t="s">
        <v>58</v>
      </c>
      <c r="J89" s="66">
        <v>46042.0</v>
      </c>
      <c r="K89" s="67"/>
      <c r="L89" s="68"/>
      <c r="M89" s="70" t="s">
        <v>190</v>
      </c>
    </row>
    <row r="90">
      <c r="A90" s="59" t="s">
        <v>108</v>
      </c>
      <c r="B90" s="60">
        <v>46037.0</v>
      </c>
      <c r="C90" s="61" t="s">
        <v>148</v>
      </c>
      <c r="D90" s="10" t="s">
        <v>525</v>
      </c>
      <c r="E90" s="12" t="s">
        <v>526</v>
      </c>
      <c r="F90" s="62" t="s">
        <v>58</v>
      </c>
      <c r="G90" s="91" t="s">
        <v>160</v>
      </c>
      <c r="H90" s="64" t="s">
        <v>25</v>
      </c>
      <c r="I90" s="65" t="s">
        <v>58</v>
      </c>
      <c r="J90" s="66">
        <v>46038.0</v>
      </c>
      <c r="K90" s="67"/>
      <c r="L90" s="68"/>
      <c r="M90" s="70" t="s">
        <v>527</v>
      </c>
    </row>
    <row r="91">
      <c r="A91" s="59" t="s">
        <v>108</v>
      </c>
      <c r="B91" s="60">
        <v>46037.0</v>
      </c>
      <c r="C91" s="61" t="s">
        <v>148</v>
      </c>
      <c r="D91" s="10" t="s">
        <v>528</v>
      </c>
      <c r="E91" s="12" t="s">
        <v>529</v>
      </c>
      <c r="F91" s="62" t="s">
        <v>58</v>
      </c>
      <c r="G91" s="91" t="s">
        <v>160</v>
      </c>
      <c r="H91" s="64" t="s">
        <v>25</v>
      </c>
      <c r="I91" s="65" t="s">
        <v>58</v>
      </c>
      <c r="J91" s="66">
        <v>46038.0</v>
      </c>
      <c r="K91" s="67"/>
      <c r="L91" s="68"/>
      <c r="M91" s="70" t="s">
        <v>530</v>
      </c>
    </row>
    <row r="92">
      <c r="A92" s="59" t="s">
        <v>67</v>
      </c>
      <c r="B92" s="60">
        <v>46037.0</v>
      </c>
      <c r="C92" s="61" t="s">
        <v>148</v>
      </c>
      <c r="D92" s="10" t="s">
        <v>531</v>
      </c>
      <c r="E92" s="12" t="s">
        <v>532</v>
      </c>
      <c r="F92" s="62" t="s">
        <v>58</v>
      </c>
      <c r="G92" s="95" t="s">
        <v>206</v>
      </c>
      <c r="H92" s="64" t="s">
        <v>25</v>
      </c>
      <c r="I92" s="75" t="s">
        <v>74</v>
      </c>
      <c r="J92" s="77">
        <v>46077.0</v>
      </c>
      <c r="K92" s="67"/>
      <c r="L92" s="68"/>
      <c r="M92" s="136" t="s">
        <v>533</v>
      </c>
    </row>
    <row r="93">
      <c r="A93" s="59" t="s">
        <v>67</v>
      </c>
      <c r="B93" s="60">
        <v>46037.0</v>
      </c>
      <c r="C93" s="61" t="s">
        <v>148</v>
      </c>
      <c r="D93" s="10" t="s">
        <v>534</v>
      </c>
      <c r="E93" s="12" t="s">
        <v>535</v>
      </c>
      <c r="F93" s="62" t="s">
        <v>58</v>
      </c>
      <c r="G93" s="98" t="s">
        <v>197</v>
      </c>
      <c r="H93" s="64" t="s">
        <v>25</v>
      </c>
      <c r="I93" s="65" t="s">
        <v>58</v>
      </c>
      <c r="J93" s="66">
        <v>46042.0</v>
      </c>
      <c r="K93" s="67"/>
      <c r="L93" s="68"/>
      <c r="M93" s="166" t="s">
        <v>536</v>
      </c>
    </row>
    <row r="94">
      <c r="A94" s="59" t="s">
        <v>67</v>
      </c>
      <c r="B94" s="60">
        <v>46037.0</v>
      </c>
      <c r="C94" s="61" t="s">
        <v>53</v>
      </c>
      <c r="D94" s="10" t="s">
        <v>537</v>
      </c>
      <c r="E94" s="12" t="s">
        <v>538</v>
      </c>
      <c r="F94" s="62" t="s">
        <v>58</v>
      </c>
      <c r="G94" s="63" t="s">
        <v>539</v>
      </c>
      <c r="H94" s="68"/>
      <c r="I94" s="65" t="s">
        <v>58</v>
      </c>
      <c r="J94" s="66">
        <v>46039.0</v>
      </c>
      <c r="K94" s="67"/>
      <c r="L94" s="68"/>
      <c r="M94" s="70" t="s">
        <v>540</v>
      </c>
    </row>
    <row r="95">
      <c r="A95" s="59" t="s">
        <v>45</v>
      </c>
      <c r="B95" s="60">
        <v>46037.0</v>
      </c>
      <c r="C95" s="61" t="s">
        <v>148</v>
      </c>
      <c r="D95" s="10" t="s">
        <v>541</v>
      </c>
      <c r="E95" s="12" t="s">
        <v>542</v>
      </c>
      <c r="F95" s="62" t="s">
        <v>58</v>
      </c>
      <c r="G95" s="95" t="s">
        <v>206</v>
      </c>
      <c r="H95" s="64" t="s">
        <v>25</v>
      </c>
      <c r="I95" s="65" t="s">
        <v>58</v>
      </c>
      <c r="J95" s="66">
        <v>46038.0</v>
      </c>
      <c r="K95" s="67"/>
      <c r="L95" s="68"/>
      <c r="M95" s="70" t="s">
        <v>543</v>
      </c>
    </row>
    <row r="96">
      <c r="A96" s="89" t="s">
        <v>45</v>
      </c>
      <c r="B96" s="60">
        <v>46037.0</v>
      </c>
      <c r="C96" s="61" t="s">
        <v>53</v>
      </c>
      <c r="D96" s="10" t="s">
        <v>544</v>
      </c>
      <c r="E96" s="12" t="s">
        <v>545</v>
      </c>
      <c r="F96" s="62" t="s">
        <v>83</v>
      </c>
      <c r="G96" s="63" t="s">
        <v>414</v>
      </c>
      <c r="H96" s="64" t="s">
        <v>25</v>
      </c>
      <c r="I96" s="65" t="s">
        <v>58</v>
      </c>
      <c r="J96" s="66">
        <v>46039.0</v>
      </c>
      <c r="K96" s="77">
        <v>46058.0</v>
      </c>
      <c r="L96" s="168">
        <v>3.0</v>
      </c>
      <c r="M96" s="58" t="s">
        <v>546</v>
      </c>
    </row>
    <row r="97">
      <c r="A97" s="89" t="s">
        <v>147</v>
      </c>
      <c r="B97" s="60">
        <v>46038.0</v>
      </c>
      <c r="C97" s="61" t="s">
        <v>148</v>
      </c>
      <c r="D97" s="10" t="s">
        <v>547</v>
      </c>
      <c r="E97" s="12" t="s">
        <v>548</v>
      </c>
      <c r="F97" s="62" t="s">
        <v>58</v>
      </c>
      <c r="G97" s="91" t="s">
        <v>160</v>
      </c>
      <c r="H97" s="64" t="s">
        <v>25</v>
      </c>
      <c r="I97" s="65" t="s">
        <v>58</v>
      </c>
      <c r="J97" s="66">
        <v>46042.0</v>
      </c>
      <c r="K97" s="67"/>
      <c r="L97" s="68"/>
      <c r="M97" s="70" t="s">
        <v>549</v>
      </c>
    </row>
    <row r="98">
      <c r="A98" s="89" t="s">
        <v>147</v>
      </c>
      <c r="B98" s="60">
        <v>46038.0</v>
      </c>
      <c r="C98" s="61" t="s">
        <v>148</v>
      </c>
      <c r="D98" s="10" t="s">
        <v>550</v>
      </c>
      <c r="E98" s="12" t="s">
        <v>551</v>
      </c>
      <c r="F98" s="62" t="s">
        <v>58</v>
      </c>
      <c r="G98" s="95" t="s">
        <v>206</v>
      </c>
      <c r="H98" s="64" t="s">
        <v>25</v>
      </c>
      <c r="I98" s="65" t="s">
        <v>58</v>
      </c>
      <c r="J98" s="66">
        <v>46042.0</v>
      </c>
      <c r="K98" s="67"/>
      <c r="L98" s="68"/>
      <c r="M98" s="70" t="s">
        <v>190</v>
      </c>
    </row>
    <row r="99">
      <c r="A99" s="89" t="s">
        <v>147</v>
      </c>
      <c r="B99" s="60">
        <v>46038.0</v>
      </c>
      <c r="C99" s="61" t="s">
        <v>148</v>
      </c>
      <c r="D99" s="10" t="s">
        <v>552</v>
      </c>
      <c r="E99" s="12" t="s">
        <v>553</v>
      </c>
      <c r="F99" s="62" t="s">
        <v>58</v>
      </c>
      <c r="G99" s="95" t="s">
        <v>206</v>
      </c>
      <c r="H99" s="64" t="s">
        <v>25</v>
      </c>
      <c r="I99" s="65" t="s">
        <v>58</v>
      </c>
      <c r="J99" s="66">
        <v>46042.0</v>
      </c>
      <c r="K99" s="67"/>
      <c r="L99" s="68"/>
      <c r="M99" s="70" t="s">
        <v>182</v>
      </c>
    </row>
    <row r="100">
      <c r="A100" s="89" t="s">
        <v>147</v>
      </c>
      <c r="B100" s="60">
        <v>46038.0</v>
      </c>
      <c r="C100" s="61" t="s">
        <v>148</v>
      </c>
      <c r="D100" s="10" t="s">
        <v>554</v>
      </c>
      <c r="E100" s="12" t="s">
        <v>555</v>
      </c>
      <c r="F100" s="62" t="s">
        <v>58</v>
      </c>
      <c r="G100" s="95" t="s">
        <v>206</v>
      </c>
      <c r="H100" s="64" t="s">
        <v>25</v>
      </c>
      <c r="I100" s="65" t="s">
        <v>58</v>
      </c>
      <c r="J100" s="66">
        <v>46042.0</v>
      </c>
      <c r="K100" s="67"/>
      <c r="L100" s="68"/>
      <c r="M100" s="70" t="s">
        <v>182</v>
      </c>
    </row>
    <row r="101">
      <c r="A101" s="89" t="s">
        <v>147</v>
      </c>
      <c r="B101" s="60">
        <v>46038.0</v>
      </c>
      <c r="C101" s="61" t="s">
        <v>148</v>
      </c>
      <c r="D101" s="10" t="s">
        <v>556</v>
      </c>
      <c r="E101" s="12" t="s">
        <v>557</v>
      </c>
      <c r="F101" s="62" t="s">
        <v>58</v>
      </c>
      <c r="G101" s="91" t="s">
        <v>160</v>
      </c>
      <c r="H101" s="64" t="s">
        <v>25</v>
      </c>
      <c r="I101" s="65" t="s">
        <v>58</v>
      </c>
      <c r="J101" s="66">
        <v>46042.0</v>
      </c>
      <c r="K101" s="67"/>
      <c r="L101" s="68"/>
      <c r="M101" s="70" t="s">
        <v>182</v>
      </c>
    </row>
    <row r="102">
      <c r="A102" s="59" t="s">
        <v>67</v>
      </c>
      <c r="B102" s="60">
        <v>46038.0</v>
      </c>
      <c r="C102" s="61" t="s">
        <v>68</v>
      </c>
      <c r="D102" s="10" t="s">
        <v>558</v>
      </c>
      <c r="E102" s="12" t="s">
        <v>559</v>
      </c>
      <c r="F102" s="62" t="s">
        <v>58</v>
      </c>
      <c r="G102" s="63" t="s">
        <v>560</v>
      </c>
      <c r="H102" s="64" t="s">
        <v>25</v>
      </c>
      <c r="I102" s="65" t="s">
        <v>83</v>
      </c>
      <c r="J102" s="66">
        <v>46039.0</v>
      </c>
      <c r="K102" s="67"/>
      <c r="L102" s="68"/>
      <c r="M102" s="70" t="s">
        <v>561</v>
      </c>
    </row>
    <row r="104">
      <c r="A104" s="59" t="s">
        <v>45</v>
      </c>
      <c r="B104" s="60">
        <v>46038.0</v>
      </c>
      <c r="C104" s="61" t="s">
        <v>148</v>
      </c>
      <c r="D104" s="10" t="s">
        <v>562</v>
      </c>
      <c r="E104" s="12" t="s">
        <v>563</v>
      </c>
      <c r="F104" s="62" t="s">
        <v>58</v>
      </c>
      <c r="G104" s="95" t="s">
        <v>206</v>
      </c>
      <c r="H104" s="64" t="s">
        <v>25</v>
      </c>
      <c r="I104" s="65" t="s">
        <v>58</v>
      </c>
      <c r="J104" s="66">
        <v>46042.0</v>
      </c>
      <c r="K104" s="67"/>
      <c r="L104" s="68"/>
      <c r="M104" s="70" t="s">
        <v>564</v>
      </c>
    </row>
    <row r="105">
      <c r="A105" s="89" t="s">
        <v>45</v>
      </c>
      <c r="B105" s="60">
        <v>46038.0</v>
      </c>
      <c r="C105" s="61" t="s">
        <v>53</v>
      </c>
      <c r="D105" s="10" t="s">
        <v>565</v>
      </c>
      <c r="E105" s="12" t="s">
        <v>566</v>
      </c>
      <c r="F105" s="62" t="s">
        <v>74</v>
      </c>
      <c r="G105" s="63" t="s">
        <v>567</v>
      </c>
      <c r="H105" s="68"/>
      <c r="I105" s="65" t="s">
        <v>58</v>
      </c>
      <c r="J105" s="66">
        <v>46042.0</v>
      </c>
      <c r="K105" s="135">
        <v>46095.0</v>
      </c>
      <c r="L105" s="33">
        <v>4.0</v>
      </c>
      <c r="M105" s="70" t="s">
        <v>568</v>
      </c>
    </row>
    <row r="106">
      <c r="A106" s="59" t="s">
        <v>45</v>
      </c>
      <c r="B106" s="60">
        <v>46038.0</v>
      </c>
      <c r="C106" s="61" t="s">
        <v>68</v>
      </c>
      <c r="D106" s="10" t="s">
        <v>569</v>
      </c>
      <c r="E106" s="12" t="s">
        <v>570</v>
      </c>
      <c r="F106" s="62" t="s">
        <v>74</v>
      </c>
      <c r="G106" s="63" t="s">
        <v>571</v>
      </c>
      <c r="H106" s="64" t="s">
        <v>25</v>
      </c>
      <c r="I106" s="65"/>
      <c r="J106" s="60">
        <v>46038.0</v>
      </c>
      <c r="K106" s="67"/>
      <c r="L106" s="68"/>
      <c r="M106" s="70" t="s">
        <v>572</v>
      </c>
    </row>
    <row r="107">
      <c r="A107" s="89" t="s">
        <v>147</v>
      </c>
      <c r="B107" s="60">
        <v>46039.0</v>
      </c>
      <c r="C107" s="61" t="s">
        <v>148</v>
      </c>
      <c r="D107" s="10" t="s">
        <v>573</v>
      </c>
      <c r="E107" s="12" t="s">
        <v>574</v>
      </c>
      <c r="F107" s="62" t="s">
        <v>58</v>
      </c>
      <c r="G107" s="95" t="s">
        <v>206</v>
      </c>
      <c r="H107" s="64" t="s">
        <v>25</v>
      </c>
      <c r="I107" s="65" t="s">
        <v>58</v>
      </c>
      <c r="J107" s="66">
        <v>46042.0</v>
      </c>
      <c r="K107" s="67"/>
      <c r="L107" s="68"/>
      <c r="M107" s="70" t="s">
        <v>182</v>
      </c>
    </row>
    <row r="108">
      <c r="A108" s="89" t="s">
        <v>147</v>
      </c>
      <c r="B108" s="60">
        <v>46039.0</v>
      </c>
      <c r="C108" s="61" t="s">
        <v>148</v>
      </c>
      <c r="D108" s="10" t="s">
        <v>575</v>
      </c>
      <c r="E108" s="12" t="s">
        <v>576</v>
      </c>
      <c r="F108" s="62" t="s">
        <v>58</v>
      </c>
      <c r="G108" s="91" t="s">
        <v>160</v>
      </c>
      <c r="H108" s="64" t="s">
        <v>25</v>
      </c>
      <c r="I108" s="65" t="s">
        <v>58</v>
      </c>
      <c r="J108" s="66">
        <v>46042.0</v>
      </c>
      <c r="K108" s="67"/>
      <c r="L108" s="68"/>
      <c r="M108" s="70" t="s">
        <v>182</v>
      </c>
    </row>
    <row r="109">
      <c r="A109" s="89" t="s">
        <v>147</v>
      </c>
      <c r="B109" s="60">
        <v>46039.0</v>
      </c>
      <c r="C109" s="61" t="s">
        <v>148</v>
      </c>
      <c r="D109" s="10" t="s">
        <v>577</v>
      </c>
      <c r="E109" s="12" t="s">
        <v>578</v>
      </c>
      <c r="F109" s="62" t="s">
        <v>58</v>
      </c>
      <c r="G109" s="91" t="s">
        <v>160</v>
      </c>
      <c r="H109" s="64" t="s">
        <v>25</v>
      </c>
      <c r="I109" s="65" t="s">
        <v>58</v>
      </c>
      <c r="J109" s="66">
        <v>46042.0</v>
      </c>
      <c r="K109" s="67"/>
      <c r="L109" s="68"/>
      <c r="M109" s="70" t="s">
        <v>182</v>
      </c>
    </row>
    <row r="110">
      <c r="A110" s="89" t="s">
        <v>147</v>
      </c>
      <c r="B110" s="60">
        <v>46039.0</v>
      </c>
      <c r="C110" s="61" t="s">
        <v>148</v>
      </c>
      <c r="D110" s="10" t="s">
        <v>579</v>
      </c>
      <c r="E110" s="12" t="s">
        <v>580</v>
      </c>
      <c r="F110" s="62" t="s">
        <v>58</v>
      </c>
      <c r="G110" s="91" t="s">
        <v>160</v>
      </c>
      <c r="H110" s="64" t="s">
        <v>25</v>
      </c>
      <c r="I110" s="65" t="s">
        <v>58</v>
      </c>
      <c r="J110" s="66">
        <v>46042.0</v>
      </c>
      <c r="K110" s="67"/>
      <c r="L110" s="68"/>
      <c r="M110" s="70" t="s">
        <v>190</v>
      </c>
    </row>
    <row r="111">
      <c r="A111" s="59" t="s">
        <v>108</v>
      </c>
      <c r="B111" s="60">
        <v>46039.0</v>
      </c>
      <c r="C111" s="61" t="s">
        <v>148</v>
      </c>
      <c r="D111" s="10" t="s">
        <v>581</v>
      </c>
      <c r="E111" s="12" t="s">
        <v>582</v>
      </c>
      <c r="F111" s="62" t="s">
        <v>58</v>
      </c>
      <c r="G111" s="112" t="s">
        <v>275</v>
      </c>
      <c r="H111" s="64" t="s">
        <v>25</v>
      </c>
      <c r="I111" s="65" t="s">
        <v>58</v>
      </c>
      <c r="J111" s="66">
        <v>46042.0</v>
      </c>
      <c r="K111" s="67"/>
      <c r="L111" s="68"/>
      <c r="M111" s="70" t="s">
        <v>583</v>
      </c>
    </row>
    <row r="112">
      <c r="A112" s="59" t="s">
        <v>108</v>
      </c>
      <c r="B112" s="60">
        <v>46039.0</v>
      </c>
      <c r="C112" s="61" t="s">
        <v>148</v>
      </c>
      <c r="D112" s="10" t="s">
        <v>584</v>
      </c>
      <c r="E112" s="12" t="s">
        <v>585</v>
      </c>
      <c r="F112" s="62" t="s">
        <v>58</v>
      </c>
      <c r="G112" s="91" t="s">
        <v>160</v>
      </c>
      <c r="H112" s="64" t="s">
        <v>25</v>
      </c>
      <c r="I112" s="65" t="s">
        <v>58</v>
      </c>
      <c r="J112" s="66">
        <v>46042.0</v>
      </c>
      <c r="K112" s="67"/>
      <c r="L112" s="68"/>
      <c r="M112" s="70" t="s">
        <v>586</v>
      </c>
    </row>
    <row r="113">
      <c r="A113" s="59" t="s">
        <v>108</v>
      </c>
      <c r="B113" s="60">
        <v>46039.0</v>
      </c>
      <c r="C113" s="61" t="s">
        <v>148</v>
      </c>
      <c r="D113" s="10" t="s">
        <v>587</v>
      </c>
      <c r="E113" s="12" t="s">
        <v>588</v>
      </c>
      <c r="F113" s="62" t="s">
        <v>58</v>
      </c>
      <c r="G113" s="91" t="s">
        <v>160</v>
      </c>
      <c r="H113" s="64" t="s">
        <v>25</v>
      </c>
      <c r="I113" s="65" t="s">
        <v>58</v>
      </c>
      <c r="J113" s="66">
        <v>46042.0</v>
      </c>
      <c r="K113" s="67"/>
      <c r="L113" s="68"/>
      <c r="M113" s="70" t="s">
        <v>589</v>
      </c>
    </row>
    <row r="114">
      <c r="A114" s="59" t="s">
        <v>108</v>
      </c>
      <c r="B114" s="60">
        <v>46039.0</v>
      </c>
      <c r="C114" s="61" t="s">
        <v>148</v>
      </c>
      <c r="D114" s="10" t="s">
        <v>590</v>
      </c>
      <c r="E114" s="12" t="s">
        <v>591</v>
      </c>
      <c r="F114" s="62" t="s">
        <v>58</v>
      </c>
      <c r="G114" s="91" t="s">
        <v>160</v>
      </c>
      <c r="H114" s="64" t="s">
        <v>25</v>
      </c>
      <c r="I114" s="65" t="s">
        <v>58</v>
      </c>
      <c r="J114" s="66">
        <v>46042.0</v>
      </c>
      <c r="K114" s="67"/>
      <c r="L114" s="68"/>
      <c r="M114" s="70" t="s">
        <v>592</v>
      </c>
    </row>
    <row r="115">
      <c r="A115" s="59" t="s">
        <v>108</v>
      </c>
      <c r="B115" s="60">
        <v>46039.0</v>
      </c>
      <c r="C115" s="61" t="s">
        <v>148</v>
      </c>
      <c r="D115" s="10" t="s">
        <v>593</v>
      </c>
      <c r="E115" s="12" t="s">
        <v>594</v>
      </c>
      <c r="F115" s="62" t="s">
        <v>58</v>
      </c>
      <c r="G115" s="95" t="s">
        <v>206</v>
      </c>
      <c r="H115" s="64" t="s">
        <v>25</v>
      </c>
      <c r="I115" s="65" t="s">
        <v>58</v>
      </c>
      <c r="J115" s="66">
        <v>46042.0</v>
      </c>
      <c r="K115" s="67"/>
      <c r="L115" s="68"/>
      <c r="M115" s="70" t="s">
        <v>595</v>
      </c>
    </row>
    <row r="116">
      <c r="A116" s="59" t="s">
        <v>108</v>
      </c>
      <c r="B116" s="60">
        <v>46039.0</v>
      </c>
      <c r="C116" s="61" t="s">
        <v>68</v>
      </c>
      <c r="D116" s="10" t="s">
        <v>596</v>
      </c>
      <c r="E116" s="12" t="s">
        <v>597</v>
      </c>
      <c r="F116" s="62" t="s">
        <v>83</v>
      </c>
      <c r="G116" s="63" t="s">
        <v>598</v>
      </c>
      <c r="H116" s="64" t="s">
        <v>25</v>
      </c>
      <c r="I116" s="65" t="s">
        <v>58</v>
      </c>
      <c r="J116" s="66">
        <v>46042.0</v>
      </c>
      <c r="K116" s="67"/>
      <c r="L116" s="68"/>
      <c r="M116" s="70" t="s">
        <v>599</v>
      </c>
    </row>
    <row r="117">
      <c r="A117" s="59" t="s">
        <v>67</v>
      </c>
      <c r="B117" s="60">
        <v>46039.0</v>
      </c>
      <c r="C117" s="61" t="s">
        <v>53</v>
      </c>
      <c r="D117" s="10" t="s">
        <v>600</v>
      </c>
      <c r="E117" s="12" t="s">
        <v>601</v>
      </c>
      <c r="F117" s="62" t="s">
        <v>83</v>
      </c>
      <c r="G117" s="63" t="s">
        <v>602</v>
      </c>
      <c r="H117" s="68"/>
      <c r="I117" s="65" t="s">
        <v>58</v>
      </c>
      <c r="J117" s="66">
        <v>46042.0</v>
      </c>
      <c r="K117" s="67"/>
      <c r="L117" s="68"/>
      <c r="M117" s="70" t="s">
        <v>603</v>
      </c>
    </row>
    <row r="118">
      <c r="A118" s="59" t="s">
        <v>45</v>
      </c>
      <c r="B118" s="60">
        <v>46039.0</v>
      </c>
      <c r="C118" s="61" t="s">
        <v>148</v>
      </c>
      <c r="D118" s="10" t="s">
        <v>604</v>
      </c>
      <c r="E118" s="12" t="s">
        <v>605</v>
      </c>
      <c r="F118" s="62" t="s">
        <v>58</v>
      </c>
      <c r="G118" s="112" t="s">
        <v>275</v>
      </c>
      <c r="H118" s="64" t="s">
        <v>25</v>
      </c>
      <c r="I118" s="65" t="s">
        <v>58</v>
      </c>
      <c r="J118" s="66">
        <v>46042.0</v>
      </c>
      <c r="K118" s="67"/>
      <c r="L118" s="68"/>
      <c r="M118" s="70" t="s">
        <v>606</v>
      </c>
    </row>
    <row r="119">
      <c r="A119" s="59" t="s">
        <v>45</v>
      </c>
      <c r="B119" s="60">
        <v>46039.0</v>
      </c>
      <c r="C119" s="61" t="s">
        <v>53</v>
      </c>
      <c r="D119" s="10" t="s">
        <v>607</v>
      </c>
      <c r="E119" s="12" t="s">
        <v>608</v>
      </c>
      <c r="F119" s="62" t="s">
        <v>58</v>
      </c>
      <c r="G119" s="63" t="s">
        <v>609</v>
      </c>
      <c r="H119" s="68"/>
      <c r="I119" s="65" t="s">
        <v>83</v>
      </c>
      <c r="J119" s="66">
        <v>46039.0</v>
      </c>
      <c r="K119" s="66">
        <v>46039.0</v>
      </c>
      <c r="L119" s="64">
        <v>2.0</v>
      </c>
      <c r="M119" s="70" t="s">
        <v>610</v>
      </c>
    </row>
    <row r="120">
      <c r="A120" s="59" t="s">
        <v>45</v>
      </c>
      <c r="B120" s="170">
        <v>46039.0</v>
      </c>
      <c r="C120" s="171" t="s">
        <v>68</v>
      </c>
      <c r="D120" s="10" t="s">
        <v>611</v>
      </c>
      <c r="E120" s="12" t="s">
        <v>612</v>
      </c>
      <c r="F120" s="172" t="s">
        <v>83</v>
      </c>
      <c r="G120" s="173" t="s">
        <v>613</v>
      </c>
      <c r="H120" s="68"/>
      <c r="I120" s="174" t="s">
        <v>58</v>
      </c>
      <c r="J120" s="175">
        <v>46039.0</v>
      </c>
      <c r="K120" s="175">
        <v>46053.0</v>
      </c>
      <c r="L120" s="176">
        <v>1.0</v>
      </c>
      <c r="M120" s="177" t="s">
        <v>614</v>
      </c>
    </row>
    <row r="121">
      <c r="A121" s="89" t="s">
        <v>147</v>
      </c>
      <c r="B121" s="60">
        <v>46040.0</v>
      </c>
      <c r="C121" s="61" t="s">
        <v>148</v>
      </c>
      <c r="D121" s="10" t="s">
        <v>615</v>
      </c>
      <c r="E121" s="12" t="s">
        <v>616</v>
      </c>
      <c r="F121" s="62" t="s">
        <v>58</v>
      </c>
      <c r="G121" s="95" t="s">
        <v>206</v>
      </c>
      <c r="H121" s="64" t="s">
        <v>25</v>
      </c>
      <c r="I121" s="65" t="s">
        <v>58</v>
      </c>
      <c r="J121" s="66">
        <v>46042.0</v>
      </c>
      <c r="K121" s="67"/>
      <c r="L121" s="68"/>
      <c r="M121" s="70" t="s">
        <v>182</v>
      </c>
    </row>
    <row r="122">
      <c r="A122" s="89" t="s">
        <v>147</v>
      </c>
      <c r="B122" s="60">
        <v>46040.0</v>
      </c>
      <c r="C122" s="61" t="s">
        <v>148</v>
      </c>
      <c r="D122" s="10" t="s">
        <v>618</v>
      </c>
      <c r="E122" s="12" t="s">
        <v>619</v>
      </c>
      <c r="F122" s="62" t="s">
        <v>58</v>
      </c>
      <c r="G122" s="95" t="s">
        <v>206</v>
      </c>
      <c r="H122" s="64" t="s">
        <v>25</v>
      </c>
      <c r="I122" s="65" t="s">
        <v>58</v>
      </c>
      <c r="J122" s="66">
        <v>46043.0</v>
      </c>
      <c r="K122" s="67"/>
      <c r="L122" s="68"/>
      <c r="M122" s="70" t="s">
        <v>182</v>
      </c>
    </row>
    <row r="123">
      <c r="A123" s="89" t="s">
        <v>147</v>
      </c>
      <c r="B123" s="60">
        <v>46040.0</v>
      </c>
      <c r="C123" s="61" t="s">
        <v>148</v>
      </c>
      <c r="D123" s="10" t="s">
        <v>620</v>
      </c>
      <c r="E123" s="12" t="s">
        <v>621</v>
      </c>
      <c r="F123" s="62" t="s">
        <v>58</v>
      </c>
      <c r="G123" s="98" t="s">
        <v>197</v>
      </c>
      <c r="H123" s="64" t="s">
        <v>25</v>
      </c>
      <c r="I123" s="75" t="s">
        <v>83</v>
      </c>
      <c r="J123" s="77">
        <v>46046.0</v>
      </c>
      <c r="K123" s="67"/>
      <c r="L123" s="68"/>
      <c r="M123" s="58" t="s">
        <v>622</v>
      </c>
    </row>
    <row r="124">
      <c r="A124" s="59" t="s">
        <v>108</v>
      </c>
      <c r="B124" s="60">
        <v>46040.0</v>
      </c>
      <c r="C124" s="61" t="s">
        <v>148</v>
      </c>
      <c r="D124" s="10" t="s">
        <v>623</v>
      </c>
      <c r="E124" s="12" t="s">
        <v>624</v>
      </c>
      <c r="F124" s="62" t="s">
        <v>58</v>
      </c>
      <c r="G124" s="95" t="s">
        <v>206</v>
      </c>
      <c r="H124" s="64" t="s">
        <v>25</v>
      </c>
      <c r="I124" s="65" t="s">
        <v>58</v>
      </c>
      <c r="J124" s="66">
        <v>46042.0</v>
      </c>
      <c r="K124" s="67"/>
      <c r="L124" s="68"/>
      <c r="M124" s="70" t="s">
        <v>625</v>
      </c>
    </row>
    <row r="125">
      <c r="A125" s="59" t="s">
        <v>108</v>
      </c>
      <c r="B125" s="60">
        <v>46040.0</v>
      </c>
      <c r="C125" s="61" t="s">
        <v>148</v>
      </c>
      <c r="D125" s="10" t="s">
        <v>626</v>
      </c>
      <c r="E125" s="12" t="s">
        <v>627</v>
      </c>
      <c r="F125" s="62" t="s">
        <v>58</v>
      </c>
      <c r="G125" s="91" t="s">
        <v>160</v>
      </c>
      <c r="H125" s="64" t="s">
        <v>25</v>
      </c>
      <c r="I125" s="65" t="s">
        <v>83</v>
      </c>
      <c r="J125" s="66">
        <v>46044.0</v>
      </c>
      <c r="K125" s="67"/>
      <c r="L125" s="68"/>
      <c r="M125" s="70" t="s">
        <v>628</v>
      </c>
    </row>
    <row r="126">
      <c r="A126" s="89" t="s">
        <v>108</v>
      </c>
      <c r="B126" s="60">
        <v>46040.0</v>
      </c>
      <c r="C126" s="61" t="s">
        <v>148</v>
      </c>
      <c r="D126" s="10" t="s">
        <v>629</v>
      </c>
      <c r="E126" s="12" t="s">
        <v>630</v>
      </c>
      <c r="F126" s="62" t="s">
        <v>58</v>
      </c>
      <c r="G126" s="95" t="s">
        <v>206</v>
      </c>
      <c r="H126" s="64" t="s">
        <v>25</v>
      </c>
      <c r="I126" s="75" t="s">
        <v>83</v>
      </c>
      <c r="J126" s="77">
        <v>46046.0</v>
      </c>
      <c r="K126" s="67"/>
      <c r="L126" s="68"/>
      <c r="M126" s="58" t="s">
        <v>631</v>
      </c>
    </row>
    <row r="127">
      <c r="A127" s="59" t="s">
        <v>108</v>
      </c>
      <c r="B127" s="60">
        <v>46040.0</v>
      </c>
      <c r="C127" s="61" t="s">
        <v>53</v>
      </c>
      <c r="D127" s="10" t="s">
        <v>632</v>
      </c>
      <c r="E127" s="12"/>
      <c r="F127" s="62" t="s">
        <v>58</v>
      </c>
      <c r="G127" s="63" t="s">
        <v>633</v>
      </c>
      <c r="H127" s="68"/>
      <c r="I127" s="65"/>
      <c r="J127" s="66"/>
      <c r="K127" s="67"/>
      <c r="L127" s="68"/>
      <c r="M127" s="58" t="s">
        <v>634</v>
      </c>
    </row>
    <row r="128">
      <c r="A128" s="89" t="s">
        <v>67</v>
      </c>
      <c r="B128" s="60">
        <v>46040.0</v>
      </c>
      <c r="C128" s="61" t="s">
        <v>148</v>
      </c>
      <c r="D128" s="10" t="s">
        <v>635</v>
      </c>
      <c r="E128" s="12" t="s">
        <v>636</v>
      </c>
      <c r="F128" s="62" t="s">
        <v>58</v>
      </c>
      <c r="G128" s="95" t="s">
        <v>206</v>
      </c>
      <c r="H128" s="64" t="s">
        <v>25</v>
      </c>
      <c r="I128" s="75" t="s">
        <v>74</v>
      </c>
      <c r="J128" s="77">
        <v>46045.0</v>
      </c>
      <c r="K128" s="67"/>
      <c r="L128" s="68"/>
      <c r="M128" s="58" t="s">
        <v>637</v>
      </c>
    </row>
    <row r="129">
      <c r="A129" s="59" t="s">
        <v>67</v>
      </c>
      <c r="B129" s="60">
        <v>46040.0</v>
      </c>
      <c r="C129" s="61" t="s">
        <v>53</v>
      </c>
      <c r="D129" s="10" t="s">
        <v>638</v>
      </c>
      <c r="E129" s="12" t="s">
        <v>639</v>
      </c>
      <c r="F129" s="62" t="s">
        <v>58</v>
      </c>
      <c r="G129" s="63" t="s">
        <v>640</v>
      </c>
      <c r="H129" s="68"/>
      <c r="I129" s="65" t="s">
        <v>58</v>
      </c>
      <c r="J129" s="66">
        <v>46042.0</v>
      </c>
      <c r="K129" s="67"/>
      <c r="L129" s="68"/>
      <c r="M129" s="70" t="s">
        <v>641</v>
      </c>
    </row>
    <row r="130">
      <c r="A130" s="59" t="s">
        <v>45</v>
      </c>
      <c r="B130" s="60">
        <v>46040.0</v>
      </c>
      <c r="C130" s="61" t="s">
        <v>148</v>
      </c>
      <c r="D130" s="10" t="s">
        <v>642</v>
      </c>
      <c r="E130" s="12" t="s">
        <v>643</v>
      </c>
      <c r="F130" s="62" t="s">
        <v>58</v>
      </c>
      <c r="G130" s="98" t="s">
        <v>197</v>
      </c>
      <c r="H130" s="64" t="s">
        <v>25</v>
      </c>
      <c r="I130" s="65" t="s">
        <v>58</v>
      </c>
      <c r="J130" s="66">
        <v>46042.0</v>
      </c>
      <c r="K130" s="67"/>
      <c r="L130" s="68"/>
      <c r="M130" s="70" t="s">
        <v>644</v>
      </c>
    </row>
    <row r="131">
      <c r="A131" s="59" t="s">
        <v>45</v>
      </c>
      <c r="B131" s="60">
        <v>46040.0</v>
      </c>
      <c r="C131" s="61" t="s">
        <v>148</v>
      </c>
      <c r="D131" s="10" t="s">
        <v>645</v>
      </c>
      <c r="E131" s="12" t="s">
        <v>646</v>
      </c>
      <c r="F131" s="62" t="s">
        <v>58</v>
      </c>
      <c r="G131" s="95" t="s">
        <v>206</v>
      </c>
      <c r="H131" s="64" t="s">
        <v>25</v>
      </c>
      <c r="I131" s="65" t="s">
        <v>58</v>
      </c>
      <c r="J131" s="66">
        <v>46042.0</v>
      </c>
      <c r="K131" s="67"/>
      <c r="L131" s="68"/>
      <c r="M131" s="70" t="s">
        <v>647</v>
      </c>
    </row>
    <row r="132">
      <c r="A132" s="89" t="s">
        <v>45</v>
      </c>
      <c r="B132" s="60">
        <v>46040.0</v>
      </c>
      <c r="C132" s="61" t="s">
        <v>148</v>
      </c>
      <c r="D132" s="10" t="s">
        <v>648</v>
      </c>
      <c r="E132" s="12" t="s">
        <v>649</v>
      </c>
      <c r="F132" s="62" t="s">
        <v>58</v>
      </c>
      <c r="G132" s="98" t="s">
        <v>197</v>
      </c>
      <c r="H132" s="64" t="s">
        <v>25</v>
      </c>
      <c r="I132" s="75" t="s">
        <v>83</v>
      </c>
      <c r="J132" s="77">
        <v>46046.0</v>
      </c>
      <c r="K132" s="67"/>
      <c r="L132" s="68"/>
      <c r="M132" s="58" t="s">
        <v>650</v>
      </c>
    </row>
    <row r="133">
      <c r="A133" s="89" t="s">
        <v>147</v>
      </c>
      <c r="B133" s="60">
        <v>46041.0</v>
      </c>
      <c r="C133" s="61" t="s">
        <v>148</v>
      </c>
      <c r="D133" s="10" t="s">
        <v>651</v>
      </c>
      <c r="E133" s="12" t="s">
        <v>652</v>
      </c>
      <c r="F133" s="62" t="s">
        <v>58</v>
      </c>
      <c r="G133" s="112" t="s">
        <v>275</v>
      </c>
      <c r="H133" s="64" t="s">
        <v>25</v>
      </c>
      <c r="I133" s="75" t="s">
        <v>83</v>
      </c>
      <c r="J133" s="77">
        <v>46046.0</v>
      </c>
      <c r="K133" s="67"/>
      <c r="L133" s="68"/>
      <c r="M133" s="58" t="s">
        <v>190</v>
      </c>
    </row>
    <row r="134">
      <c r="A134" s="89" t="s">
        <v>147</v>
      </c>
      <c r="B134" s="60">
        <v>46041.0</v>
      </c>
      <c r="C134" s="61" t="s">
        <v>148</v>
      </c>
      <c r="D134" s="10" t="s">
        <v>653</v>
      </c>
      <c r="E134" s="12" t="s">
        <v>654</v>
      </c>
      <c r="F134" s="62" t="s">
        <v>58</v>
      </c>
      <c r="G134" s="95" t="s">
        <v>206</v>
      </c>
      <c r="H134" s="64" t="s">
        <v>25</v>
      </c>
      <c r="I134" s="65" t="s">
        <v>74</v>
      </c>
      <c r="J134" s="66">
        <v>46042.0</v>
      </c>
      <c r="K134" s="67"/>
      <c r="L134" s="68"/>
      <c r="M134" s="70" t="s">
        <v>190</v>
      </c>
    </row>
    <row r="135">
      <c r="A135" s="89" t="s">
        <v>147</v>
      </c>
      <c r="B135" s="60">
        <v>46041.0</v>
      </c>
      <c r="C135" s="61" t="s">
        <v>148</v>
      </c>
      <c r="D135" s="10" t="s">
        <v>655</v>
      </c>
      <c r="E135" s="12" t="s">
        <v>656</v>
      </c>
      <c r="F135" s="62" t="s">
        <v>58</v>
      </c>
      <c r="G135" s="112" t="s">
        <v>275</v>
      </c>
      <c r="H135" s="64" t="s">
        <v>25</v>
      </c>
      <c r="I135" s="75" t="s">
        <v>74</v>
      </c>
      <c r="J135" s="77">
        <v>46046.0</v>
      </c>
      <c r="K135" s="67"/>
      <c r="L135" s="68"/>
      <c r="M135" s="58" t="s">
        <v>190</v>
      </c>
    </row>
    <row r="136">
      <c r="A136" s="89" t="s">
        <v>108</v>
      </c>
      <c r="B136" s="60">
        <v>46041.0</v>
      </c>
      <c r="C136" s="61" t="s">
        <v>148</v>
      </c>
      <c r="D136" s="10" t="s">
        <v>657</v>
      </c>
      <c r="E136" s="12" t="s">
        <v>658</v>
      </c>
      <c r="F136" s="62" t="s">
        <v>58</v>
      </c>
      <c r="G136" s="112" t="s">
        <v>275</v>
      </c>
      <c r="H136" s="64" t="s">
        <v>25</v>
      </c>
      <c r="I136" s="75" t="s">
        <v>83</v>
      </c>
      <c r="J136" s="77">
        <v>46046.0</v>
      </c>
      <c r="K136" s="67"/>
      <c r="L136" s="68"/>
      <c r="M136" s="58" t="s">
        <v>659</v>
      </c>
    </row>
    <row r="137">
      <c r="A137" s="59" t="s">
        <v>108</v>
      </c>
      <c r="B137" s="60">
        <v>46041.0</v>
      </c>
      <c r="C137" s="178" t="s">
        <v>380</v>
      </c>
      <c r="D137" s="10" t="s">
        <v>660</v>
      </c>
      <c r="E137" s="12" t="s">
        <v>661</v>
      </c>
      <c r="F137" s="62" t="s">
        <v>83</v>
      </c>
      <c r="G137" s="63" t="s">
        <v>662</v>
      </c>
      <c r="H137" s="64" t="s">
        <v>25</v>
      </c>
      <c r="I137" s="65" t="s">
        <v>74</v>
      </c>
      <c r="J137" s="66">
        <v>46043.0</v>
      </c>
      <c r="K137" s="67"/>
      <c r="L137" s="68"/>
      <c r="M137" s="70" t="s">
        <v>663</v>
      </c>
    </row>
    <row r="138">
      <c r="A138" s="89" t="s">
        <v>45</v>
      </c>
      <c r="B138" s="60">
        <v>46041.0</v>
      </c>
      <c r="C138" s="61" t="s">
        <v>148</v>
      </c>
      <c r="D138" s="10" t="s">
        <v>664</v>
      </c>
      <c r="E138" s="12" t="s">
        <v>665</v>
      </c>
      <c r="F138" s="62" t="s">
        <v>58</v>
      </c>
      <c r="G138" s="95" t="s">
        <v>206</v>
      </c>
      <c r="H138" s="64" t="s">
        <v>25</v>
      </c>
      <c r="I138" s="75" t="s">
        <v>83</v>
      </c>
      <c r="J138" s="77">
        <v>46046.0</v>
      </c>
      <c r="K138" s="67"/>
      <c r="L138" s="68"/>
      <c r="M138" s="58" t="s">
        <v>666</v>
      </c>
    </row>
    <row r="139">
      <c r="A139" s="89" t="s">
        <v>45</v>
      </c>
      <c r="B139" s="60">
        <v>46041.0</v>
      </c>
      <c r="C139" s="61" t="s">
        <v>148</v>
      </c>
      <c r="D139" s="10" t="s">
        <v>667</v>
      </c>
      <c r="E139" s="12" t="s">
        <v>668</v>
      </c>
      <c r="F139" s="62" t="s">
        <v>58</v>
      </c>
      <c r="G139" s="95" t="s">
        <v>206</v>
      </c>
      <c r="H139" s="64" t="s">
        <v>25</v>
      </c>
      <c r="I139" s="65" t="s">
        <v>74</v>
      </c>
      <c r="J139" s="66">
        <v>46042.0</v>
      </c>
      <c r="K139" s="135">
        <v>46060.0</v>
      </c>
      <c r="L139" s="33">
        <v>4.0</v>
      </c>
      <c r="M139" s="58" t="s">
        <v>669</v>
      </c>
    </row>
    <row r="140">
      <c r="A140" s="59" t="s">
        <v>45</v>
      </c>
      <c r="B140" s="60">
        <v>46041.0</v>
      </c>
      <c r="C140" s="61" t="s">
        <v>148</v>
      </c>
      <c r="D140" s="10" t="s">
        <v>670</v>
      </c>
      <c r="E140" s="12" t="s">
        <v>671</v>
      </c>
      <c r="F140" s="62" t="s">
        <v>58</v>
      </c>
      <c r="G140" s="95" t="s">
        <v>206</v>
      </c>
      <c r="H140" s="64" t="s">
        <v>25</v>
      </c>
      <c r="I140" s="65" t="s">
        <v>74</v>
      </c>
      <c r="J140" s="66">
        <v>46042.0</v>
      </c>
      <c r="K140" s="66">
        <v>46053.0</v>
      </c>
      <c r="L140" s="64">
        <v>2.0</v>
      </c>
      <c r="M140" s="70" t="s">
        <v>672</v>
      </c>
    </row>
    <row r="141">
      <c r="A141" s="89" t="s">
        <v>45</v>
      </c>
      <c r="B141" s="60">
        <v>46041.0</v>
      </c>
      <c r="C141" s="61" t="s">
        <v>148</v>
      </c>
      <c r="D141" s="10" t="s">
        <v>673</v>
      </c>
      <c r="E141" s="12" t="s">
        <v>674</v>
      </c>
      <c r="F141" s="62" t="s">
        <v>58</v>
      </c>
      <c r="G141" s="95" t="s">
        <v>206</v>
      </c>
      <c r="H141" s="64" t="s">
        <v>25</v>
      </c>
      <c r="I141" s="65" t="s">
        <v>74</v>
      </c>
      <c r="J141" s="77">
        <v>46045.0</v>
      </c>
      <c r="K141" s="67"/>
      <c r="L141" s="64">
        <v>2.0</v>
      </c>
      <c r="M141" s="58" t="s">
        <v>675</v>
      </c>
    </row>
    <row r="142">
      <c r="A142" s="89" t="s">
        <v>45</v>
      </c>
      <c r="B142" s="60">
        <v>46041.0</v>
      </c>
      <c r="C142" s="61" t="s">
        <v>148</v>
      </c>
      <c r="D142" s="10" t="s">
        <v>676</v>
      </c>
      <c r="E142" s="12" t="s">
        <v>677</v>
      </c>
      <c r="F142" s="62" t="s">
        <v>58</v>
      </c>
      <c r="G142" s="91" t="s">
        <v>160</v>
      </c>
      <c r="H142" s="64" t="s">
        <v>25</v>
      </c>
      <c r="I142" s="75" t="s">
        <v>74</v>
      </c>
      <c r="J142" s="77">
        <v>46045.0</v>
      </c>
      <c r="K142" s="67"/>
      <c r="L142" s="68"/>
      <c r="M142" s="58" t="s">
        <v>678</v>
      </c>
    </row>
    <row r="143">
      <c r="A143" s="59" t="s">
        <v>45</v>
      </c>
      <c r="B143" s="60">
        <v>46041.0</v>
      </c>
      <c r="C143" s="61" t="s">
        <v>53</v>
      </c>
      <c r="D143" s="10" t="s">
        <v>679</v>
      </c>
      <c r="E143" s="12" t="s">
        <v>680</v>
      </c>
      <c r="F143" s="62" t="s">
        <v>58</v>
      </c>
      <c r="G143" s="63" t="s">
        <v>681</v>
      </c>
      <c r="H143" s="68"/>
      <c r="I143" s="65" t="s">
        <v>74</v>
      </c>
      <c r="J143" s="66">
        <v>46042.0</v>
      </c>
      <c r="K143" s="66">
        <v>46045.0</v>
      </c>
      <c r="L143" s="64">
        <v>2.0</v>
      </c>
      <c r="M143" s="70" t="s">
        <v>682</v>
      </c>
    </row>
    <row r="144">
      <c r="A144" s="89" t="s">
        <v>147</v>
      </c>
      <c r="B144" s="60">
        <v>46042.0</v>
      </c>
      <c r="C144" s="61" t="s">
        <v>148</v>
      </c>
      <c r="D144" s="10" t="s">
        <v>683</v>
      </c>
      <c r="E144" s="12" t="s">
        <v>684</v>
      </c>
      <c r="F144" s="62" t="s">
        <v>58</v>
      </c>
      <c r="G144" s="91" t="s">
        <v>160</v>
      </c>
      <c r="H144" s="64" t="s">
        <v>25</v>
      </c>
      <c r="I144" s="75" t="s">
        <v>74</v>
      </c>
      <c r="J144" s="77">
        <v>46045.0</v>
      </c>
      <c r="K144" s="67"/>
      <c r="L144" s="68"/>
      <c r="M144" s="58" t="s">
        <v>190</v>
      </c>
    </row>
    <row r="145">
      <c r="A145" s="89" t="s">
        <v>147</v>
      </c>
      <c r="B145" s="60">
        <v>46042.0</v>
      </c>
      <c r="C145" s="61" t="s">
        <v>148</v>
      </c>
      <c r="D145" s="10" t="s">
        <v>685</v>
      </c>
      <c r="E145" s="12" t="s">
        <v>686</v>
      </c>
      <c r="F145" s="62" t="s">
        <v>58</v>
      </c>
      <c r="G145" s="95" t="s">
        <v>206</v>
      </c>
      <c r="H145" s="64" t="s">
        <v>25</v>
      </c>
      <c r="I145" s="75" t="s">
        <v>74</v>
      </c>
      <c r="J145" s="77">
        <v>46049.0</v>
      </c>
      <c r="K145" s="67"/>
      <c r="L145" s="68"/>
      <c r="M145" s="58" t="s">
        <v>190</v>
      </c>
    </row>
    <row r="146">
      <c r="A146" s="89" t="s">
        <v>108</v>
      </c>
      <c r="B146" s="60">
        <v>46042.0</v>
      </c>
      <c r="C146" s="61" t="s">
        <v>148</v>
      </c>
      <c r="D146" s="10" t="s">
        <v>687</v>
      </c>
      <c r="E146" s="12" t="s">
        <v>688</v>
      </c>
      <c r="F146" s="62" t="s">
        <v>58</v>
      </c>
      <c r="G146" s="179" t="s">
        <v>160</v>
      </c>
      <c r="H146" s="64" t="s">
        <v>25</v>
      </c>
      <c r="I146" s="75" t="s">
        <v>74</v>
      </c>
      <c r="J146" s="77">
        <v>46046.0</v>
      </c>
      <c r="K146" s="67"/>
      <c r="L146" s="68"/>
      <c r="M146" s="58" t="s">
        <v>689</v>
      </c>
    </row>
    <row r="147">
      <c r="A147" s="59" t="s">
        <v>67</v>
      </c>
      <c r="B147" s="60">
        <v>46042.0</v>
      </c>
      <c r="C147" s="61" t="s">
        <v>148</v>
      </c>
      <c r="D147" s="10" t="s">
        <v>690</v>
      </c>
      <c r="E147" s="12" t="s">
        <v>691</v>
      </c>
      <c r="F147" s="62" t="s">
        <v>58</v>
      </c>
      <c r="G147" s="95" t="s">
        <v>206</v>
      </c>
      <c r="H147" s="64" t="s">
        <v>25</v>
      </c>
      <c r="I147" s="65" t="s">
        <v>74</v>
      </c>
      <c r="J147" s="66">
        <v>46042.0</v>
      </c>
      <c r="K147" s="67"/>
      <c r="L147" s="68"/>
      <c r="M147" s="70" t="s">
        <v>692</v>
      </c>
    </row>
    <row r="148">
      <c r="A148" s="59" t="s">
        <v>45</v>
      </c>
      <c r="B148" s="60">
        <v>46042.0</v>
      </c>
      <c r="C148" s="61" t="s">
        <v>221</v>
      </c>
      <c r="D148" s="10" t="s">
        <v>693</v>
      </c>
      <c r="E148" s="12" t="s">
        <v>694</v>
      </c>
      <c r="F148" s="62" t="s">
        <v>74</v>
      </c>
      <c r="G148" s="63" t="s">
        <v>695</v>
      </c>
      <c r="H148" s="64" t="s">
        <v>25</v>
      </c>
      <c r="I148" s="65" t="s">
        <v>58</v>
      </c>
      <c r="J148" s="66">
        <v>46042.0</v>
      </c>
      <c r="K148" s="77">
        <v>46058.0</v>
      </c>
      <c r="L148" s="64">
        <v>2.0</v>
      </c>
      <c r="M148" s="70" t="s">
        <v>696</v>
      </c>
    </row>
    <row r="149">
      <c r="A149" s="89" t="s">
        <v>45</v>
      </c>
      <c r="B149" s="60">
        <v>46042.0</v>
      </c>
      <c r="C149" s="61" t="s">
        <v>148</v>
      </c>
      <c r="D149" s="10" t="s">
        <v>697</v>
      </c>
      <c r="E149" s="12" t="s">
        <v>698</v>
      </c>
      <c r="F149" s="62" t="s">
        <v>58</v>
      </c>
      <c r="G149" s="95" t="s">
        <v>206</v>
      </c>
      <c r="H149" s="64" t="s">
        <v>25</v>
      </c>
      <c r="I149" s="75" t="s">
        <v>74</v>
      </c>
      <c r="J149" s="77">
        <v>46049.0</v>
      </c>
      <c r="K149" s="67"/>
      <c r="L149" s="68"/>
      <c r="M149" s="58" t="s">
        <v>699</v>
      </c>
    </row>
    <row r="150">
      <c r="A150" s="59" t="s">
        <v>45</v>
      </c>
      <c r="B150" s="60">
        <v>46042.0</v>
      </c>
      <c r="C150" s="61" t="s">
        <v>148</v>
      </c>
      <c r="D150" s="10" t="s">
        <v>700</v>
      </c>
      <c r="E150" s="12" t="s">
        <v>701</v>
      </c>
      <c r="F150" s="62" t="s">
        <v>58</v>
      </c>
      <c r="G150" s="95" t="s">
        <v>206</v>
      </c>
      <c r="H150" s="64" t="s">
        <v>25</v>
      </c>
      <c r="I150" s="65" t="s">
        <v>83</v>
      </c>
      <c r="J150" s="66">
        <v>46044.0</v>
      </c>
      <c r="K150" s="67"/>
      <c r="L150" s="68"/>
      <c r="M150" s="70" t="s">
        <v>702</v>
      </c>
    </row>
    <row r="151">
      <c r="A151" s="89" t="s">
        <v>45</v>
      </c>
      <c r="B151" s="60">
        <v>46042.0</v>
      </c>
      <c r="C151" s="61" t="s">
        <v>148</v>
      </c>
      <c r="D151" s="10" t="s">
        <v>703</v>
      </c>
      <c r="E151" s="12" t="s">
        <v>704</v>
      </c>
      <c r="F151" s="62" t="s">
        <v>58</v>
      </c>
      <c r="G151" s="95" t="s">
        <v>206</v>
      </c>
      <c r="H151" s="64" t="s">
        <v>25</v>
      </c>
      <c r="I151" s="75" t="s">
        <v>74</v>
      </c>
      <c r="J151" s="77">
        <v>46045.0</v>
      </c>
      <c r="K151" s="67"/>
      <c r="L151" s="68"/>
      <c r="M151" s="58" t="s">
        <v>705</v>
      </c>
    </row>
    <row r="152">
      <c r="A152" s="59" t="s">
        <v>45</v>
      </c>
      <c r="B152" s="60">
        <v>46042.0</v>
      </c>
      <c r="C152" s="61" t="s">
        <v>53</v>
      </c>
      <c r="D152" s="10" t="s">
        <v>706</v>
      </c>
      <c r="E152" s="12" t="s">
        <v>707</v>
      </c>
      <c r="F152" s="62" t="s">
        <v>74</v>
      </c>
      <c r="G152" s="63"/>
      <c r="H152" s="68"/>
      <c r="I152" s="65" t="s">
        <v>74</v>
      </c>
      <c r="J152" s="66">
        <v>46043.0</v>
      </c>
      <c r="K152" s="67"/>
      <c r="L152" s="68"/>
      <c r="M152" s="70" t="s">
        <v>708</v>
      </c>
    </row>
    <row r="153">
      <c r="A153" s="89" t="s">
        <v>147</v>
      </c>
      <c r="B153" s="60">
        <v>46043.0</v>
      </c>
      <c r="C153" s="61" t="s">
        <v>148</v>
      </c>
      <c r="D153" s="10" t="s">
        <v>709</v>
      </c>
      <c r="E153" s="12" t="s">
        <v>710</v>
      </c>
      <c r="F153" s="62" t="s">
        <v>58</v>
      </c>
      <c r="G153" s="95" t="s">
        <v>206</v>
      </c>
      <c r="H153" s="64" t="s">
        <v>25</v>
      </c>
      <c r="I153" s="75" t="s">
        <v>83</v>
      </c>
      <c r="J153" s="77">
        <v>46046.0</v>
      </c>
      <c r="K153" s="67"/>
      <c r="L153" s="68"/>
      <c r="M153" s="58" t="s">
        <v>190</v>
      </c>
    </row>
    <row r="154">
      <c r="A154" s="89" t="s">
        <v>108</v>
      </c>
      <c r="B154" s="60">
        <v>46043.0</v>
      </c>
      <c r="C154" s="61" t="s">
        <v>148</v>
      </c>
      <c r="D154" s="10" t="s">
        <v>711</v>
      </c>
      <c r="E154" s="12" t="s">
        <v>712</v>
      </c>
      <c r="F154" s="62" t="s">
        <v>58</v>
      </c>
      <c r="G154" s="91" t="s">
        <v>160</v>
      </c>
      <c r="H154" s="64" t="s">
        <v>25</v>
      </c>
      <c r="I154" s="65" t="s">
        <v>83</v>
      </c>
      <c r="J154" s="66">
        <v>46044.0</v>
      </c>
      <c r="K154" s="67"/>
      <c r="L154" s="68"/>
      <c r="M154" s="58" t="s">
        <v>713</v>
      </c>
    </row>
    <row r="155">
      <c r="A155" s="59" t="s">
        <v>108</v>
      </c>
      <c r="B155" s="60">
        <v>46043.0</v>
      </c>
      <c r="C155" s="61" t="s">
        <v>148</v>
      </c>
      <c r="D155" s="10" t="s">
        <v>714</v>
      </c>
      <c r="E155" s="12" t="s">
        <v>715</v>
      </c>
      <c r="F155" s="62" t="s">
        <v>58</v>
      </c>
      <c r="G155" s="91" t="s">
        <v>160</v>
      </c>
      <c r="H155" s="64" t="s">
        <v>25</v>
      </c>
      <c r="I155" s="65" t="s">
        <v>74</v>
      </c>
      <c r="J155" s="66">
        <v>46045.0</v>
      </c>
      <c r="K155" s="67"/>
      <c r="L155" s="68"/>
      <c r="M155" s="70" t="s">
        <v>716</v>
      </c>
    </row>
    <row r="156">
      <c r="A156" s="59" t="s">
        <v>67</v>
      </c>
      <c r="B156" s="60">
        <v>46043.0</v>
      </c>
      <c r="C156" s="61" t="s">
        <v>68</v>
      </c>
      <c r="D156" s="10" t="s">
        <v>717</v>
      </c>
      <c r="E156" s="12" t="s">
        <v>718</v>
      </c>
      <c r="F156" s="62" t="s">
        <v>74</v>
      </c>
      <c r="G156" s="63" t="s">
        <v>719</v>
      </c>
      <c r="H156" s="64" t="s">
        <v>25</v>
      </c>
      <c r="I156" s="65" t="s">
        <v>83</v>
      </c>
      <c r="J156" s="66">
        <v>46043.0</v>
      </c>
      <c r="K156" s="135">
        <v>46095.0</v>
      </c>
      <c r="L156" s="68"/>
      <c r="M156" s="58" t="s">
        <v>720</v>
      </c>
    </row>
    <row r="157">
      <c r="A157" s="89" t="s">
        <v>45</v>
      </c>
      <c r="B157" s="60">
        <v>46043.0</v>
      </c>
      <c r="C157" s="61" t="s">
        <v>148</v>
      </c>
      <c r="D157" s="10" t="s">
        <v>721</v>
      </c>
      <c r="E157" s="12" t="s">
        <v>722</v>
      </c>
      <c r="F157" s="62" t="s">
        <v>58</v>
      </c>
      <c r="G157" s="98" t="s">
        <v>197</v>
      </c>
      <c r="H157" s="64" t="s">
        <v>25</v>
      </c>
      <c r="I157" s="75" t="s">
        <v>83</v>
      </c>
      <c r="J157" s="77">
        <v>46046.0</v>
      </c>
      <c r="K157" s="67"/>
      <c r="L157" s="68"/>
      <c r="M157" s="58" t="s">
        <v>723</v>
      </c>
    </row>
    <row r="158">
      <c r="A158" s="89" t="s">
        <v>45</v>
      </c>
      <c r="B158" s="60">
        <v>46043.0</v>
      </c>
      <c r="C158" s="61" t="s">
        <v>148</v>
      </c>
      <c r="D158" s="10" t="s">
        <v>724</v>
      </c>
      <c r="E158" s="12" t="s">
        <v>725</v>
      </c>
      <c r="F158" s="62" t="s">
        <v>58</v>
      </c>
      <c r="G158" s="98" t="s">
        <v>197</v>
      </c>
      <c r="H158" s="64" t="s">
        <v>25</v>
      </c>
      <c r="I158" s="75" t="s">
        <v>83</v>
      </c>
      <c r="J158" s="77">
        <v>46046.0</v>
      </c>
      <c r="K158" s="67"/>
      <c r="L158" s="68"/>
      <c r="M158" s="58" t="s">
        <v>726</v>
      </c>
    </row>
    <row r="159">
      <c r="A159" s="89" t="s">
        <v>45</v>
      </c>
      <c r="B159" s="60">
        <v>46043.0</v>
      </c>
      <c r="C159" s="61" t="s">
        <v>53</v>
      </c>
      <c r="D159" s="10" t="s">
        <v>727</v>
      </c>
      <c r="E159" s="12" t="s">
        <v>728</v>
      </c>
      <c r="F159" s="62" t="s">
        <v>83</v>
      </c>
      <c r="G159" s="63" t="s">
        <v>729</v>
      </c>
      <c r="H159" s="68"/>
      <c r="I159" s="65" t="s">
        <v>83</v>
      </c>
      <c r="J159" s="66">
        <v>46043.0</v>
      </c>
      <c r="K159" s="135">
        <v>46053.0</v>
      </c>
      <c r="L159" s="33">
        <v>2.0</v>
      </c>
      <c r="M159" s="58" t="s">
        <v>730</v>
      </c>
    </row>
    <row r="160">
      <c r="A160" s="59" t="s">
        <v>45</v>
      </c>
      <c r="B160" s="60">
        <v>46043.0</v>
      </c>
      <c r="C160" s="61" t="s">
        <v>68</v>
      </c>
      <c r="D160" s="10" t="s">
        <v>731</v>
      </c>
      <c r="E160" s="12" t="s">
        <v>732</v>
      </c>
      <c r="F160" s="62" t="s">
        <v>58</v>
      </c>
      <c r="G160" s="63" t="s">
        <v>733</v>
      </c>
      <c r="H160" s="64" t="s">
        <v>25</v>
      </c>
      <c r="I160" s="65" t="s">
        <v>58</v>
      </c>
      <c r="J160" s="66">
        <v>46043.0</v>
      </c>
      <c r="K160" s="66">
        <v>46053.0</v>
      </c>
      <c r="L160" s="64">
        <v>2.0</v>
      </c>
      <c r="M160" s="70" t="s">
        <v>734</v>
      </c>
    </row>
    <row r="161">
      <c r="A161" s="89" t="s">
        <v>147</v>
      </c>
      <c r="B161" s="60">
        <v>46044.0</v>
      </c>
      <c r="C161" s="61" t="s">
        <v>148</v>
      </c>
      <c r="D161" s="10" t="s">
        <v>735</v>
      </c>
      <c r="E161" s="12" t="s">
        <v>736</v>
      </c>
      <c r="F161" s="62" t="s">
        <v>58</v>
      </c>
      <c r="G161" s="95" t="s">
        <v>206</v>
      </c>
      <c r="H161" s="64" t="s">
        <v>25</v>
      </c>
      <c r="I161" s="75" t="s">
        <v>74</v>
      </c>
      <c r="J161" s="77">
        <v>46045.0</v>
      </c>
      <c r="K161" s="67"/>
      <c r="L161" s="68"/>
      <c r="M161" s="58" t="s">
        <v>737</v>
      </c>
    </row>
    <row r="162">
      <c r="A162" s="89" t="s">
        <v>147</v>
      </c>
      <c r="B162" s="60">
        <v>46044.0</v>
      </c>
      <c r="C162" s="61" t="s">
        <v>148</v>
      </c>
      <c r="D162" s="10" t="s">
        <v>738</v>
      </c>
      <c r="E162" s="12" t="s">
        <v>739</v>
      </c>
      <c r="F162" s="62" t="s">
        <v>58</v>
      </c>
      <c r="G162" s="112" t="s">
        <v>275</v>
      </c>
      <c r="H162" s="64" t="s">
        <v>25</v>
      </c>
      <c r="I162" s="75" t="s">
        <v>74</v>
      </c>
      <c r="J162" s="77">
        <v>46046.0</v>
      </c>
      <c r="K162" s="67"/>
      <c r="L162" s="68"/>
      <c r="M162" s="58" t="s">
        <v>190</v>
      </c>
    </row>
    <row r="163">
      <c r="A163" s="89" t="s">
        <v>108</v>
      </c>
      <c r="B163" s="60">
        <v>46044.0</v>
      </c>
      <c r="C163" s="61" t="s">
        <v>68</v>
      </c>
      <c r="D163" s="10" t="s">
        <v>740</v>
      </c>
      <c r="E163" s="12" t="s">
        <v>741</v>
      </c>
      <c r="F163" s="62" t="s">
        <v>83</v>
      </c>
      <c r="G163" s="63" t="s">
        <v>742</v>
      </c>
      <c r="H163" s="64" t="s">
        <v>25</v>
      </c>
      <c r="I163" s="75" t="s">
        <v>74</v>
      </c>
      <c r="J163" s="77">
        <v>46045.0</v>
      </c>
      <c r="K163" s="67"/>
      <c r="L163" s="68"/>
      <c r="M163" s="58" t="s">
        <v>743</v>
      </c>
    </row>
    <row r="164">
      <c r="A164" s="89" t="s">
        <v>67</v>
      </c>
      <c r="B164" s="60">
        <v>46044.0</v>
      </c>
      <c r="C164" s="61" t="s">
        <v>148</v>
      </c>
      <c r="D164" s="10" t="s">
        <v>744</v>
      </c>
      <c r="E164" s="12" t="s">
        <v>745</v>
      </c>
      <c r="F164" s="62" t="s">
        <v>58</v>
      </c>
      <c r="G164" s="91" t="s">
        <v>160</v>
      </c>
      <c r="H164" s="64" t="s">
        <v>25</v>
      </c>
      <c r="I164" s="75" t="s">
        <v>74</v>
      </c>
      <c r="J164" s="77">
        <v>46049.0</v>
      </c>
      <c r="K164" s="67"/>
      <c r="L164" s="68"/>
      <c r="M164" s="58" t="s">
        <v>746</v>
      </c>
    </row>
    <row r="165">
      <c r="A165" s="59" t="s">
        <v>67</v>
      </c>
      <c r="B165" s="60">
        <v>46044.0</v>
      </c>
      <c r="C165" s="61" t="s">
        <v>68</v>
      </c>
      <c r="D165" s="10" t="s">
        <v>294</v>
      </c>
      <c r="E165" s="12" t="s">
        <v>747</v>
      </c>
      <c r="F165" s="62" t="s">
        <v>58</v>
      </c>
      <c r="G165" s="63" t="s">
        <v>748</v>
      </c>
      <c r="H165" s="64" t="s">
        <v>25</v>
      </c>
      <c r="I165" s="65" t="s">
        <v>58</v>
      </c>
      <c r="J165" s="66">
        <v>46044.0</v>
      </c>
      <c r="K165" s="67"/>
      <c r="L165" s="68"/>
      <c r="M165" s="180" t="s">
        <v>749</v>
      </c>
    </row>
    <row r="166">
      <c r="A166" s="59" t="s">
        <v>45</v>
      </c>
      <c r="B166" s="60">
        <v>46044.0</v>
      </c>
      <c r="C166" s="61" t="s">
        <v>68</v>
      </c>
      <c r="D166" s="10" t="s">
        <v>750</v>
      </c>
      <c r="E166" s="12" t="s">
        <v>751</v>
      </c>
      <c r="F166" s="62" t="s">
        <v>83</v>
      </c>
      <c r="G166" s="63"/>
      <c r="H166" s="64" t="s">
        <v>25</v>
      </c>
      <c r="I166" s="65" t="s">
        <v>83</v>
      </c>
      <c r="J166" s="66">
        <v>46044.0</v>
      </c>
      <c r="K166" s="66">
        <v>46045.0</v>
      </c>
      <c r="L166" s="64">
        <v>1.0</v>
      </c>
      <c r="M166" s="70" t="s">
        <v>752</v>
      </c>
    </row>
    <row r="167">
      <c r="A167" s="33" t="s">
        <v>147</v>
      </c>
      <c r="B167" s="181">
        <v>46046.0</v>
      </c>
      <c r="C167" s="178" t="s">
        <v>148</v>
      </c>
      <c r="D167" s="10" t="s">
        <v>753</v>
      </c>
      <c r="E167" s="12" t="s">
        <v>754</v>
      </c>
      <c r="F167" s="62" t="s">
        <v>83</v>
      </c>
      <c r="G167" s="98" t="s">
        <v>197</v>
      </c>
      <c r="H167" s="64" t="s">
        <v>25</v>
      </c>
      <c r="I167" s="75" t="s">
        <v>83</v>
      </c>
      <c r="J167" s="77">
        <v>46046.0</v>
      </c>
      <c r="K167" s="67"/>
      <c r="L167" s="68"/>
      <c r="M167" s="58" t="s">
        <v>190</v>
      </c>
    </row>
    <row r="168">
      <c r="A168" s="33" t="s">
        <v>147</v>
      </c>
      <c r="B168" s="181">
        <v>46046.0</v>
      </c>
      <c r="C168" s="178" t="s">
        <v>148</v>
      </c>
      <c r="D168" s="10" t="s">
        <v>755</v>
      </c>
      <c r="E168" s="12" t="s">
        <v>756</v>
      </c>
      <c r="F168" s="62" t="s">
        <v>83</v>
      </c>
      <c r="G168" s="91" t="s">
        <v>160</v>
      </c>
      <c r="H168" s="64" t="s">
        <v>25</v>
      </c>
      <c r="I168" s="75" t="s">
        <v>83</v>
      </c>
      <c r="J168" s="77">
        <v>46050.0</v>
      </c>
      <c r="K168" s="67"/>
      <c r="L168" s="68"/>
      <c r="M168" s="58" t="s">
        <v>190</v>
      </c>
    </row>
    <row r="169">
      <c r="A169" s="33" t="s">
        <v>147</v>
      </c>
      <c r="B169" s="181">
        <v>46046.0</v>
      </c>
      <c r="C169" s="178" t="s">
        <v>148</v>
      </c>
      <c r="D169" s="10" t="s">
        <v>757</v>
      </c>
      <c r="E169" s="12" t="s">
        <v>758</v>
      </c>
      <c r="F169" s="62" t="s">
        <v>83</v>
      </c>
      <c r="G169" s="91" t="s">
        <v>160</v>
      </c>
      <c r="H169" s="64" t="s">
        <v>25</v>
      </c>
      <c r="I169" s="75" t="s">
        <v>83</v>
      </c>
      <c r="J169" s="77">
        <v>46050.0</v>
      </c>
      <c r="K169" s="67"/>
      <c r="L169" s="68"/>
      <c r="M169" s="58" t="s">
        <v>190</v>
      </c>
    </row>
    <row r="170">
      <c r="A170" s="33" t="s">
        <v>147</v>
      </c>
      <c r="B170" s="181">
        <v>46046.0</v>
      </c>
      <c r="C170" s="178" t="s">
        <v>148</v>
      </c>
      <c r="D170" s="10" t="s">
        <v>759</v>
      </c>
      <c r="E170" s="12" t="s">
        <v>760</v>
      </c>
      <c r="F170" s="62" t="s">
        <v>83</v>
      </c>
      <c r="G170" s="91" t="s">
        <v>160</v>
      </c>
      <c r="H170" s="64" t="s">
        <v>25</v>
      </c>
      <c r="I170" s="75" t="s">
        <v>74</v>
      </c>
      <c r="J170" s="77">
        <v>46049.0</v>
      </c>
      <c r="K170" s="67"/>
      <c r="L170" s="68"/>
      <c r="M170" s="58" t="s">
        <v>761</v>
      </c>
    </row>
    <row r="171">
      <c r="A171" s="33" t="s">
        <v>147</v>
      </c>
      <c r="B171" s="181">
        <v>46046.0</v>
      </c>
      <c r="C171" s="178" t="s">
        <v>148</v>
      </c>
      <c r="D171" s="10" t="s">
        <v>762</v>
      </c>
      <c r="E171" s="12" t="s">
        <v>763</v>
      </c>
      <c r="F171" s="182" t="s">
        <v>58</v>
      </c>
      <c r="G171" s="91" t="s">
        <v>160</v>
      </c>
      <c r="H171" s="33" t="s">
        <v>25</v>
      </c>
      <c r="I171" s="75" t="s">
        <v>83</v>
      </c>
      <c r="J171" s="183">
        <v>46050.0</v>
      </c>
      <c r="K171" s="184"/>
      <c r="L171" s="184"/>
      <c r="M171" s="185" t="s">
        <v>190</v>
      </c>
    </row>
    <row r="172">
      <c r="A172" s="33" t="s">
        <v>147</v>
      </c>
      <c r="B172" s="181">
        <v>46046.0</v>
      </c>
      <c r="C172" s="178" t="s">
        <v>148</v>
      </c>
      <c r="D172" s="10" t="s">
        <v>764</v>
      </c>
      <c r="E172" s="12" t="s">
        <v>765</v>
      </c>
      <c r="F172" s="182" t="s">
        <v>58</v>
      </c>
      <c r="G172" s="95" t="s">
        <v>206</v>
      </c>
      <c r="H172" s="33" t="s">
        <v>25</v>
      </c>
      <c r="I172" s="75" t="s">
        <v>74</v>
      </c>
      <c r="J172" s="183">
        <v>46049.0</v>
      </c>
      <c r="K172" s="184"/>
      <c r="L172" s="184"/>
      <c r="M172" s="185" t="s">
        <v>190</v>
      </c>
    </row>
    <row r="173">
      <c r="A173" s="33" t="s">
        <v>108</v>
      </c>
      <c r="B173" s="181">
        <v>46046.0</v>
      </c>
      <c r="C173" s="178" t="s">
        <v>148</v>
      </c>
      <c r="D173" s="10" t="s">
        <v>766</v>
      </c>
      <c r="E173" s="12" t="s">
        <v>767</v>
      </c>
      <c r="F173" s="62" t="s">
        <v>83</v>
      </c>
      <c r="G173" s="112" t="s">
        <v>275</v>
      </c>
      <c r="H173" s="64" t="s">
        <v>25</v>
      </c>
      <c r="I173" s="75" t="s">
        <v>74</v>
      </c>
      <c r="J173" s="77">
        <v>46046.0</v>
      </c>
      <c r="K173" s="67"/>
      <c r="L173" s="68"/>
      <c r="M173" s="58" t="s">
        <v>768</v>
      </c>
    </row>
    <row r="174">
      <c r="A174" s="33" t="s">
        <v>380</v>
      </c>
      <c r="B174" s="181">
        <v>46046.0</v>
      </c>
      <c r="C174" s="178" t="s">
        <v>380</v>
      </c>
      <c r="D174" s="10" t="s">
        <v>769</v>
      </c>
      <c r="E174" s="12" t="s">
        <v>770</v>
      </c>
      <c r="F174" s="182" t="s">
        <v>58</v>
      </c>
      <c r="G174" s="186" t="s">
        <v>771</v>
      </c>
      <c r="H174" s="68"/>
      <c r="I174" s="75" t="s">
        <v>83</v>
      </c>
      <c r="J174" s="77">
        <v>46050.0</v>
      </c>
      <c r="K174" s="67"/>
      <c r="L174" s="68"/>
      <c r="M174" s="58" t="s">
        <v>772</v>
      </c>
    </row>
    <row r="175">
      <c r="A175" s="33" t="s">
        <v>67</v>
      </c>
      <c r="B175" s="181">
        <v>46046.0</v>
      </c>
      <c r="C175" s="178" t="s">
        <v>148</v>
      </c>
      <c r="D175" s="10" t="s">
        <v>773</v>
      </c>
      <c r="E175" s="12" t="s">
        <v>774</v>
      </c>
      <c r="F175" s="62" t="s">
        <v>83</v>
      </c>
      <c r="G175" s="187" t="s">
        <v>197</v>
      </c>
      <c r="H175" s="64" t="s">
        <v>25</v>
      </c>
      <c r="I175" s="75" t="s">
        <v>83</v>
      </c>
      <c r="J175" s="77">
        <v>46046.0</v>
      </c>
      <c r="K175" s="67"/>
      <c r="L175" s="68"/>
      <c r="M175" s="58" t="s">
        <v>775</v>
      </c>
    </row>
    <row r="176">
      <c r="A176" s="188" t="s">
        <v>67</v>
      </c>
      <c r="B176" s="189">
        <v>46046.0</v>
      </c>
      <c r="C176" s="190" t="s">
        <v>148</v>
      </c>
      <c r="D176" s="10" t="s">
        <v>776</v>
      </c>
      <c r="E176" s="12" t="s">
        <v>777</v>
      </c>
      <c r="F176" s="191" t="s">
        <v>58</v>
      </c>
      <c r="G176" s="192" t="s">
        <v>197</v>
      </c>
      <c r="H176" s="188" t="s">
        <v>25</v>
      </c>
      <c r="I176" s="193" t="s">
        <v>83</v>
      </c>
      <c r="J176" s="194">
        <v>46050.0</v>
      </c>
      <c r="K176" s="195"/>
      <c r="L176" s="195"/>
      <c r="M176" s="196" t="s">
        <v>778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33" t="s">
        <v>67</v>
      </c>
      <c r="B177" s="181">
        <v>46046.0</v>
      </c>
      <c r="C177" s="178" t="s">
        <v>68</v>
      </c>
      <c r="D177" s="10" t="s">
        <v>779</v>
      </c>
      <c r="E177" s="12" t="s">
        <v>780</v>
      </c>
      <c r="F177" s="182" t="s">
        <v>83</v>
      </c>
      <c r="G177" s="63"/>
      <c r="H177" s="33" t="s">
        <v>25</v>
      </c>
      <c r="I177" s="75" t="s">
        <v>83</v>
      </c>
      <c r="J177" s="77">
        <v>46046.0</v>
      </c>
      <c r="K177" s="67"/>
      <c r="L177" s="68"/>
      <c r="M177" s="197" t="s">
        <v>781</v>
      </c>
    </row>
    <row r="178">
      <c r="A178" s="33" t="s">
        <v>45</v>
      </c>
      <c r="B178" s="181">
        <v>46046.0</v>
      </c>
      <c r="C178" s="178" t="s">
        <v>148</v>
      </c>
      <c r="D178" s="10" t="s">
        <v>782</v>
      </c>
      <c r="E178" s="12" t="s">
        <v>783</v>
      </c>
      <c r="F178" s="62" t="s">
        <v>83</v>
      </c>
      <c r="G178" s="91" t="s">
        <v>160</v>
      </c>
      <c r="H178" s="64" t="s">
        <v>25</v>
      </c>
      <c r="I178" s="75" t="s">
        <v>83</v>
      </c>
      <c r="J178" s="77">
        <v>46046.0</v>
      </c>
      <c r="K178" s="67"/>
      <c r="L178" s="68"/>
      <c r="M178" s="58" t="s">
        <v>784</v>
      </c>
    </row>
    <row r="179">
      <c r="A179" s="33" t="s">
        <v>45</v>
      </c>
      <c r="B179" s="181">
        <v>46046.0</v>
      </c>
      <c r="C179" s="178" t="s">
        <v>148</v>
      </c>
      <c r="D179" s="10" t="s">
        <v>785</v>
      </c>
      <c r="E179" s="12" t="s">
        <v>786</v>
      </c>
      <c r="F179" s="182" t="s">
        <v>58</v>
      </c>
      <c r="G179" s="95" t="s">
        <v>206</v>
      </c>
      <c r="H179" s="33" t="s">
        <v>25</v>
      </c>
      <c r="I179" s="75" t="s">
        <v>74</v>
      </c>
      <c r="J179" s="183">
        <v>46049.0</v>
      </c>
      <c r="K179" s="184"/>
      <c r="L179" s="184"/>
      <c r="M179" s="185" t="s">
        <v>787</v>
      </c>
    </row>
    <row r="180">
      <c r="A180" s="33" t="s">
        <v>108</v>
      </c>
      <c r="B180" s="198">
        <v>46047.0</v>
      </c>
      <c r="C180" s="178" t="s">
        <v>148</v>
      </c>
      <c r="D180" s="10" t="s">
        <v>788</v>
      </c>
      <c r="E180" s="12" t="s">
        <v>789</v>
      </c>
      <c r="F180" s="182" t="s">
        <v>58</v>
      </c>
      <c r="G180" s="98" t="s">
        <v>197</v>
      </c>
      <c r="H180" s="33" t="s">
        <v>25</v>
      </c>
      <c r="I180" s="75" t="s">
        <v>83</v>
      </c>
      <c r="J180" s="183">
        <v>46050.0</v>
      </c>
      <c r="K180" s="184"/>
      <c r="L180" s="184"/>
      <c r="M180" s="185" t="s">
        <v>790</v>
      </c>
    </row>
    <row r="181">
      <c r="D181" s="54"/>
      <c r="G181" s="54"/>
    </row>
    <row r="182">
      <c r="A182" s="33" t="s">
        <v>45</v>
      </c>
      <c r="B182" s="198">
        <v>46047.0</v>
      </c>
      <c r="C182" s="178" t="s">
        <v>148</v>
      </c>
      <c r="D182" s="10" t="s">
        <v>791</v>
      </c>
      <c r="E182" s="12" t="s">
        <v>792</v>
      </c>
      <c r="F182" s="182" t="s">
        <v>58</v>
      </c>
      <c r="G182" s="91" t="s">
        <v>160</v>
      </c>
      <c r="H182" s="33" t="s">
        <v>25</v>
      </c>
      <c r="I182" s="75" t="s">
        <v>74</v>
      </c>
      <c r="J182" s="183">
        <v>46051.0</v>
      </c>
      <c r="K182" s="184"/>
      <c r="L182" s="184"/>
      <c r="M182" s="185" t="s">
        <v>793</v>
      </c>
    </row>
    <row r="183">
      <c r="A183" s="33" t="s">
        <v>45</v>
      </c>
      <c r="B183" s="198">
        <v>46047.0</v>
      </c>
      <c r="C183" s="178" t="s">
        <v>148</v>
      </c>
      <c r="D183" s="10" t="s">
        <v>794</v>
      </c>
      <c r="E183" s="12" t="s">
        <v>795</v>
      </c>
      <c r="F183" s="182" t="s">
        <v>58</v>
      </c>
      <c r="G183" s="91" t="s">
        <v>160</v>
      </c>
      <c r="H183" s="33" t="s">
        <v>25</v>
      </c>
      <c r="I183" s="75" t="s">
        <v>83</v>
      </c>
      <c r="J183" s="183">
        <v>46050.0</v>
      </c>
      <c r="K183" s="184"/>
      <c r="L183" s="184"/>
      <c r="M183" s="185" t="s">
        <v>796</v>
      </c>
    </row>
    <row r="184">
      <c r="A184" s="33" t="s">
        <v>45</v>
      </c>
      <c r="B184" s="198">
        <v>46047.0</v>
      </c>
      <c r="C184" s="178" t="s">
        <v>148</v>
      </c>
      <c r="D184" s="10" t="s">
        <v>797</v>
      </c>
      <c r="E184" s="12" t="s">
        <v>798</v>
      </c>
      <c r="F184" s="182" t="s">
        <v>58</v>
      </c>
      <c r="G184" s="91" t="s">
        <v>160</v>
      </c>
      <c r="H184" s="33" t="s">
        <v>25</v>
      </c>
      <c r="I184" s="75" t="s">
        <v>83</v>
      </c>
      <c r="J184" s="183">
        <v>46050.0</v>
      </c>
      <c r="K184" s="184"/>
      <c r="L184" s="184"/>
      <c r="M184" s="185" t="s">
        <v>799</v>
      </c>
    </row>
    <row r="185">
      <c r="A185" s="33" t="s">
        <v>45</v>
      </c>
      <c r="B185" s="198">
        <v>46047.0</v>
      </c>
      <c r="C185" s="178" t="s">
        <v>148</v>
      </c>
      <c r="D185" s="10" t="s">
        <v>800</v>
      </c>
      <c r="E185" s="12" t="s">
        <v>801</v>
      </c>
      <c r="F185" s="182" t="s">
        <v>58</v>
      </c>
      <c r="G185" s="91" t="s">
        <v>160</v>
      </c>
      <c r="H185" s="33" t="s">
        <v>25</v>
      </c>
      <c r="I185" s="75" t="s">
        <v>74</v>
      </c>
      <c r="J185" s="183">
        <v>46057.0</v>
      </c>
      <c r="K185" s="198">
        <v>46064.0</v>
      </c>
      <c r="L185" s="199">
        <v>1.0</v>
      </c>
      <c r="M185" s="185" t="s">
        <v>802</v>
      </c>
    </row>
    <row r="186">
      <c r="A186" s="33" t="s">
        <v>147</v>
      </c>
      <c r="B186" s="198">
        <v>46048.0</v>
      </c>
      <c r="C186" s="178" t="s">
        <v>148</v>
      </c>
      <c r="D186" s="10" t="s">
        <v>803</v>
      </c>
      <c r="E186" s="12" t="s">
        <v>804</v>
      </c>
      <c r="F186" s="182" t="s">
        <v>58</v>
      </c>
      <c r="G186" s="98" t="s">
        <v>197</v>
      </c>
      <c r="H186" s="33" t="s">
        <v>25</v>
      </c>
      <c r="I186" s="75" t="s">
        <v>83</v>
      </c>
      <c r="J186" s="183">
        <v>46050.0</v>
      </c>
      <c r="K186" s="184"/>
      <c r="L186" s="184"/>
      <c r="M186" s="185" t="s">
        <v>182</v>
      </c>
    </row>
    <row r="187">
      <c r="A187" s="33" t="s">
        <v>108</v>
      </c>
      <c r="B187" s="198">
        <v>46048.0</v>
      </c>
      <c r="C187" s="178" t="s">
        <v>148</v>
      </c>
      <c r="D187" s="10" t="s">
        <v>805</v>
      </c>
      <c r="E187" s="12" t="s">
        <v>806</v>
      </c>
      <c r="F187" s="182" t="s">
        <v>58</v>
      </c>
      <c r="G187" s="95" t="s">
        <v>206</v>
      </c>
      <c r="H187" s="33" t="s">
        <v>25</v>
      </c>
      <c r="I187" s="75" t="s">
        <v>74</v>
      </c>
      <c r="J187" s="183">
        <v>46049.0</v>
      </c>
      <c r="K187" s="184"/>
      <c r="L187" s="184"/>
      <c r="M187" s="185" t="s">
        <v>807</v>
      </c>
    </row>
    <row r="188">
      <c r="A188" s="33" t="s">
        <v>45</v>
      </c>
      <c r="B188" s="198">
        <v>46048.0</v>
      </c>
      <c r="C188" s="178" t="s">
        <v>148</v>
      </c>
      <c r="D188" s="10" t="s">
        <v>808</v>
      </c>
      <c r="E188" s="12" t="s">
        <v>809</v>
      </c>
      <c r="F188" s="182" t="s">
        <v>58</v>
      </c>
      <c r="G188" s="95" t="s">
        <v>206</v>
      </c>
      <c r="H188" s="33" t="s">
        <v>25</v>
      </c>
      <c r="I188" s="75" t="s">
        <v>74</v>
      </c>
      <c r="J188" s="183">
        <v>46049.0</v>
      </c>
      <c r="K188" s="198">
        <v>46108.0</v>
      </c>
      <c r="L188" s="199">
        <v>1.0</v>
      </c>
      <c r="M188" s="185" t="s">
        <v>810</v>
      </c>
    </row>
    <row r="189">
      <c r="A189" s="33" t="s">
        <v>45</v>
      </c>
      <c r="B189" s="181">
        <v>46048.0</v>
      </c>
      <c r="C189" s="178" t="s">
        <v>53</v>
      </c>
      <c r="D189" s="10" t="s">
        <v>811</v>
      </c>
      <c r="E189" s="12" t="s">
        <v>812</v>
      </c>
      <c r="F189" s="182" t="s">
        <v>58</v>
      </c>
      <c r="G189" s="186" t="s">
        <v>813</v>
      </c>
      <c r="H189" s="68"/>
      <c r="I189" s="75" t="s">
        <v>83</v>
      </c>
      <c r="J189" s="77">
        <v>46046.0</v>
      </c>
      <c r="K189" s="135">
        <v>46058.0</v>
      </c>
      <c r="L189" s="33">
        <v>2.0</v>
      </c>
      <c r="M189" s="58" t="s">
        <v>814</v>
      </c>
    </row>
    <row r="190">
      <c r="A190" s="33" t="s">
        <v>815</v>
      </c>
      <c r="B190" s="198">
        <v>46049.0</v>
      </c>
      <c r="C190" s="178" t="s">
        <v>221</v>
      </c>
      <c r="D190" s="10" t="s">
        <v>816</v>
      </c>
      <c r="E190" s="12" t="s">
        <v>817</v>
      </c>
      <c r="F190" s="182" t="s">
        <v>74</v>
      </c>
      <c r="G190" s="186" t="s">
        <v>818</v>
      </c>
      <c r="H190" s="33" t="s">
        <v>25</v>
      </c>
      <c r="I190" s="75" t="s">
        <v>74</v>
      </c>
      <c r="J190" s="183">
        <v>46114.0</v>
      </c>
      <c r="K190" s="184"/>
      <c r="L190" s="184"/>
      <c r="M190" s="185" t="s">
        <v>182</v>
      </c>
    </row>
    <row r="191">
      <c r="A191" s="33" t="s">
        <v>45</v>
      </c>
      <c r="B191" s="198">
        <v>46049.0</v>
      </c>
      <c r="C191" s="178" t="s">
        <v>221</v>
      </c>
      <c r="D191" s="10" t="s">
        <v>819</v>
      </c>
      <c r="E191" s="12" t="s">
        <v>820</v>
      </c>
      <c r="F191" s="182" t="s">
        <v>74</v>
      </c>
      <c r="G191" s="186" t="s">
        <v>821</v>
      </c>
      <c r="H191" s="33" t="s">
        <v>25</v>
      </c>
      <c r="I191" s="75" t="s">
        <v>74</v>
      </c>
      <c r="J191" s="183">
        <v>46049.0</v>
      </c>
      <c r="K191" s="198">
        <v>46095.0</v>
      </c>
      <c r="L191" s="199">
        <v>2.0</v>
      </c>
      <c r="M191" s="185" t="s">
        <v>822</v>
      </c>
    </row>
    <row r="192">
      <c r="A192" s="33" t="s">
        <v>147</v>
      </c>
      <c r="B192" s="198">
        <v>46050.0</v>
      </c>
      <c r="C192" s="178" t="s">
        <v>148</v>
      </c>
      <c r="D192" s="10" t="s">
        <v>823</v>
      </c>
      <c r="E192" s="12" t="s">
        <v>824</v>
      </c>
      <c r="F192" s="182" t="s">
        <v>83</v>
      </c>
      <c r="G192" s="95" t="s">
        <v>825</v>
      </c>
      <c r="H192" s="33" t="s">
        <v>25</v>
      </c>
      <c r="I192" s="75" t="s">
        <v>83</v>
      </c>
      <c r="J192" s="183">
        <v>46050.0</v>
      </c>
      <c r="K192" s="184"/>
      <c r="L192" s="184"/>
      <c r="M192" s="58" t="s">
        <v>826</v>
      </c>
    </row>
    <row r="193">
      <c r="A193" s="33" t="s">
        <v>147</v>
      </c>
      <c r="B193" s="198">
        <v>46050.0</v>
      </c>
      <c r="C193" s="178" t="s">
        <v>148</v>
      </c>
      <c r="D193" s="10" t="s">
        <v>827</v>
      </c>
      <c r="E193" s="12" t="s">
        <v>828</v>
      </c>
      <c r="F193" s="182" t="s">
        <v>58</v>
      </c>
      <c r="G193" s="154" t="s">
        <v>829</v>
      </c>
      <c r="H193" s="33" t="s">
        <v>25</v>
      </c>
      <c r="I193" s="75" t="s">
        <v>58</v>
      </c>
      <c r="J193" s="183">
        <v>46052.0</v>
      </c>
      <c r="K193" s="184"/>
      <c r="L193" s="184"/>
      <c r="M193" s="185" t="s">
        <v>830</v>
      </c>
    </row>
    <row r="194">
      <c r="A194" s="33" t="s">
        <v>108</v>
      </c>
      <c r="B194" s="198">
        <v>46050.0</v>
      </c>
      <c r="C194" s="178" t="s">
        <v>148</v>
      </c>
      <c r="D194" s="10" t="s">
        <v>831</v>
      </c>
      <c r="E194" s="12" t="s">
        <v>832</v>
      </c>
      <c r="F194" s="182" t="s">
        <v>83</v>
      </c>
      <c r="G194" s="95" t="s">
        <v>206</v>
      </c>
      <c r="H194" s="33" t="s">
        <v>25</v>
      </c>
      <c r="I194" s="75" t="s">
        <v>83</v>
      </c>
      <c r="J194" s="183">
        <v>46050.0</v>
      </c>
      <c r="K194" s="184"/>
      <c r="L194" s="184"/>
      <c r="M194" s="58" t="s">
        <v>833</v>
      </c>
    </row>
    <row r="195">
      <c r="A195" s="33" t="s">
        <v>108</v>
      </c>
      <c r="B195" s="198">
        <v>46050.0</v>
      </c>
      <c r="C195" s="178" t="s">
        <v>148</v>
      </c>
      <c r="D195" s="10" t="s">
        <v>834</v>
      </c>
      <c r="E195" s="12" t="s">
        <v>835</v>
      </c>
      <c r="F195" s="182" t="s">
        <v>83</v>
      </c>
      <c r="G195" s="91" t="s">
        <v>160</v>
      </c>
      <c r="H195" s="33" t="s">
        <v>25</v>
      </c>
      <c r="I195" s="75" t="s">
        <v>83</v>
      </c>
      <c r="J195" s="183">
        <v>46051.0</v>
      </c>
      <c r="K195" s="184"/>
      <c r="L195" s="184"/>
      <c r="M195" s="58" t="s">
        <v>836</v>
      </c>
    </row>
    <row r="196">
      <c r="A196" s="33" t="s">
        <v>108</v>
      </c>
      <c r="B196" s="198">
        <v>46050.0</v>
      </c>
      <c r="C196" s="178" t="s">
        <v>148</v>
      </c>
      <c r="D196" s="10" t="s">
        <v>837</v>
      </c>
      <c r="E196" s="12" t="s">
        <v>838</v>
      </c>
      <c r="F196" s="182" t="s">
        <v>83</v>
      </c>
      <c r="G196" s="91" t="s">
        <v>160</v>
      </c>
      <c r="H196" s="33" t="s">
        <v>25</v>
      </c>
      <c r="I196" s="75" t="s">
        <v>83</v>
      </c>
      <c r="J196" s="183">
        <v>46051.0</v>
      </c>
      <c r="K196" s="184"/>
      <c r="L196" s="184"/>
      <c r="M196" s="58" t="s">
        <v>839</v>
      </c>
    </row>
    <row r="197">
      <c r="A197" s="33" t="s">
        <v>108</v>
      </c>
      <c r="B197" s="198">
        <v>46050.0</v>
      </c>
      <c r="C197" s="178" t="s">
        <v>148</v>
      </c>
      <c r="D197" s="10" t="s">
        <v>840</v>
      </c>
      <c r="E197" s="12" t="s">
        <v>841</v>
      </c>
      <c r="F197" s="182" t="s">
        <v>83</v>
      </c>
      <c r="G197" s="91" t="s">
        <v>160</v>
      </c>
      <c r="H197" s="33" t="s">
        <v>25</v>
      </c>
      <c r="I197" s="75" t="s">
        <v>83</v>
      </c>
      <c r="J197" s="183">
        <v>46051.0</v>
      </c>
      <c r="K197" s="184"/>
      <c r="L197" s="184"/>
      <c r="M197" s="58" t="s">
        <v>842</v>
      </c>
    </row>
    <row r="198">
      <c r="A198" s="33" t="s">
        <v>108</v>
      </c>
      <c r="B198" s="198">
        <v>46050.0</v>
      </c>
      <c r="C198" s="178" t="s">
        <v>148</v>
      </c>
      <c r="D198" s="10" t="s">
        <v>843</v>
      </c>
      <c r="E198" s="12" t="s">
        <v>844</v>
      </c>
      <c r="F198" s="182" t="s">
        <v>58</v>
      </c>
      <c r="G198" s="95" t="s">
        <v>206</v>
      </c>
      <c r="H198" s="33" t="s">
        <v>25</v>
      </c>
      <c r="I198" s="75" t="s">
        <v>74</v>
      </c>
      <c r="J198" s="183">
        <v>46053.0</v>
      </c>
      <c r="K198" s="184"/>
      <c r="L198" s="184"/>
      <c r="M198" s="185" t="s">
        <v>845</v>
      </c>
    </row>
    <row r="199">
      <c r="A199" s="33" t="s">
        <v>67</v>
      </c>
      <c r="B199" s="198">
        <v>46050.0</v>
      </c>
      <c r="C199" s="178" t="s">
        <v>148</v>
      </c>
      <c r="D199" s="10" t="s">
        <v>846</v>
      </c>
      <c r="E199" s="12" t="s">
        <v>847</v>
      </c>
      <c r="F199" s="182" t="s">
        <v>58</v>
      </c>
      <c r="G199" s="91" t="s">
        <v>160</v>
      </c>
      <c r="H199" s="33" t="s">
        <v>25</v>
      </c>
      <c r="I199" s="75" t="s">
        <v>83</v>
      </c>
      <c r="J199" s="183">
        <v>46052.0</v>
      </c>
      <c r="K199" s="184"/>
      <c r="L199" s="184"/>
      <c r="M199" s="185" t="s">
        <v>848</v>
      </c>
    </row>
    <row r="200">
      <c r="A200" s="33" t="s">
        <v>67</v>
      </c>
      <c r="B200" s="198">
        <v>46050.0</v>
      </c>
      <c r="C200" s="178" t="s">
        <v>68</v>
      </c>
      <c r="D200" s="10" t="s">
        <v>596</v>
      </c>
      <c r="E200" s="12" t="s">
        <v>849</v>
      </c>
      <c r="F200" s="182" t="s">
        <v>74</v>
      </c>
      <c r="G200" s="186" t="s">
        <v>850</v>
      </c>
      <c r="H200" s="33" t="s">
        <v>25</v>
      </c>
      <c r="I200" s="75" t="s">
        <v>74</v>
      </c>
      <c r="J200" s="183">
        <v>46051.0</v>
      </c>
      <c r="K200" s="184"/>
      <c r="L200" s="184"/>
      <c r="M200" s="185" t="s">
        <v>851</v>
      </c>
    </row>
    <row r="201">
      <c r="A201" s="33" t="s">
        <v>45</v>
      </c>
      <c r="B201" s="198">
        <v>46050.0</v>
      </c>
      <c r="C201" s="178" t="s">
        <v>148</v>
      </c>
      <c r="D201" s="10" t="s">
        <v>852</v>
      </c>
      <c r="E201" s="12" t="s">
        <v>853</v>
      </c>
      <c r="F201" s="182" t="s">
        <v>83</v>
      </c>
      <c r="G201" s="98" t="s">
        <v>197</v>
      </c>
      <c r="H201" s="33" t="s">
        <v>25</v>
      </c>
      <c r="I201" s="75" t="s">
        <v>83</v>
      </c>
      <c r="J201" s="183">
        <v>46051.0</v>
      </c>
      <c r="K201" s="184"/>
      <c r="L201" s="184"/>
      <c r="M201" s="58" t="s">
        <v>854</v>
      </c>
    </row>
    <row r="202">
      <c r="A202" s="33" t="s">
        <v>45</v>
      </c>
      <c r="B202" s="198">
        <v>46050.0</v>
      </c>
      <c r="C202" s="178" t="s">
        <v>148</v>
      </c>
      <c r="D202" s="10" t="s">
        <v>855</v>
      </c>
      <c r="E202" s="12" t="s">
        <v>856</v>
      </c>
      <c r="F202" s="182" t="s">
        <v>83</v>
      </c>
      <c r="G202" s="91" t="s">
        <v>160</v>
      </c>
      <c r="H202" s="33" t="s">
        <v>25</v>
      </c>
      <c r="I202" s="75" t="s">
        <v>74</v>
      </c>
      <c r="J202" s="183">
        <v>46051.0</v>
      </c>
      <c r="K202" s="184"/>
      <c r="L202" s="184"/>
      <c r="M202" s="58" t="s">
        <v>857</v>
      </c>
    </row>
    <row r="203">
      <c r="A203" s="33" t="s">
        <v>45</v>
      </c>
      <c r="B203" s="198">
        <v>46050.0</v>
      </c>
      <c r="C203" s="178" t="s">
        <v>148</v>
      </c>
      <c r="D203" s="10" t="s">
        <v>858</v>
      </c>
      <c r="E203" s="12" t="s">
        <v>859</v>
      </c>
      <c r="F203" s="182" t="s">
        <v>58</v>
      </c>
      <c r="G203" s="91" t="s">
        <v>160</v>
      </c>
      <c r="H203" s="33" t="s">
        <v>25</v>
      </c>
      <c r="I203" s="75" t="s">
        <v>83</v>
      </c>
      <c r="J203" s="183">
        <v>46052.0</v>
      </c>
      <c r="K203" s="198">
        <v>46056.0</v>
      </c>
      <c r="L203" s="199">
        <v>2.0</v>
      </c>
      <c r="M203" s="185" t="s">
        <v>860</v>
      </c>
    </row>
    <row r="204">
      <c r="A204" s="33" t="s">
        <v>45</v>
      </c>
      <c r="B204" s="198">
        <v>46050.0</v>
      </c>
      <c r="C204" s="178" t="s">
        <v>148</v>
      </c>
      <c r="D204" s="10" t="s">
        <v>861</v>
      </c>
      <c r="E204" s="12" t="s">
        <v>862</v>
      </c>
      <c r="F204" s="182" t="s">
        <v>58</v>
      </c>
      <c r="G204" s="95" t="s">
        <v>206</v>
      </c>
      <c r="H204" s="33" t="s">
        <v>25</v>
      </c>
      <c r="I204" s="75" t="s">
        <v>83</v>
      </c>
      <c r="J204" s="183">
        <v>46053.0</v>
      </c>
      <c r="K204" s="184"/>
      <c r="L204" s="184"/>
      <c r="M204" s="185" t="s">
        <v>863</v>
      </c>
    </row>
    <row r="205">
      <c r="A205" s="33" t="s">
        <v>45</v>
      </c>
      <c r="B205" s="198">
        <v>46050.0</v>
      </c>
      <c r="C205" s="178" t="s">
        <v>148</v>
      </c>
      <c r="D205" s="10" t="s">
        <v>864</v>
      </c>
      <c r="E205" s="12" t="s">
        <v>865</v>
      </c>
      <c r="F205" s="182" t="s">
        <v>58</v>
      </c>
      <c r="G205" s="91" t="s">
        <v>160</v>
      </c>
      <c r="H205" s="33" t="s">
        <v>25</v>
      </c>
      <c r="I205" s="75" t="s">
        <v>74</v>
      </c>
      <c r="J205" s="183">
        <v>46056.0</v>
      </c>
      <c r="K205" s="184"/>
      <c r="L205" s="184"/>
      <c r="M205" s="185" t="s">
        <v>866</v>
      </c>
    </row>
    <row r="206">
      <c r="A206" s="33" t="s">
        <v>45</v>
      </c>
      <c r="B206" s="198">
        <v>46050.0</v>
      </c>
      <c r="C206" s="178" t="s">
        <v>53</v>
      </c>
      <c r="D206" s="10" t="s">
        <v>867</v>
      </c>
      <c r="E206" s="12" t="s">
        <v>868</v>
      </c>
      <c r="F206" s="182" t="s">
        <v>83</v>
      </c>
      <c r="G206" s="186" t="s">
        <v>869</v>
      </c>
      <c r="H206" s="68"/>
      <c r="I206" s="75" t="s">
        <v>83</v>
      </c>
      <c r="J206" s="183">
        <v>46050.0</v>
      </c>
      <c r="K206" s="198">
        <v>46058.0</v>
      </c>
      <c r="L206" s="199">
        <v>4.0</v>
      </c>
      <c r="M206" s="185" t="s">
        <v>870</v>
      </c>
    </row>
    <row r="207">
      <c r="A207" s="33" t="s">
        <v>45</v>
      </c>
      <c r="B207" s="198">
        <v>46050.0</v>
      </c>
      <c r="C207" s="178" t="s">
        <v>68</v>
      </c>
      <c r="D207" s="10" t="s">
        <v>871</v>
      </c>
      <c r="E207" s="12" t="s">
        <v>872</v>
      </c>
      <c r="F207" s="182" t="s">
        <v>74</v>
      </c>
      <c r="G207" s="186" t="s">
        <v>873</v>
      </c>
      <c r="H207" s="33" t="s">
        <v>25</v>
      </c>
      <c r="I207" s="75" t="s">
        <v>74</v>
      </c>
      <c r="J207" s="183">
        <v>46050.0</v>
      </c>
      <c r="K207" s="198">
        <v>46058.0</v>
      </c>
      <c r="L207" s="199">
        <v>2.0</v>
      </c>
      <c r="M207" s="185" t="s">
        <v>874</v>
      </c>
    </row>
    <row r="208">
      <c r="A208" s="33" t="s">
        <v>108</v>
      </c>
      <c r="B208" s="198">
        <v>46051.0</v>
      </c>
      <c r="C208" s="178" t="s">
        <v>148</v>
      </c>
      <c r="D208" s="10" t="s">
        <v>875</v>
      </c>
      <c r="E208" s="12" t="s">
        <v>876</v>
      </c>
      <c r="F208" s="182" t="s">
        <v>83</v>
      </c>
      <c r="G208" s="91" t="s">
        <v>877</v>
      </c>
      <c r="H208" s="33" t="s">
        <v>25</v>
      </c>
      <c r="I208" s="75" t="s">
        <v>74</v>
      </c>
      <c r="J208" s="183">
        <v>46053.0</v>
      </c>
      <c r="K208" s="184"/>
      <c r="L208" s="184"/>
      <c r="M208" s="58" t="s">
        <v>190</v>
      </c>
    </row>
    <row r="209">
      <c r="A209" s="33" t="s">
        <v>108</v>
      </c>
      <c r="B209" s="198">
        <v>46051.0</v>
      </c>
      <c r="C209" s="178" t="s">
        <v>148</v>
      </c>
      <c r="D209" s="10" t="s">
        <v>878</v>
      </c>
      <c r="E209" s="12" t="s">
        <v>879</v>
      </c>
      <c r="F209" s="182" t="s">
        <v>83</v>
      </c>
      <c r="G209" s="95" t="s">
        <v>825</v>
      </c>
      <c r="H209" s="33" t="s">
        <v>25</v>
      </c>
      <c r="I209" s="75" t="s">
        <v>74</v>
      </c>
      <c r="J209" s="183">
        <v>46053.0</v>
      </c>
      <c r="K209" s="184"/>
      <c r="L209" s="184"/>
      <c r="M209" s="58" t="s">
        <v>880</v>
      </c>
    </row>
    <row r="210">
      <c r="A210" s="33" t="s">
        <v>108</v>
      </c>
      <c r="B210" s="198">
        <v>46051.0</v>
      </c>
      <c r="C210" s="178" t="s">
        <v>148</v>
      </c>
      <c r="D210" s="10" t="s">
        <v>294</v>
      </c>
      <c r="E210" s="12" t="s">
        <v>881</v>
      </c>
      <c r="F210" s="182" t="s">
        <v>83</v>
      </c>
      <c r="G210" s="95" t="s">
        <v>206</v>
      </c>
      <c r="H210" s="33" t="s">
        <v>25</v>
      </c>
      <c r="I210" s="75" t="s">
        <v>83</v>
      </c>
      <c r="J210" s="183">
        <v>46053.0</v>
      </c>
      <c r="K210" s="184"/>
      <c r="L210" s="184"/>
      <c r="M210" s="58" t="s">
        <v>882</v>
      </c>
    </row>
    <row r="211">
      <c r="A211" s="33" t="s">
        <v>67</v>
      </c>
      <c r="B211" s="198">
        <v>46051.0</v>
      </c>
      <c r="C211" s="178" t="s">
        <v>148</v>
      </c>
      <c r="D211" s="10" t="s">
        <v>883</v>
      </c>
      <c r="E211" s="12" t="s">
        <v>884</v>
      </c>
      <c r="F211" s="182" t="s">
        <v>83</v>
      </c>
      <c r="G211" s="91" t="s">
        <v>160</v>
      </c>
      <c r="H211" s="33" t="s">
        <v>25</v>
      </c>
      <c r="I211" s="75" t="s">
        <v>83</v>
      </c>
      <c r="J211" s="183">
        <v>46053.0</v>
      </c>
      <c r="K211" s="184"/>
      <c r="L211" s="184"/>
      <c r="M211" s="58" t="s">
        <v>885</v>
      </c>
    </row>
    <row r="212">
      <c r="A212" s="33" t="s">
        <v>45</v>
      </c>
      <c r="B212" s="198">
        <v>46051.0</v>
      </c>
      <c r="C212" s="178" t="s">
        <v>148</v>
      </c>
      <c r="D212" s="10" t="s">
        <v>886</v>
      </c>
      <c r="E212" s="12" t="s">
        <v>887</v>
      </c>
      <c r="F212" s="182" t="s">
        <v>83</v>
      </c>
      <c r="G212" s="91" t="s">
        <v>160</v>
      </c>
      <c r="H212" s="33" t="s">
        <v>25</v>
      </c>
      <c r="I212" s="75" t="s">
        <v>74</v>
      </c>
      <c r="J212" s="183">
        <v>46053.0</v>
      </c>
      <c r="K212" s="198">
        <v>46100.0</v>
      </c>
      <c r="L212" s="199">
        <v>2.0</v>
      </c>
      <c r="M212" s="136" t="s">
        <v>888</v>
      </c>
    </row>
    <row r="213">
      <c r="A213" s="33" t="s">
        <v>147</v>
      </c>
      <c r="B213" s="198">
        <v>46053.0</v>
      </c>
      <c r="C213" s="178" t="s">
        <v>148</v>
      </c>
      <c r="D213" s="10" t="s">
        <v>889</v>
      </c>
      <c r="E213" s="12" t="s">
        <v>890</v>
      </c>
      <c r="F213" s="182" t="s">
        <v>83</v>
      </c>
      <c r="G213" s="200" t="s">
        <v>877</v>
      </c>
      <c r="H213" s="33" t="s">
        <v>25</v>
      </c>
      <c r="I213" s="65"/>
      <c r="J213" s="201"/>
      <c r="K213" s="184"/>
      <c r="L213" s="184"/>
      <c r="M213" s="58" t="s">
        <v>891</v>
      </c>
    </row>
    <row r="214">
      <c r="A214" s="33" t="s">
        <v>108</v>
      </c>
      <c r="B214" s="198">
        <v>46053.0</v>
      </c>
      <c r="C214" s="178" t="s">
        <v>148</v>
      </c>
      <c r="D214" s="10" t="s">
        <v>892</v>
      </c>
      <c r="E214" s="12" t="s">
        <v>893</v>
      </c>
      <c r="F214" s="182" t="s">
        <v>83</v>
      </c>
      <c r="G214" s="154" t="s">
        <v>825</v>
      </c>
      <c r="H214" s="33" t="s">
        <v>25</v>
      </c>
      <c r="I214" s="75" t="s">
        <v>58</v>
      </c>
      <c r="J214" s="183">
        <v>46057.0</v>
      </c>
      <c r="K214" s="184"/>
      <c r="L214" s="184"/>
      <c r="M214" s="58" t="s">
        <v>894</v>
      </c>
    </row>
    <row r="215">
      <c r="A215" s="33" t="s">
        <v>108</v>
      </c>
      <c r="B215" s="198">
        <v>46053.0</v>
      </c>
      <c r="C215" s="178" t="s">
        <v>148</v>
      </c>
      <c r="D215" s="10" t="s">
        <v>895</v>
      </c>
      <c r="E215" s="12" t="s">
        <v>896</v>
      </c>
      <c r="F215" s="182" t="s">
        <v>83</v>
      </c>
      <c r="G215" s="98" t="s">
        <v>197</v>
      </c>
      <c r="H215" s="33" t="s">
        <v>25</v>
      </c>
      <c r="I215" s="75" t="s">
        <v>74</v>
      </c>
      <c r="J215" s="183">
        <v>46056.0</v>
      </c>
      <c r="K215" s="184"/>
      <c r="L215" s="184"/>
      <c r="M215" s="58" t="s">
        <v>897</v>
      </c>
    </row>
    <row r="216">
      <c r="A216" s="33" t="s">
        <v>108</v>
      </c>
      <c r="B216" s="198">
        <v>46053.0</v>
      </c>
      <c r="C216" s="178" t="s">
        <v>148</v>
      </c>
      <c r="D216" s="10" t="s">
        <v>898</v>
      </c>
      <c r="E216" s="12" t="s">
        <v>899</v>
      </c>
      <c r="F216" s="182" t="s">
        <v>83</v>
      </c>
      <c r="G216" s="98" t="s">
        <v>197</v>
      </c>
      <c r="H216" s="33" t="s">
        <v>25</v>
      </c>
      <c r="I216" s="75" t="s">
        <v>74</v>
      </c>
      <c r="J216" s="183">
        <v>46053.0</v>
      </c>
      <c r="K216" s="184"/>
      <c r="L216" s="184"/>
      <c r="M216" s="58" t="s">
        <v>900</v>
      </c>
    </row>
    <row r="217">
      <c r="A217" s="33" t="s">
        <v>108</v>
      </c>
      <c r="B217" s="198">
        <v>46053.0</v>
      </c>
      <c r="C217" s="178" t="s">
        <v>148</v>
      </c>
      <c r="D217" s="10" t="s">
        <v>901</v>
      </c>
      <c r="E217" s="12" t="s">
        <v>902</v>
      </c>
      <c r="F217" s="182" t="s">
        <v>83</v>
      </c>
      <c r="G217" s="95" t="s">
        <v>206</v>
      </c>
      <c r="H217" s="33" t="s">
        <v>25</v>
      </c>
      <c r="I217" s="75" t="s">
        <v>74</v>
      </c>
      <c r="J217" s="183">
        <v>46053.0</v>
      </c>
      <c r="K217" s="184"/>
      <c r="L217" s="184"/>
      <c r="M217" s="58" t="s">
        <v>903</v>
      </c>
    </row>
    <row r="218">
      <c r="A218" s="33" t="s">
        <v>108</v>
      </c>
      <c r="B218" s="198">
        <v>46053.0</v>
      </c>
      <c r="C218" s="37" t="s">
        <v>53</v>
      </c>
      <c r="D218" s="10" t="s">
        <v>904</v>
      </c>
      <c r="E218" s="12" t="s">
        <v>905</v>
      </c>
      <c r="F218" s="182" t="s">
        <v>83</v>
      </c>
      <c r="G218" s="186" t="s">
        <v>906</v>
      </c>
      <c r="H218" s="68"/>
      <c r="I218" s="75" t="s">
        <v>74</v>
      </c>
      <c r="J218" s="183">
        <v>46056.0</v>
      </c>
      <c r="K218" s="184"/>
      <c r="L218" s="184"/>
      <c r="M218" s="185" t="s">
        <v>907</v>
      </c>
    </row>
    <row r="219">
      <c r="A219" s="33" t="s">
        <v>908</v>
      </c>
      <c r="B219" s="198">
        <v>46053.0</v>
      </c>
      <c r="C219" s="178" t="s">
        <v>148</v>
      </c>
      <c r="D219" s="10" t="s">
        <v>909</v>
      </c>
      <c r="E219" s="12" t="s">
        <v>910</v>
      </c>
      <c r="F219" s="182" t="s">
        <v>83</v>
      </c>
      <c r="G219" s="154" t="s">
        <v>911</v>
      </c>
      <c r="H219" s="33" t="s">
        <v>25</v>
      </c>
      <c r="I219" s="75" t="s">
        <v>74</v>
      </c>
      <c r="J219" s="183">
        <v>46056.0</v>
      </c>
      <c r="K219" s="184"/>
      <c r="L219" s="184"/>
      <c r="M219" s="58" t="s">
        <v>912</v>
      </c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>
      <c r="A220" s="33" t="s">
        <v>67</v>
      </c>
      <c r="B220" s="198">
        <v>46053.0</v>
      </c>
      <c r="C220" s="178" t="s">
        <v>148</v>
      </c>
      <c r="D220" s="10" t="s">
        <v>913</v>
      </c>
      <c r="E220" s="12" t="s">
        <v>914</v>
      </c>
      <c r="F220" s="182" t="s">
        <v>83</v>
      </c>
      <c r="G220" s="91" t="s">
        <v>160</v>
      </c>
      <c r="H220" s="33" t="s">
        <v>25</v>
      </c>
      <c r="I220" s="75" t="s">
        <v>74</v>
      </c>
      <c r="J220" s="183">
        <v>46067.0</v>
      </c>
      <c r="K220" s="184"/>
      <c r="L220" s="184"/>
      <c r="M220" s="58" t="s">
        <v>915</v>
      </c>
    </row>
    <row r="221">
      <c r="A221" s="33" t="s">
        <v>108</v>
      </c>
      <c r="B221" s="202">
        <v>46056.0</v>
      </c>
      <c r="C221" s="203" t="s">
        <v>916</v>
      </c>
      <c r="D221" s="204" t="s">
        <v>917</v>
      </c>
      <c r="E221" s="205" t="s">
        <v>918</v>
      </c>
      <c r="F221" s="206" t="s">
        <v>74</v>
      </c>
      <c r="G221" s="207" t="s">
        <v>919</v>
      </c>
      <c r="H221" s="208" t="s">
        <v>25</v>
      </c>
      <c r="I221" s="209" t="s">
        <v>74</v>
      </c>
      <c r="J221" s="202">
        <v>46056.0</v>
      </c>
      <c r="K221" s="210"/>
      <c r="L221" s="210"/>
      <c r="M221" s="211"/>
    </row>
    <row r="222">
      <c r="A222" s="33" t="s">
        <v>108</v>
      </c>
      <c r="B222" s="183">
        <v>46056.0</v>
      </c>
      <c r="C222" s="178" t="s">
        <v>916</v>
      </c>
      <c r="D222" s="10" t="s">
        <v>920</v>
      </c>
      <c r="E222" s="12" t="s">
        <v>921</v>
      </c>
      <c r="F222" s="212" t="s">
        <v>74</v>
      </c>
      <c r="G222" s="200" t="s">
        <v>877</v>
      </c>
      <c r="H222" s="33" t="s">
        <v>25</v>
      </c>
      <c r="I222" s="75" t="s">
        <v>74</v>
      </c>
      <c r="J222" s="183">
        <v>46056.0</v>
      </c>
      <c r="K222" s="184"/>
      <c r="L222" s="184"/>
      <c r="M222" s="58" t="s">
        <v>922</v>
      </c>
    </row>
    <row r="223">
      <c r="A223" s="33" t="s">
        <v>108</v>
      </c>
      <c r="B223" s="183">
        <v>46056.0</v>
      </c>
      <c r="C223" s="178" t="s">
        <v>148</v>
      </c>
      <c r="D223" s="10" t="s">
        <v>923</v>
      </c>
      <c r="E223" s="12" t="s">
        <v>924</v>
      </c>
      <c r="F223" s="212" t="s">
        <v>58</v>
      </c>
      <c r="G223" s="186" t="s">
        <v>925</v>
      </c>
      <c r="H223" s="33" t="s">
        <v>25</v>
      </c>
      <c r="I223" s="75" t="s">
        <v>74</v>
      </c>
      <c r="J223" s="183">
        <v>46060.0</v>
      </c>
      <c r="K223" s="184"/>
      <c r="L223" s="184"/>
      <c r="M223" s="185" t="s">
        <v>926</v>
      </c>
    </row>
    <row r="224">
      <c r="A224" s="33" t="s">
        <v>108</v>
      </c>
      <c r="B224" s="183">
        <v>46056.0</v>
      </c>
      <c r="C224" s="178" t="s">
        <v>148</v>
      </c>
      <c r="D224" s="10" t="s">
        <v>927</v>
      </c>
      <c r="E224" s="12" t="s">
        <v>928</v>
      </c>
      <c r="F224" s="212" t="s">
        <v>58</v>
      </c>
      <c r="G224" s="186" t="s">
        <v>925</v>
      </c>
      <c r="H224" s="33" t="s">
        <v>25</v>
      </c>
      <c r="I224" s="75" t="s">
        <v>74</v>
      </c>
      <c r="J224" s="183">
        <v>46060.0</v>
      </c>
      <c r="K224" s="184"/>
      <c r="L224" s="184"/>
      <c r="M224" s="185" t="s">
        <v>929</v>
      </c>
    </row>
    <row r="225">
      <c r="A225" s="33" t="s">
        <v>908</v>
      </c>
      <c r="B225" s="183">
        <v>46056.0</v>
      </c>
      <c r="C225" s="178" t="s">
        <v>916</v>
      </c>
      <c r="D225" s="10" t="s">
        <v>930</v>
      </c>
      <c r="E225" s="12" t="s">
        <v>931</v>
      </c>
      <c r="F225" s="212" t="s">
        <v>74</v>
      </c>
      <c r="G225" s="98" t="s">
        <v>197</v>
      </c>
      <c r="H225" s="33" t="s">
        <v>25</v>
      </c>
      <c r="I225" s="75" t="s">
        <v>74</v>
      </c>
      <c r="J225" s="183">
        <v>46056.0</v>
      </c>
      <c r="K225" s="184"/>
      <c r="L225" s="184"/>
      <c r="M225" s="58" t="s">
        <v>932</v>
      </c>
    </row>
    <row r="226">
      <c r="A226" s="33" t="s">
        <v>67</v>
      </c>
      <c r="B226" s="183">
        <v>46056.0</v>
      </c>
      <c r="C226" s="178" t="s">
        <v>916</v>
      </c>
      <c r="D226" s="10" t="s">
        <v>933</v>
      </c>
      <c r="E226" s="12" t="s">
        <v>934</v>
      </c>
      <c r="F226" s="212" t="s">
        <v>74</v>
      </c>
      <c r="G226" s="154" t="s">
        <v>911</v>
      </c>
      <c r="H226" s="33" t="s">
        <v>25</v>
      </c>
      <c r="I226" s="75" t="s">
        <v>74</v>
      </c>
      <c r="J226" s="183">
        <v>46056.0</v>
      </c>
      <c r="K226" s="184"/>
      <c r="L226" s="184"/>
      <c r="M226" s="58" t="s">
        <v>935</v>
      </c>
    </row>
    <row r="227">
      <c r="A227" s="33" t="s">
        <v>67</v>
      </c>
      <c r="B227" s="183">
        <v>46056.0</v>
      </c>
      <c r="C227" s="178" t="s">
        <v>148</v>
      </c>
      <c r="D227" s="10" t="s">
        <v>936</v>
      </c>
      <c r="E227" s="12" t="s">
        <v>937</v>
      </c>
      <c r="F227" s="212" t="s">
        <v>58</v>
      </c>
      <c r="G227" s="186" t="s">
        <v>938</v>
      </c>
      <c r="H227" s="33" t="s">
        <v>25</v>
      </c>
      <c r="I227" s="75" t="s">
        <v>58</v>
      </c>
      <c r="J227" s="183">
        <v>46057.0</v>
      </c>
      <c r="K227" s="184"/>
      <c r="L227" s="184"/>
      <c r="M227" s="185" t="s">
        <v>939</v>
      </c>
    </row>
    <row r="228">
      <c r="A228" s="33" t="s">
        <v>67</v>
      </c>
      <c r="B228" s="183">
        <v>46056.0</v>
      </c>
      <c r="C228" s="178" t="s">
        <v>53</v>
      </c>
      <c r="D228" s="10" t="s">
        <v>940</v>
      </c>
      <c r="E228" s="12" t="s">
        <v>941</v>
      </c>
      <c r="F228" s="212" t="s">
        <v>74</v>
      </c>
      <c r="G228" s="186" t="s">
        <v>942</v>
      </c>
      <c r="H228" s="68"/>
      <c r="I228" s="75" t="s">
        <v>74</v>
      </c>
      <c r="J228" s="183">
        <v>46056.0</v>
      </c>
      <c r="K228" s="184"/>
      <c r="L228" s="184"/>
      <c r="M228" s="185" t="s">
        <v>943</v>
      </c>
    </row>
    <row r="229">
      <c r="A229" s="33" t="s">
        <v>45</v>
      </c>
      <c r="B229" s="183">
        <v>46056.0</v>
      </c>
      <c r="C229" s="178" t="s">
        <v>916</v>
      </c>
      <c r="D229" s="10" t="s">
        <v>944</v>
      </c>
      <c r="E229" s="12"/>
      <c r="F229" s="212" t="s">
        <v>74</v>
      </c>
      <c r="G229" s="95" t="s">
        <v>206</v>
      </c>
      <c r="H229" s="33" t="s">
        <v>25</v>
      </c>
      <c r="I229" s="75" t="s">
        <v>74</v>
      </c>
      <c r="J229" s="183">
        <v>46056.0</v>
      </c>
      <c r="K229" s="184"/>
      <c r="L229" s="184"/>
      <c r="M229" s="58" t="s">
        <v>945</v>
      </c>
    </row>
    <row r="230">
      <c r="A230" s="33" t="s">
        <v>45</v>
      </c>
      <c r="B230" s="183">
        <v>46056.0</v>
      </c>
      <c r="C230" s="178" t="s">
        <v>916</v>
      </c>
      <c r="D230" s="213" t="s">
        <v>946</v>
      </c>
      <c r="E230" s="12" t="s">
        <v>947</v>
      </c>
      <c r="F230" s="212" t="s">
        <v>74</v>
      </c>
      <c r="G230" s="95" t="s">
        <v>206</v>
      </c>
      <c r="H230" s="33" t="s">
        <v>25</v>
      </c>
      <c r="I230" s="75" t="s">
        <v>74</v>
      </c>
      <c r="J230" s="183">
        <v>46056.0</v>
      </c>
      <c r="K230" s="184"/>
      <c r="L230" s="184"/>
      <c r="M230" s="58" t="s">
        <v>948</v>
      </c>
    </row>
    <row r="231">
      <c r="A231" s="33" t="s">
        <v>45</v>
      </c>
      <c r="B231" s="183">
        <v>46056.0</v>
      </c>
      <c r="C231" s="178" t="s">
        <v>916</v>
      </c>
      <c r="D231" s="10" t="s">
        <v>949</v>
      </c>
      <c r="E231" s="12" t="s">
        <v>950</v>
      </c>
      <c r="F231" s="212" t="s">
        <v>74</v>
      </c>
      <c r="G231" s="154" t="s">
        <v>951</v>
      </c>
      <c r="H231" s="33" t="s">
        <v>25</v>
      </c>
      <c r="I231" s="75" t="s">
        <v>74</v>
      </c>
      <c r="J231" s="183">
        <v>46060.0</v>
      </c>
      <c r="K231" s="184"/>
      <c r="L231" s="184"/>
      <c r="M231" s="214" t="s">
        <v>952</v>
      </c>
    </row>
    <row r="232">
      <c r="A232" s="33" t="s">
        <v>45</v>
      </c>
      <c r="B232" s="183">
        <v>46056.0</v>
      </c>
      <c r="C232" s="178" t="s">
        <v>148</v>
      </c>
      <c r="D232" s="10" t="s">
        <v>953</v>
      </c>
      <c r="E232" s="12" t="s">
        <v>954</v>
      </c>
      <c r="F232" s="212" t="s">
        <v>58</v>
      </c>
      <c r="G232" s="186" t="s">
        <v>911</v>
      </c>
      <c r="H232" s="33" t="s">
        <v>25</v>
      </c>
      <c r="I232" s="75" t="s">
        <v>58</v>
      </c>
      <c r="J232" s="183">
        <v>46057.0</v>
      </c>
      <c r="K232" s="184"/>
      <c r="L232" s="184"/>
      <c r="M232" s="185" t="s">
        <v>955</v>
      </c>
    </row>
    <row r="233">
      <c r="A233" s="33" t="s">
        <v>45</v>
      </c>
      <c r="B233" s="183">
        <v>46056.0</v>
      </c>
      <c r="C233" s="178" t="s">
        <v>53</v>
      </c>
      <c r="D233" s="10" t="s">
        <v>956</v>
      </c>
      <c r="E233" s="12" t="s">
        <v>957</v>
      </c>
      <c r="F233" s="212" t="s">
        <v>74</v>
      </c>
      <c r="G233" s="186" t="s">
        <v>958</v>
      </c>
      <c r="H233" s="68"/>
      <c r="I233" s="75" t="s">
        <v>83</v>
      </c>
      <c r="J233" s="183">
        <v>46057.0</v>
      </c>
      <c r="K233" s="198">
        <v>46064.0</v>
      </c>
      <c r="L233" s="199">
        <v>6.0</v>
      </c>
      <c r="M233" s="215" t="s">
        <v>959</v>
      </c>
    </row>
    <row r="234">
      <c r="A234" s="33" t="s">
        <v>45</v>
      </c>
      <c r="B234" s="183">
        <v>46056.0</v>
      </c>
      <c r="C234" s="216" t="s">
        <v>53</v>
      </c>
      <c r="D234" s="10" t="s">
        <v>960</v>
      </c>
      <c r="E234" s="12" t="s">
        <v>961</v>
      </c>
      <c r="F234" s="217" t="s">
        <v>83</v>
      </c>
      <c r="G234" s="218"/>
      <c r="H234" s="68"/>
      <c r="I234" s="219" t="s">
        <v>83</v>
      </c>
      <c r="J234" s="183">
        <v>46056.0</v>
      </c>
      <c r="K234" s="198">
        <v>46085.0</v>
      </c>
      <c r="L234" s="199">
        <v>1.0</v>
      </c>
      <c r="M234" s="185" t="s">
        <v>962</v>
      </c>
    </row>
    <row r="235">
      <c r="A235" s="33" t="s">
        <v>45</v>
      </c>
      <c r="B235" s="183">
        <v>46056.0</v>
      </c>
      <c r="C235" s="178" t="s">
        <v>68</v>
      </c>
      <c r="D235" s="10" t="s">
        <v>963</v>
      </c>
      <c r="E235" s="12" t="s">
        <v>964</v>
      </c>
      <c r="F235" s="212" t="s">
        <v>74</v>
      </c>
      <c r="G235" s="186" t="s">
        <v>965</v>
      </c>
      <c r="H235" s="33" t="s">
        <v>25</v>
      </c>
      <c r="I235" s="75" t="s">
        <v>58</v>
      </c>
      <c r="J235" s="183">
        <v>46057.0</v>
      </c>
      <c r="K235" s="184"/>
      <c r="L235" s="184"/>
      <c r="M235" s="185" t="s">
        <v>966</v>
      </c>
    </row>
    <row r="236">
      <c r="A236" s="33" t="s">
        <v>45</v>
      </c>
      <c r="B236" s="183">
        <v>46057.0</v>
      </c>
      <c r="C236" s="178" t="s">
        <v>148</v>
      </c>
      <c r="D236" s="10" t="s">
        <v>967</v>
      </c>
      <c r="E236" s="12" t="s">
        <v>968</v>
      </c>
      <c r="F236" s="212" t="s">
        <v>83</v>
      </c>
      <c r="G236" s="186" t="s">
        <v>925</v>
      </c>
      <c r="H236" s="33" t="s">
        <v>25</v>
      </c>
      <c r="I236" s="75" t="s">
        <v>58</v>
      </c>
      <c r="J236" s="183">
        <v>46057.0</v>
      </c>
      <c r="K236" s="184"/>
      <c r="L236" s="184"/>
      <c r="M236" s="185" t="s">
        <v>969</v>
      </c>
    </row>
    <row r="237">
      <c r="A237" s="33" t="s">
        <v>45</v>
      </c>
      <c r="B237" s="183">
        <v>46057.0</v>
      </c>
      <c r="C237" s="178" t="s">
        <v>148</v>
      </c>
      <c r="D237" s="10" t="s">
        <v>970</v>
      </c>
      <c r="E237" s="12" t="s">
        <v>971</v>
      </c>
      <c r="F237" s="212" t="s">
        <v>58</v>
      </c>
      <c r="G237" s="220" t="s">
        <v>206</v>
      </c>
      <c r="H237" s="33" t="s">
        <v>25</v>
      </c>
      <c r="I237" s="75" t="s">
        <v>83</v>
      </c>
      <c r="J237" s="183">
        <v>46059.0</v>
      </c>
      <c r="K237" s="184"/>
      <c r="L237" s="184"/>
      <c r="M237" s="185" t="s">
        <v>972</v>
      </c>
    </row>
    <row r="238">
      <c r="A238" s="33" t="s">
        <v>147</v>
      </c>
      <c r="B238" s="183">
        <v>46058.0</v>
      </c>
      <c r="C238" s="178" t="s">
        <v>148</v>
      </c>
      <c r="D238" s="10" t="s">
        <v>973</v>
      </c>
      <c r="E238" s="12" t="s">
        <v>974</v>
      </c>
      <c r="F238" s="212" t="s">
        <v>83</v>
      </c>
      <c r="G238" s="33" t="s">
        <v>925</v>
      </c>
      <c r="H238" s="33" t="s">
        <v>25</v>
      </c>
      <c r="I238" s="75" t="s">
        <v>83</v>
      </c>
      <c r="J238" s="183">
        <v>46059.0</v>
      </c>
      <c r="K238" s="184"/>
      <c r="L238" s="184"/>
      <c r="M238" s="58" t="s">
        <v>190</v>
      </c>
    </row>
    <row r="239">
      <c r="A239" s="33" t="s">
        <v>147</v>
      </c>
      <c r="B239" s="183">
        <v>46058.0</v>
      </c>
      <c r="C239" s="178" t="s">
        <v>148</v>
      </c>
      <c r="D239" s="10" t="s">
        <v>975</v>
      </c>
      <c r="E239" s="12" t="s">
        <v>976</v>
      </c>
      <c r="F239" s="212" t="s">
        <v>83</v>
      </c>
      <c r="G239" s="200" t="s">
        <v>938</v>
      </c>
      <c r="H239" s="33" t="s">
        <v>25</v>
      </c>
      <c r="I239" s="75" t="s">
        <v>83</v>
      </c>
      <c r="J239" s="183">
        <v>46059.0</v>
      </c>
      <c r="K239" s="184"/>
      <c r="L239" s="184"/>
      <c r="M239" s="58" t="s">
        <v>190</v>
      </c>
    </row>
    <row r="240">
      <c r="A240" s="33" t="s">
        <v>147</v>
      </c>
      <c r="B240" s="183">
        <v>46058.0</v>
      </c>
      <c r="C240" s="178" t="s">
        <v>148</v>
      </c>
      <c r="D240" s="10" t="s">
        <v>977</v>
      </c>
      <c r="E240" s="12" t="s">
        <v>978</v>
      </c>
      <c r="F240" s="212" t="s">
        <v>58</v>
      </c>
      <c r="G240" s="220" t="s">
        <v>825</v>
      </c>
      <c r="H240" s="33" t="s">
        <v>25</v>
      </c>
      <c r="I240" s="221" t="s">
        <v>74</v>
      </c>
      <c r="J240" s="222">
        <v>46060.0</v>
      </c>
      <c r="K240" s="223"/>
      <c r="L240" s="223"/>
      <c r="M240" s="185" t="s">
        <v>190</v>
      </c>
    </row>
    <row r="241">
      <c r="A241" s="33" t="s">
        <v>108</v>
      </c>
      <c r="B241" s="183">
        <v>46058.0</v>
      </c>
      <c r="C241" s="178" t="s">
        <v>148</v>
      </c>
      <c r="D241" s="10" t="s">
        <v>979</v>
      </c>
      <c r="E241" s="12" t="s">
        <v>980</v>
      </c>
      <c r="F241" s="212" t="s">
        <v>83</v>
      </c>
      <c r="G241" s="68" t="s">
        <v>197</v>
      </c>
      <c r="H241" s="33" t="s">
        <v>25</v>
      </c>
      <c r="I241" s="75" t="s">
        <v>83</v>
      </c>
      <c r="J241" s="183">
        <v>46059.0</v>
      </c>
      <c r="K241" s="184"/>
      <c r="L241" s="184"/>
      <c r="M241" s="58" t="s">
        <v>981</v>
      </c>
    </row>
    <row r="242">
      <c r="A242" s="33" t="s">
        <v>108</v>
      </c>
      <c r="B242" s="183">
        <v>46058.0</v>
      </c>
      <c r="C242" s="178" t="s">
        <v>148</v>
      </c>
      <c r="D242" s="10" t="s">
        <v>982</v>
      </c>
      <c r="E242" s="12" t="s">
        <v>983</v>
      </c>
      <c r="F242" s="212" t="s">
        <v>83</v>
      </c>
      <c r="G242" s="220" t="s">
        <v>825</v>
      </c>
      <c r="H242" s="33" t="s">
        <v>25</v>
      </c>
      <c r="I242" s="75" t="s">
        <v>74</v>
      </c>
      <c r="J242" s="183">
        <v>46060.0</v>
      </c>
      <c r="K242" s="184"/>
      <c r="L242" s="184"/>
      <c r="M242" s="58" t="s">
        <v>984</v>
      </c>
    </row>
    <row r="243">
      <c r="A243" s="33" t="s">
        <v>108</v>
      </c>
      <c r="B243" s="183">
        <v>46058.0</v>
      </c>
      <c r="C243" s="178" t="s">
        <v>148</v>
      </c>
      <c r="D243" s="10" t="s">
        <v>985</v>
      </c>
      <c r="E243" s="12" t="s">
        <v>986</v>
      </c>
      <c r="F243" s="212" t="s">
        <v>58</v>
      </c>
      <c r="G243" s="220" t="s">
        <v>825</v>
      </c>
      <c r="H243" s="33" t="s">
        <v>25</v>
      </c>
      <c r="I243" s="75" t="s">
        <v>74</v>
      </c>
      <c r="J243" s="183">
        <v>46060.0</v>
      </c>
      <c r="K243" s="184"/>
      <c r="L243" s="184"/>
      <c r="M243" s="185" t="s">
        <v>987</v>
      </c>
    </row>
    <row r="244">
      <c r="A244" s="33" t="s">
        <v>108</v>
      </c>
      <c r="B244" s="183">
        <v>46058.0</v>
      </c>
      <c r="C244" s="178" t="s">
        <v>53</v>
      </c>
      <c r="D244" s="10" t="s">
        <v>988</v>
      </c>
      <c r="E244" s="12"/>
      <c r="F244" s="212" t="s">
        <v>83</v>
      </c>
      <c r="G244" s="218"/>
      <c r="H244" s="68"/>
      <c r="I244" s="75" t="s">
        <v>83</v>
      </c>
      <c r="J244" s="183">
        <v>46058.0</v>
      </c>
      <c r="K244" s="184"/>
      <c r="L244" s="184"/>
      <c r="M244" s="185" t="s">
        <v>989</v>
      </c>
    </row>
    <row r="245">
      <c r="A245" s="33" t="s">
        <v>67</v>
      </c>
      <c r="B245" s="183">
        <v>46058.0</v>
      </c>
      <c r="C245" s="178" t="s">
        <v>148</v>
      </c>
      <c r="D245" s="10" t="s">
        <v>990</v>
      </c>
      <c r="E245" s="12" t="s">
        <v>991</v>
      </c>
      <c r="F245" s="212" t="s">
        <v>58</v>
      </c>
      <c r="G245" s="200" t="s">
        <v>160</v>
      </c>
      <c r="H245" s="33" t="s">
        <v>25</v>
      </c>
      <c r="I245" s="221" t="s">
        <v>83</v>
      </c>
      <c r="J245" s="222">
        <v>46059.0</v>
      </c>
      <c r="K245" s="223"/>
      <c r="L245" s="223"/>
      <c r="M245" s="196" t="s">
        <v>992</v>
      </c>
    </row>
    <row r="246">
      <c r="A246" s="33" t="s">
        <v>45</v>
      </c>
      <c r="B246" s="183">
        <v>46058.0</v>
      </c>
      <c r="C246" s="178" t="s">
        <v>148</v>
      </c>
      <c r="D246" s="10" t="s">
        <v>993</v>
      </c>
      <c r="E246" s="12" t="s">
        <v>994</v>
      </c>
      <c r="F246" s="212" t="s">
        <v>58</v>
      </c>
      <c r="G246" s="220" t="s">
        <v>825</v>
      </c>
      <c r="H246" s="33" t="s">
        <v>25</v>
      </c>
      <c r="I246" s="75" t="s">
        <v>74</v>
      </c>
      <c r="J246" s="183">
        <v>46059.0</v>
      </c>
      <c r="K246" s="184"/>
      <c r="L246" s="184"/>
      <c r="M246" s="185" t="s">
        <v>995</v>
      </c>
    </row>
    <row r="247">
      <c r="A247" s="33" t="s">
        <v>45</v>
      </c>
      <c r="B247" s="183">
        <v>46058.0</v>
      </c>
      <c r="C247" s="178" t="s">
        <v>380</v>
      </c>
      <c r="D247" s="10" t="s">
        <v>996</v>
      </c>
      <c r="E247" s="12" t="s">
        <v>997</v>
      </c>
      <c r="F247" s="212" t="s">
        <v>74</v>
      </c>
      <c r="G247" s="186" t="s">
        <v>998</v>
      </c>
      <c r="H247" s="68"/>
      <c r="I247" s="75" t="s">
        <v>74</v>
      </c>
      <c r="J247" s="183">
        <v>46059.0</v>
      </c>
      <c r="K247" s="184"/>
      <c r="L247" s="184"/>
      <c r="M247" s="185" t="s">
        <v>999</v>
      </c>
    </row>
    <row r="248">
      <c r="A248" s="33" t="s">
        <v>45</v>
      </c>
      <c r="B248" s="224">
        <v>46059.0</v>
      </c>
      <c r="C248" s="225" t="s">
        <v>68</v>
      </c>
      <c r="D248" s="10" t="s">
        <v>1000</v>
      </c>
      <c r="E248" s="12" t="s">
        <v>1001</v>
      </c>
      <c r="F248" s="226" t="s">
        <v>83</v>
      </c>
      <c r="G248" s="227" t="s">
        <v>1002</v>
      </c>
      <c r="H248" s="46"/>
      <c r="I248" s="221" t="s">
        <v>83</v>
      </c>
      <c r="J248" s="222">
        <v>46059.0</v>
      </c>
      <c r="K248" s="224">
        <v>46060.0</v>
      </c>
      <c r="L248" s="228">
        <v>2.0</v>
      </c>
      <c r="M248" s="185" t="s">
        <v>1003</v>
      </c>
    </row>
    <row r="249">
      <c r="A249" s="33" t="s">
        <v>147</v>
      </c>
      <c r="B249" s="224">
        <v>46060.0</v>
      </c>
      <c r="C249" s="225" t="s">
        <v>148</v>
      </c>
      <c r="D249" s="10" t="s">
        <v>1004</v>
      </c>
      <c r="E249" s="12" t="s">
        <v>1005</v>
      </c>
      <c r="F249" s="226" t="s">
        <v>83</v>
      </c>
      <c r="G249" s="33" t="s">
        <v>1006</v>
      </c>
      <c r="H249" s="55" t="s">
        <v>25</v>
      </c>
      <c r="I249" s="221" t="s">
        <v>74</v>
      </c>
      <c r="J249" s="222">
        <v>46060.0</v>
      </c>
      <c r="K249" s="223"/>
      <c r="L249" s="223"/>
      <c r="M249" s="58" t="s">
        <v>182</v>
      </c>
    </row>
    <row r="250">
      <c r="A250" s="33" t="s">
        <v>108</v>
      </c>
      <c r="B250" s="224">
        <v>46060.0</v>
      </c>
      <c r="C250" s="225" t="s">
        <v>148</v>
      </c>
      <c r="D250" s="10" t="s">
        <v>1007</v>
      </c>
      <c r="E250" s="12" t="s">
        <v>1008</v>
      </c>
      <c r="F250" s="226" t="s">
        <v>83</v>
      </c>
      <c r="G250" s="68" t="s">
        <v>160</v>
      </c>
      <c r="H250" s="55" t="s">
        <v>25</v>
      </c>
      <c r="I250" s="49"/>
      <c r="J250" s="72"/>
      <c r="K250" s="223"/>
      <c r="L250" s="223"/>
      <c r="M250" s="70" t="s">
        <v>1009</v>
      </c>
    </row>
    <row r="251">
      <c r="A251" s="33" t="s">
        <v>108</v>
      </c>
      <c r="B251" s="224">
        <v>46060.0</v>
      </c>
      <c r="C251" s="225" t="s">
        <v>148</v>
      </c>
      <c r="D251" s="10" t="s">
        <v>1010</v>
      </c>
      <c r="E251" s="12" t="s">
        <v>1011</v>
      </c>
      <c r="F251" s="226" t="s">
        <v>83</v>
      </c>
      <c r="G251" s="33" t="s">
        <v>938</v>
      </c>
      <c r="H251" s="55" t="s">
        <v>25</v>
      </c>
      <c r="I251" s="221" t="s">
        <v>74</v>
      </c>
      <c r="J251" s="222">
        <v>46060.0</v>
      </c>
      <c r="K251" s="223"/>
      <c r="L251" s="223"/>
      <c r="M251" s="58" t="s">
        <v>1012</v>
      </c>
    </row>
    <row r="252">
      <c r="A252" s="33" t="s">
        <v>108</v>
      </c>
      <c r="B252" s="224">
        <v>46060.0</v>
      </c>
      <c r="C252" s="225" t="s">
        <v>148</v>
      </c>
      <c r="D252" s="10" t="s">
        <v>1013</v>
      </c>
      <c r="E252" s="12" t="s">
        <v>1014</v>
      </c>
      <c r="F252" s="226" t="s">
        <v>83</v>
      </c>
      <c r="G252" s="33" t="s">
        <v>877</v>
      </c>
      <c r="H252" s="55" t="s">
        <v>25</v>
      </c>
      <c r="I252" s="221" t="s">
        <v>74</v>
      </c>
      <c r="J252" s="222">
        <v>46060.0</v>
      </c>
      <c r="K252" s="223"/>
      <c r="L252" s="223"/>
      <c r="M252" s="58" t="s">
        <v>1015</v>
      </c>
    </row>
    <row r="253">
      <c r="A253" s="33" t="s">
        <v>1016</v>
      </c>
      <c r="B253" s="224">
        <v>46060.0</v>
      </c>
      <c r="C253" s="225" t="s">
        <v>148</v>
      </c>
      <c r="D253" s="10" t="s">
        <v>1017</v>
      </c>
      <c r="E253" s="12" t="s">
        <v>1018</v>
      </c>
      <c r="F253" s="226" t="s">
        <v>83</v>
      </c>
      <c r="G253" s="33" t="s">
        <v>911</v>
      </c>
      <c r="H253" s="55" t="s">
        <v>25</v>
      </c>
      <c r="I253" s="221" t="s">
        <v>83</v>
      </c>
      <c r="J253" s="222">
        <v>46084.0</v>
      </c>
      <c r="K253" s="223"/>
      <c r="L253" s="223"/>
      <c r="M253" s="58"/>
    </row>
    <row r="254">
      <c r="A254" s="33" t="s">
        <v>67</v>
      </c>
      <c r="B254" s="224">
        <v>46060.0</v>
      </c>
      <c r="C254" s="225" t="s">
        <v>148</v>
      </c>
      <c r="D254" s="10" t="s">
        <v>1019</v>
      </c>
      <c r="E254" s="12" t="s">
        <v>1020</v>
      </c>
      <c r="F254" s="226" t="s">
        <v>83</v>
      </c>
      <c r="G254" s="33" t="s">
        <v>938</v>
      </c>
      <c r="H254" s="55" t="s">
        <v>25</v>
      </c>
      <c r="I254" s="221" t="s">
        <v>74</v>
      </c>
      <c r="J254" s="222">
        <v>46060.0</v>
      </c>
      <c r="K254" s="223"/>
      <c r="L254" s="223"/>
      <c r="M254" s="136" t="s">
        <v>1021</v>
      </c>
    </row>
    <row r="255">
      <c r="A255" s="33" t="s">
        <v>45</v>
      </c>
      <c r="B255" s="224">
        <v>46060.0</v>
      </c>
      <c r="C255" s="225" t="s">
        <v>68</v>
      </c>
      <c r="D255" s="10" t="s">
        <v>1022</v>
      </c>
      <c r="E255" s="12" t="s">
        <v>1023</v>
      </c>
      <c r="F255" s="226" t="s">
        <v>83</v>
      </c>
      <c r="G255" s="218"/>
      <c r="H255" s="46"/>
      <c r="I255" s="221" t="s">
        <v>83</v>
      </c>
      <c r="J255" s="222">
        <v>46060.0</v>
      </c>
      <c r="K255" s="224">
        <v>46060.0</v>
      </c>
      <c r="L255" s="228">
        <v>3.0</v>
      </c>
      <c r="M255" s="185" t="s">
        <v>1024</v>
      </c>
    </row>
    <row r="256">
      <c r="A256" s="33" t="s">
        <v>45</v>
      </c>
      <c r="B256" s="224">
        <v>46060.0</v>
      </c>
      <c r="C256" s="225" t="s">
        <v>53</v>
      </c>
      <c r="D256" s="10" t="s">
        <v>1025</v>
      </c>
      <c r="E256" s="12" t="s">
        <v>1026</v>
      </c>
      <c r="F256" s="226" t="s">
        <v>74</v>
      </c>
      <c r="G256" s="186" t="s">
        <v>1027</v>
      </c>
      <c r="H256" s="55"/>
      <c r="I256" s="221" t="s">
        <v>74</v>
      </c>
      <c r="J256" s="222">
        <v>46060.0</v>
      </c>
      <c r="K256" s="224">
        <v>46120.0</v>
      </c>
      <c r="L256" s="228">
        <v>2.0</v>
      </c>
      <c r="M256" s="185" t="s">
        <v>1028</v>
      </c>
    </row>
    <row r="257">
      <c r="A257" s="33" t="s">
        <v>147</v>
      </c>
      <c r="B257" s="224">
        <v>46063.0</v>
      </c>
      <c r="C257" s="225" t="s">
        <v>148</v>
      </c>
      <c r="D257" s="10" t="s">
        <v>1029</v>
      </c>
      <c r="E257" s="12" t="s">
        <v>1030</v>
      </c>
      <c r="F257" s="226"/>
      <c r="G257" s="33" t="s">
        <v>1031</v>
      </c>
      <c r="H257" s="55" t="s">
        <v>25</v>
      </c>
      <c r="I257" s="221" t="s">
        <v>74</v>
      </c>
      <c r="J257" s="222">
        <v>46065.0</v>
      </c>
      <c r="K257" s="223"/>
      <c r="L257" s="223"/>
      <c r="M257" s="58" t="s">
        <v>190</v>
      </c>
    </row>
    <row r="258">
      <c r="A258" s="33" t="s">
        <v>147</v>
      </c>
      <c r="B258" s="224">
        <v>46063.0</v>
      </c>
      <c r="C258" s="225" t="s">
        <v>148</v>
      </c>
      <c r="D258" s="10" t="s">
        <v>1032</v>
      </c>
      <c r="E258" s="12" t="s">
        <v>1033</v>
      </c>
      <c r="F258" s="226"/>
      <c r="G258" s="33" t="s">
        <v>1034</v>
      </c>
      <c r="H258" s="55" t="s">
        <v>25</v>
      </c>
      <c r="I258" s="221" t="s">
        <v>74</v>
      </c>
      <c r="J258" s="222">
        <v>46064.0</v>
      </c>
      <c r="K258" s="223"/>
      <c r="L258" s="223"/>
      <c r="M258" s="58" t="s">
        <v>190</v>
      </c>
    </row>
    <row r="259">
      <c r="A259" s="33" t="s">
        <v>108</v>
      </c>
      <c r="B259" s="224">
        <v>46063.0</v>
      </c>
      <c r="C259" s="225" t="s">
        <v>148</v>
      </c>
      <c r="D259" s="10" t="s">
        <v>1035</v>
      </c>
      <c r="E259" s="12" t="s">
        <v>1036</v>
      </c>
      <c r="F259" s="226"/>
      <c r="G259" s="33" t="s">
        <v>877</v>
      </c>
      <c r="H259" s="55" t="s">
        <v>25</v>
      </c>
      <c r="I259" s="221" t="s">
        <v>74</v>
      </c>
      <c r="J259" s="222">
        <v>46063.0</v>
      </c>
      <c r="K259" s="223"/>
      <c r="L259" s="223"/>
      <c r="M259" s="58" t="s">
        <v>1037</v>
      </c>
    </row>
    <row r="260">
      <c r="A260" s="33" t="s">
        <v>108</v>
      </c>
      <c r="B260" s="224">
        <v>46063.0</v>
      </c>
      <c r="C260" s="225" t="s">
        <v>148</v>
      </c>
      <c r="D260" s="10" t="s">
        <v>1038</v>
      </c>
      <c r="E260" s="12" t="s">
        <v>1039</v>
      </c>
      <c r="F260" s="226"/>
      <c r="G260" s="33" t="s">
        <v>925</v>
      </c>
      <c r="H260" s="55" t="s">
        <v>25</v>
      </c>
      <c r="I260" s="221" t="s">
        <v>74</v>
      </c>
      <c r="J260" s="222">
        <v>46067.0</v>
      </c>
      <c r="K260" s="223"/>
      <c r="L260" s="223"/>
      <c r="M260" s="136" t="s">
        <v>1040</v>
      </c>
      <c r="N260" s="19">
        <v>9.81528028E8</v>
      </c>
    </row>
    <row r="261">
      <c r="A261" s="33" t="s">
        <v>108</v>
      </c>
      <c r="B261" s="224">
        <v>46063.0</v>
      </c>
      <c r="C261" s="225" t="s">
        <v>148</v>
      </c>
      <c r="D261" s="10" t="s">
        <v>1041</v>
      </c>
      <c r="E261" s="12" t="s">
        <v>1042</v>
      </c>
      <c r="F261" s="226"/>
      <c r="G261" s="33" t="s">
        <v>925</v>
      </c>
      <c r="H261" s="55" t="s">
        <v>25</v>
      </c>
      <c r="I261" s="221" t="s">
        <v>74</v>
      </c>
      <c r="J261" s="222">
        <v>46067.0</v>
      </c>
      <c r="K261" s="223"/>
      <c r="L261" s="223"/>
      <c r="M261" s="58" t="s">
        <v>1043</v>
      </c>
    </row>
    <row r="262">
      <c r="A262" s="33" t="s">
        <v>108</v>
      </c>
      <c r="B262" s="224">
        <v>46063.0</v>
      </c>
      <c r="C262" s="225" t="s">
        <v>53</v>
      </c>
      <c r="D262" s="10" t="s">
        <v>1044</v>
      </c>
      <c r="E262" s="12" t="s">
        <v>1045</v>
      </c>
      <c r="F262" s="226"/>
      <c r="G262" s="186" t="s">
        <v>1046</v>
      </c>
      <c r="H262" s="46"/>
      <c r="I262" s="221" t="s">
        <v>74</v>
      </c>
      <c r="J262" s="222">
        <v>46064.0</v>
      </c>
      <c r="K262" s="223"/>
      <c r="L262" s="223"/>
      <c r="M262" s="229" t="s">
        <v>1047</v>
      </c>
    </row>
    <row r="263">
      <c r="A263" s="33" t="s">
        <v>1016</v>
      </c>
      <c r="B263" s="224">
        <v>46063.0</v>
      </c>
      <c r="C263" s="225" t="s">
        <v>148</v>
      </c>
      <c r="D263" s="10" t="s">
        <v>1048</v>
      </c>
      <c r="E263" s="12" t="s">
        <v>1049</v>
      </c>
      <c r="F263" s="226"/>
      <c r="G263" s="68" t="s">
        <v>275</v>
      </c>
      <c r="H263" s="55" t="s">
        <v>25</v>
      </c>
      <c r="I263" s="221" t="s">
        <v>83</v>
      </c>
      <c r="J263" s="222">
        <v>46084.0</v>
      </c>
      <c r="K263" s="223"/>
      <c r="L263" s="223"/>
      <c r="M263" s="70" t="s">
        <v>1009</v>
      </c>
    </row>
    <row r="264">
      <c r="A264" s="33" t="s">
        <v>1016</v>
      </c>
      <c r="B264" s="224">
        <v>46063.0</v>
      </c>
      <c r="C264" s="225" t="s">
        <v>148</v>
      </c>
      <c r="D264" s="10" t="s">
        <v>1050</v>
      </c>
      <c r="E264" s="12" t="s">
        <v>1051</v>
      </c>
      <c r="F264" s="226"/>
      <c r="G264" s="68" t="s">
        <v>206</v>
      </c>
      <c r="H264" s="55" t="s">
        <v>25</v>
      </c>
      <c r="I264" s="221" t="s">
        <v>83</v>
      </c>
      <c r="J264" s="222">
        <v>46084.0</v>
      </c>
      <c r="K264" s="223"/>
      <c r="L264" s="223"/>
      <c r="M264" s="70" t="s">
        <v>1009</v>
      </c>
    </row>
    <row r="265">
      <c r="A265" s="33" t="s">
        <v>67</v>
      </c>
      <c r="B265" s="224">
        <v>46063.0</v>
      </c>
      <c r="C265" s="225" t="s">
        <v>53</v>
      </c>
      <c r="D265" s="10" t="s">
        <v>1052</v>
      </c>
      <c r="E265" s="12" t="s">
        <v>1053</v>
      </c>
      <c r="F265" s="226" t="s">
        <v>83</v>
      </c>
      <c r="G265" s="186" t="s">
        <v>1054</v>
      </c>
      <c r="H265" s="46"/>
      <c r="I265" s="221" t="s">
        <v>74</v>
      </c>
      <c r="J265" s="222">
        <v>46114.0</v>
      </c>
      <c r="K265" s="223"/>
      <c r="L265" s="223"/>
      <c r="M265" s="185" t="s">
        <v>1055</v>
      </c>
    </row>
    <row r="266">
      <c r="A266" s="33" t="s">
        <v>67</v>
      </c>
      <c r="B266" s="224">
        <v>46063.0</v>
      </c>
      <c r="C266" s="225" t="s">
        <v>148</v>
      </c>
      <c r="D266" s="10" t="s">
        <v>1056</v>
      </c>
      <c r="E266" s="12" t="s">
        <v>1057</v>
      </c>
      <c r="F266" s="226"/>
      <c r="G266" s="33" t="s">
        <v>877</v>
      </c>
      <c r="H266" s="55" t="s">
        <v>25</v>
      </c>
      <c r="I266" s="221" t="s">
        <v>74</v>
      </c>
      <c r="J266" s="222">
        <v>46063.0</v>
      </c>
      <c r="K266" s="223"/>
      <c r="L266" s="223"/>
      <c r="M266" s="136" t="s">
        <v>1058</v>
      </c>
    </row>
    <row r="267">
      <c r="A267" s="33" t="s">
        <v>815</v>
      </c>
      <c r="B267" s="224">
        <v>46063.0</v>
      </c>
      <c r="C267" s="225" t="s">
        <v>68</v>
      </c>
      <c r="D267" s="10" t="s">
        <v>1059</v>
      </c>
      <c r="E267" s="12" t="s">
        <v>1060</v>
      </c>
      <c r="F267" s="226" t="s">
        <v>83</v>
      </c>
      <c r="G267" s="186" t="s">
        <v>1061</v>
      </c>
      <c r="H267" s="55" t="s">
        <v>25</v>
      </c>
      <c r="I267" s="221" t="s">
        <v>74</v>
      </c>
      <c r="J267" s="222">
        <v>46067.0</v>
      </c>
      <c r="K267" s="223"/>
      <c r="L267" s="223"/>
      <c r="M267" s="185" t="s">
        <v>190</v>
      </c>
    </row>
    <row r="268">
      <c r="A268" s="33" t="s">
        <v>45</v>
      </c>
      <c r="B268" s="224">
        <v>46063.0</v>
      </c>
      <c r="C268" s="225" t="s">
        <v>148</v>
      </c>
      <c r="D268" s="10" t="s">
        <v>1062</v>
      </c>
      <c r="E268" s="12" t="s">
        <v>1063</v>
      </c>
      <c r="F268" s="226"/>
      <c r="G268" s="33" t="s">
        <v>925</v>
      </c>
      <c r="H268" s="55" t="s">
        <v>25</v>
      </c>
      <c r="I268" s="221" t="s">
        <v>74</v>
      </c>
      <c r="J268" s="222">
        <v>46063.0</v>
      </c>
      <c r="K268" s="223"/>
      <c r="L268" s="223"/>
      <c r="M268" s="58" t="s">
        <v>1064</v>
      </c>
    </row>
    <row r="269">
      <c r="A269" s="33" t="s">
        <v>45</v>
      </c>
      <c r="B269" s="224">
        <v>46063.0</v>
      </c>
      <c r="C269" s="225" t="s">
        <v>148</v>
      </c>
      <c r="D269" s="10" t="s">
        <v>1065</v>
      </c>
      <c r="E269" s="12" t="s">
        <v>1066</v>
      </c>
      <c r="F269" s="226"/>
      <c r="G269" s="33" t="s">
        <v>1006</v>
      </c>
      <c r="H269" s="55" t="s">
        <v>25</v>
      </c>
      <c r="I269" s="221" t="s">
        <v>74</v>
      </c>
      <c r="J269" s="222">
        <v>46064.0</v>
      </c>
      <c r="K269" s="223"/>
      <c r="L269" s="223"/>
      <c r="M269" s="58" t="s">
        <v>1067</v>
      </c>
    </row>
    <row r="270">
      <c r="A270" s="33" t="s">
        <v>147</v>
      </c>
      <c r="B270" s="224">
        <v>46064.0</v>
      </c>
      <c r="C270" s="225" t="s">
        <v>148</v>
      </c>
      <c r="D270" s="10" t="s">
        <v>1068</v>
      </c>
      <c r="E270" s="12" t="s">
        <v>1069</v>
      </c>
      <c r="F270" s="226"/>
      <c r="G270" s="230" t="s">
        <v>877</v>
      </c>
      <c r="H270" s="55" t="s">
        <v>25</v>
      </c>
      <c r="I270" s="221" t="s">
        <v>74</v>
      </c>
      <c r="J270" s="222">
        <v>46067.0</v>
      </c>
      <c r="K270" s="223"/>
      <c r="L270" s="223"/>
      <c r="M270" s="58" t="s">
        <v>190</v>
      </c>
    </row>
    <row r="271">
      <c r="A271" s="33" t="s">
        <v>147</v>
      </c>
      <c r="B271" s="224">
        <v>46064.0</v>
      </c>
      <c r="C271" s="225" t="s">
        <v>148</v>
      </c>
      <c r="D271" s="10" t="s">
        <v>1070</v>
      </c>
      <c r="E271" s="12" t="s">
        <v>1071</v>
      </c>
      <c r="F271" s="226"/>
      <c r="G271" s="230" t="s">
        <v>877</v>
      </c>
      <c r="H271" s="55" t="s">
        <v>25</v>
      </c>
      <c r="I271" s="221" t="s">
        <v>74</v>
      </c>
      <c r="J271" s="222">
        <v>46064.0</v>
      </c>
      <c r="K271" s="223"/>
      <c r="L271" s="223"/>
      <c r="M271" s="58" t="s">
        <v>190</v>
      </c>
    </row>
    <row r="272">
      <c r="A272" s="33" t="s">
        <v>147</v>
      </c>
      <c r="B272" s="224">
        <v>46064.0</v>
      </c>
      <c r="C272" s="225" t="s">
        <v>148</v>
      </c>
      <c r="D272" s="10" t="s">
        <v>1072</v>
      </c>
      <c r="E272" s="12" t="s">
        <v>1073</v>
      </c>
      <c r="F272" s="226"/>
      <c r="G272" s="33" t="s">
        <v>1006</v>
      </c>
      <c r="H272" s="55" t="s">
        <v>25</v>
      </c>
      <c r="I272" s="221" t="s">
        <v>74</v>
      </c>
      <c r="J272" s="222">
        <v>46067.0</v>
      </c>
      <c r="K272" s="223"/>
      <c r="L272" s="223"/>
      <c r="M272" s="58" t="s">
        <v>190</v>
      </c>
    </row>
    <row r="273">
      <c r="A273" s="33" t="s">
        <v>147</v>
      </c>
      <c r="B273" s="224">
        <v>46064.0</v>
      </c>
      <c r="C273" s="225" t="s">
        <v>148</v>
      </c>
      <c r="D273" s="10" t="s">
        <v>1074</v>
      </c>
      <c r="E273" s="12" t="s">
        <v>1075</v>
      </c>
      <c r="F273" s="226"/>
      <c r="G273" s="230" t="s">
        <v>938</v>
      </c>
      <c r="H273" s="55" t="s">
        <v>25</v>
      </c>
      <c r="I273" s="221" t="s">
        <v>74</v>
      </c>
      <c r="J273" s="222">
        <v>46064.0</v>
      </c>
      <c r="K273" s="223"/>
      <c r="L273" s="223"/>
      <c r="M273" s="58" t="s">
        <v>190</v>
      </c>
    </row>
    <row r="274">
      <c r="A274" s="33" t="s">
        <v>147</v>
      </c>
      <c r="B274" s="224">
        <v>46064.0</v>
      </c>
      <c r="C274" s="225" t="s">
        <v>148</v>
      </c>
      <c r="D274" s="10" t="s">
        <v>1076</v>
      </c>
      <c r="E274" s="12" t="s">
        <v>1077</v>
      </c>
      <c r="F274" s="226"/>
      <c r="G274" s="230" t="s">
        <v>877</v>
      </c>
      <c r="H274" s="55" t="s">
        <v>25</v>
      </c>
      <c r="I274" s="221" t="s">
        <v>74</v>
      </c>
      <c r="J274" s="222">
        <v>46064.0</v>
      </c>
      <c r="K274" s="223"/>
      <c r="L274" s="223"/>
      <c r="M274" s="58" t="s">
        <v>1078</v>
      </c>
    </row>
    <row r="275">
      <c r="A275" s="33" t="s">
        <v>108</v>
      </c>
      <c r="B275" s="224">
        <v>46064.0</v>
      </c>
      <c r="C275" s="225" t="s">
        <v>148</v>
      </c>
      <c r="D275" s="10" t="s">
        <v>1079</v>
      </c>
      <c r="E275" s="231" t="s">
        <v>1080</v>
      </c>
      <c r="F275" s="226"/>
      <c r="G275" s="208" t="s">
        <v>825</v>
      </c>
      <c r="H275" s="55" t="s">
        <v>25</v>
      </c>
      <c r="I275" s="221" t="s">
        <v>74</v>
      </c>
      <c r="J275" s="222">
        <v>46064.0</v>
      </c>
      <c r="K275" s="223"/>
      <c r="L275" s="223"/>
      <c r="M275" s="136" t="s">
        <v>1081</v>
      </c>
    </row>
    <row r="276">
      <c r="A276" s="33" t="s">
        <v>108</v>
      </c>
      <c r="B276" s="224">
        <v>46064.0</v>
      </c>
      <c r="C276" s="225" t="s">
        <v>148</v>
      </c>
      <c r="D276" s="10" t="s">
        <v>1082</v>
      </c>
      <c r="E276" s="12" t="s">
        <v>1083</v>
      </c>
      <c r="F276" s="226"/>
      <c r="G276" s="208" t="s">
        <v>825</v>
      </c>
      <c r="H276" s="55" t="s">
        <v>25</v>
      </c>
      <c r="I276" s="221" t="s">
        <v>74</v>
      </c>
      <c r="J276" s="222">
        <v>46067.0</v>
      </c>
      <c r="K276" s="223"/>
      <c r="L276" s="223"/>
      <c r="M276" s="58" t="s">
        <v>1084</v>
      </c>
    </row>
    <row r="277">
      <c r="A277" s="33" t="s">
        <v>108</v>
      </c>
      <c r="B277" s="224">
        <v>46064.0</v>
      </c>
      <c r="C277" s="225" t="s">
        <v>148</v>
      </c>
      <c r="D277" s="10" t="s">
        <v>1085</v>
      </c>
      <c r="E277" s="12" t="s">
        <v>1086</v>
      </c>
      <c r="F277" s="226" t="s">
        <v>58</v>
      </c>
      <c r="G277" s="232" t="s">
        <v>877</v>
      </c>
      <c r="H277" s="55" t="s">
        <v>25</v>
      </c>
      <c r="I277" s="221" t="s">
        <v>74</v>
      </c>
      <c r="J277" s="222">
        <v>46067.0</v>
      </c>
      <c r="K277" s="223"/>
      <c r="L277" s="223"/>
      <c r="M277" s="58" t="s">
        <v>1087</v>
      </c>
    </row>
    <row r="278">
      <c r="A278" s="33" t="s">
        <v>108</v>
      </c>
      <c r="B278" s="224">
        <v>46064.0</v>
      </c>
      <c r="C278" s="225" t="s">
        <v>148</v>
      </c>
      <c r="D278" s="10" t="s">
        <v>1088</v>
      </c>
      <c r="E278" s="12" t="s">
        <v>1089</v>
      </c>
      <c r="F278" s="226" t="s">
        <v>58</v>
      </c>
      <c r="G278" s="208" t="s">
        <v>911</v>
      </c>
      <c r="H278" s="55" t="s">
        <v>25</v>
      </c>
      <c r="I278" s="221" t="s">
        <v>74</v>
      </c>
      <c r="J278" s="222">
        <v>46067.0</v>
      </c>
      <c r="K278" s="223"/>
      <c r="L278" s="223"/>
      <c r="M278" s="58" t="s">
        <v>1090</v>
      </c>
    </row>
    <row r="279">
      <c r="A279" s="33" t="s">
        <v>108</v>
      </c>
      <c r="B279" s="224">
        <v>46064.0</v>
      </c>
      <c r="C279" s="225" t="s">
        <v>148</v>
      </c>
      <c r="D279" s="10" t="s">
        <v>1091</v>
      </c>
      <c r="E279" s="12" t="s">
        <v>1092</v>
      </c>
      <c r="F279" s="226" t="s">
        <v>58</v>
      </c>
      <c r="G279" s="208" t="s">
        <v>825</v>
      </c>
      <c r="H279" s="55" t="s">
        <v>25</v>
      </c>
      <c r="I279" s="221" t="s">
        <v>58</v>
      </c>
      <c r="J279" s="222">
        <v>46079.0</v>
      </c>
      <c r="K279" s="223"/>
      <c r="L279" s="223"/>
      <c r="M279" s="58" t="s">
        <v>1093</v>
      </c>
    </row>
    <row r="280">
      <c r="A280" s="33" t="s">
        <v>67</v>
      </c>
      <c r="B280" s="224">
        <v>46064.0</v>
      </c>
      <c r="C280" s="225" t="s">
        <v>148</v>
      </c>
      <c r="D280" s="10" t="s">
        <v>1094</v>
      </c>
      <c r="E280" s="12" t="s">
        <v>1095</v>
      </c>
      <c r="F280" s="226"/>
      <c r="G280" s="232" t="s">
        <v>938</v>
      </c>
      <c r="H280" s="55" t="s">
        <v>25</v>
      </c>
      <c r="I280" s="221" t="s">
        <v>74</v>
      </c>
      <c r="J280" s="222">
        <v>46067.0</v>
      </c>
      <c r="K280" s="223"/>
      <c r="L280" s="223"/>
      <c r="M280" s="136" t="s">
        <v>1096</v>
      </c>
    </row>
    <row r="281">
      <c r="A281" s="33" t="s">
        <v>67</v>
      </c>
      <c r="B281" s="224">
        <v>46064.0</v>
      </c>
      <c r="C281" s="225" t="s">
        <v>148</v>
      </c>
      <c r="D281" s="10" t="s">
        <v>1097</v>
      </c>
      <c r="E281" s="12" t="s">
        <v>1098</v>
      </c>
      <c r="F281" s="226" t="s">
        <v>58</v>
      </c>
      <c r="G281" s="208" t="s">
        <v>825</v>
      </c>
      <c r="H281" s="55" t="s">
        <v>25</v>
      </c>
      <c r="I281" s="221" t="s">
        <v>74</v>
      </c>
      <c r="J281" s="222">
        <v>46067.0</v>
      </c>
      <c r="K281" s="223"/>
      <c r="L281" s="223"/>
      <c r="M281" s="58" t="s">
        <v>1099</v>
      </c>
    </row>
    <row r="282">
      <c r="A282" s="33" t="s">
        <v>67</v>
      </c>
      <c r="B282" s="224">
        <v>46064.0</v>
      </c>
      <c r="C282" s="225" t="s">
        <v>148</v>
      </c>
      <c r="D282" s="10" t="s">
        <v>1100</v>
      </c>
      <c r="E282" s="12" t="s">
        <v>1101</v>
      </c>
      <c r="F282" s="226" t="s">
        <v>58</v>
      </c>
      <c r="G282" s="33" t="s">
        <v>925</v>
      </c>
      <c r="H282" s="55" t="s">
        <v>25</v>
      </c>
      <c r="I282" s="221" t="s">
        <v>74</v>
      </c>
      <c r="J282" s="222">
        <v>46067.0</v>
      </c>
      <c r="K282" s="223"/>
      <c r="L282" s="223"/>
      <c r="M282" s="58" t="s">
        <v>1102</v>
      </c>
    </row>
    <row r="283">
      <c r="A283" s="33" t="s">
        <v>67</v>
      </c>
      <c r="B283" s="224">
        <v>46064.0</v>
      </c>
      <c r="C283" s="225" t="s">
        <v>148</v>
      </c>
      <c r="D283" s="10" t="s">
        <v>272</v>
      </c>
      <c r="E283" s="12" t="s">
        <v>1103</v>
      </c>
      <c r="F283" s="226" t="s">
        <v>58</v>
      </c>
      <c r="G283" s="230" t="s">
        <v>938</v>
      </c>
      <c r="H283" s="55" t="s">
        <v>25</v>
      </c>
      <c r="I283" s="221" t="s">
        <v>58</v>
      </c>
      <c r="J283" s="222">
        <v>46065.0</v>
      </c>
      <c r="K283" s="223"/>
      <c r="L283" s="223"/>
      <c r="M283" s="58" t="s">
        <v>1104</v>
      </c>
    </row>
    <row r="284">
      <c r="A284" s="33" t="s">
        <v>45</v>
      </c>
      <c r="B284" s="224">
        <v>46064.0</v>
      </c>
      <c r="C284" s="225" t="s">
        <v>148</v>
      </c>
      <c r="D284" s="10" t="s">
        <v>1105</v>
      </c>
      <c r="E284" s="12" t="s">
        <v>1106</v>
      </c>
      <c r="F284" s="226" t="s">
        <v>58</v>
      </c>
      <c r="G284" s="230" t="s">
        <v>877</v>
      </c>
      <c r="H284" s="55" t="s">
        <v>25</v>
      </c>
      <c r="I284" s="221" t="s">
        <v>74</v>
      </c>
      <c r="J284" s="222">
        <v>46067.0</v>
      </c>
      <c r="K284" s="223"/>
      <c r="L284" s="223"/>
      <c r="M284" s="58" t="s">
        <v>1107</v>
      </c>
    </row>
    <row r="285">
      <c r="A285" s="33" t="s">
        <v>67</v>
      </c>
      <c r="B285" s="224">
        <v>46065.0</v>
      </c>
      <c r="C285" s="225" t="s">
        <v>53</v>
      </c>
      <c r="D285" s="10" t="s">
        <v>1108</v>
      </c>
      <c r="E285" s="12" t="s">
        <v>1109</v>
      </c>
      <c r="F285" s="226" t="s">
        <v>74</v>
      </c>
      <c r="G285" s="186" t="s">
        <v>1110</v>
      </c>
      <c r="H285" s="46"/>
      <c r="I285" s="221" t="s">
        <v>58</v>
      </c>
      <c r="J285" s="222">
        <v>46065.0</v>
      </c>
      <c r="K285" s="223"/>
      <c r="L285" s="223"/>
      <c r="M285" s="185" t="s">
        <v>1111</v>
      </c>
    </row>
    <row r="286">
      <c r="A286" s="33" t="s">
        <v>45</v>
      </c>
      <c r="B286" s="224">
        <v>46066.0</v>
      </c>
      <c r="C286" s="225" t="s">
        <v>53</v>
      </c>
      <c r="D286" s="10" t="s">
        <v>596</v>
      </c>
      <c r="E286" s="12" t="s">
        <v>1112</v>
      </c>
      <c r="F286" s="226" t="s">
        <v>58</v>
      </c>
      <c r="G286" s="186" t="s">
        <v>1113</v>
      </c>
      <c r="H286" s="46"/>
      <c r="I286" s="221" t="s">
        <v>58</v>
      </c>
      <c r="J286" s="222">
        <v>46067.0</v>
      </c>
      <c r="K286" s="223"/>
      <c r="L286" s="223"/>
      <c r="M286" s="185" t="s">
        <v>1114</v>
      </c>
    </row>
    <row r="287">
      <c r="A287" s="33" t="s">
        <v>108</v>
      </c>
      <c r="B287" s="224">
        <v>46067.0</v>
      </c>
      <c r="C287" s="225" t="s">
        <v>148</v>
      </c>
      <c r="D287" s="10" t="s">
        <v>1115</v>
      </c>
      <c r="E287" s="12" t="s">
        <v>1116</v>
      </c>
      <c r="F287" s="226" t="s">
        <v>74</v>
      </c>
      <c r="G287" s="68" t="s">
        <v>206</v>
      </c>
      <c r="H287" s="55" t="s">
        <v>25</v>
      </c>
      <c r="I287" s="221" t="s">
        <v>58</v>
      </c>
      <c r="J287" s="222">
        <v>46079.0</v>
      </c>
      <c r="K287" s="223"/>
      <c r="L287" s="223"/>
      <c r="M287" s="233" t="s">
        <v>1117</v>
      </c>
    </row>
    <row r="288">
      <c r="A288" s="33" t="s">
        <v>108</v>
      </c>
      <c r="B288" s="224">
        <v>46067.0</v>
      </c>
      <c r="C288" s="225" t="s">
        <v>148</v>
      </c>
      <c r="D288" s="10" t="s">
        <v>1118</v>
      </c>
      <c r="E288" s="12" t="s">
        <v>1119</v>
      </c>
      <c r="F288" s="226" t="s">
        <v>74</v>
      </c>
      <c r="G288" s="68" t="s">
        <v>160</v>
      </c>
      <c r="H288" s="55" t="s">
        <v>25</v>
      </c>
      <c r="I288" s="221" t="s">
        <v>58</v>
      </c>
      <c r="J288" s="222">
        <v>46079.0</v>
      </c>
      <c r="K288" s="223"/>
      <c r="L288" s="223"/>
      <c r="M288" s="233" t="s">
        <v>1120</v>
      </c>
    </row>
    <row r="289">
      <c r="A289" s="33" t="s">
        <v>108</v>
      </c>
      <c r="B289" s="224">
        <v>46067.0</v>
      </c>
      <c r="C289" s="225" t="s">
        <v>148</v>
      </c>
      <c r="D289" s="10" t="s">
        <v>1121</v>
      </c>
      <c r="E289" s="12" t="s">
        <v>1122</v>
      </c>
      <c r="F289" s="226" t="s">
        <v>74</v>
      </c>
      <c r="G289" s="68" t="s">
        <v>206</v>
      </c>
      <c r="H289" s="55" t="s">
        <v>25</v>
      </c>
      <c r="I289" s="221" t="s">
        <v>58</v>
      </c>
      <c r="J289" s="222">
        <v>46079.0</v>
      </c>
      <c r="K289" s="223"/>
      <c r="L289" s="223"/>
      <c r="M289" s="233" t="s">
        <v>1123</v>
      </c>
    </row>
    <row r="290">
      <c r="A290" s="33" t="s">
        <v>108</v>
      </c>
      <c r="B290" s="224">
        <v>46067.0</v>
      </c>
      <c r="C290" s="225" t="s">
        <v>148</v>
      </c>
      <c r="D290" s="10" t="s">
        <v>1124</v>
      </c>
      <c r="E290" s="12" t="s">
        <v>1125</v>
      </c>
      <c r="F290" s="226" t="s">
        <v>74</v>
      </c>
      <c r="G290" s="68" t="s">
        <v>206</v>
      </c>
      <c r="H290" s="55" t="s">
        <v>25</v>
      </c>
      <c r="I290" s="221" t="s">
        <v>58</v>
      </c>
      <c r="J290" s="222">
        <v>46079.0</v>
      </c>
      <c r="K290" s="223"/>
      <c r="L290" s="223"/>
      <c r="M290" s="233" t="s">
        <v>1126</v>
      </c>
    </row>
    <row r="291">
      <c r="A291" s="33" t="s">
        <v>108</v>
      </c>
      <c r="B291" s="224">
        <v>46067.0</v>
      </c>
      <c r="C291" s="225" t="s">
        <v>148</v>
      </c>
      <c r="D291" s="10" t="s">
        <v>1127</v>
      </c>
      <c r="E291" s="12" t="s">
        <v>1128</v>
      </c>
      <c r="F291" s="226" t="s">
        <v>74</v>
      </c>
      <c r="G291" s="33" t="s">
        <v>1129</v>
      </c>
      <c r="H291" s="55" t="s">
        <v>25</v>
      </c>
      <c r="I291" s="221" t="s">
        <v>74</v>
      </c>
      <c r="J291" s="222">
        <v>46067.0</v>
      </c>
      <c r="K291" s="223"/>
      <c r="L291" s="223"/>
      <c r="M291" s="233" t="s">
        <v>1130</v>
      </c>
    </row>
    <row r="292">
      <c r="A292" s="33" t="s">
        <v>108</v>
      </c>
      <c r="B292" s="224">
        <v>46067.0</v>
      </c>
      <c r="C292" s="225" t="s">
        <v>148</v>
      </c>
      <c r="D292" s="10" t="s">
        <v>1131</v>
      </c>
      <c r="E292" s="12" t="s">
        <v>1132</v>
      </c>
      <c r="F292" s="226" t="s">
        <v>74</v>
      </c>
      <c r="G292" s="33" t="s">
        <v>1133</v>
      </c>
      <c r="H292" s="55" t="s">
        <v>25</v>
      </c>
      <c r="I292" s="221" t="s">
        <v>74</v>
      </c>
      <c r="J292" s="222">
        <v>46067.0</v>
      </c>
      <c r="K292" s="223"/>
      <c r="L292" s="223"/>
      <c r="M292" s="233" t="s">
        <v>1134</v>
      </c>
    </row>
    <row r="293">
      <c r="A293" s="33" t="s">
        <v>108</v>
      </c>
      <c r="B293" s="224">
        <v>46067.0</v>
      </c>
      <c r="C293" s="225" t="s">
        <v>148</v>
      </c>
      <c r="D293" s="10" t="s">
        <v>1135</v>
      </c>
      <c r="E293" s="12" t="s">
        <v>1136</v>
      </c>
      <c r="F293" s="226" t="s">
        <v>74</v>
      </c>
      <c r="G293" s="33" t="s">
        <v>938</v>
      </c>
      <c r="H293" s="55" t="s">
        <v>25</v>
      </c>
      <c r="I293" s="221" t="s">
        <v>74</v>
      </c>
      <c r="J293" s="222">
        <v>46067.0</v>
      </c>
      <c r="K293" s="223"/>
      <c r="L293" s="223"/>
      <c r="M293" s="233" t="s">
        <v>1137</v>
      </c>
    </row>
    <row r="294">
      <c r="A294" s="33" t="s">
        <v>108</v>
      </c>
      <c r="B294" s="224">
        <v>46067.0</v>
      </c>
      <c r="C294" s="225" t="s">
        <v>148</v>
      </c>
      <c r="D294" s="10" t="s">
        <v>1138</v>
      </c>
      <c r="E294" s="12" t="s">
        <v>1139</v>
      </c>
      <c r="F294" s="226" t="s">
        <v>74</v>
      </c>
      <c r="G294" s="33" t="s">
        <v>938</v>
      </c>
      <c r="H294" s="55" t="s">
        <v>25</v>
      </c>
      <c r="I294" s="221" t="s">
        <v>74</v>
      </c>
      <c r="J294" s="222">
        <v>46067.0</v>
      </c>
      <c r="K294" s="223"/>
      <c r="L294" s="223"/>
      <c r="M294" s="233" t="s">
        <v>1140</v>
      </c>
    </row>
    <row r="295">
      <c r="A295" s="33" t="s">
        <v>908</v>
      </c>
      <c r="B295" s="224">
        <v>46067.0</v>
      </c>
      <c r="C295" s="225" t="s">
        <v>148</v>
      </c>
      <c r="D295" s="10" t="s">
        <v>1141</v>
      </c>
      <c r="E295" s="12" t="s">
        <v>1142</v>
      </c>
      <c r="F295" s="226" t="s">
        <v>58</v>
      </c>
      <c r="G295" s="186" t="s">
        <v>206</v>
      </c>
      <c r="H295" s="55" t="s">
        <v>25</v>
      </c>
      <c r="I295" s="221" t="s">
        <v>83</v>
      </c>
      <c r="J295" s="222">
        <v>46084.0</v>
      </c>
      <c r="K295" s="223"/>
      <c r="L295" s="223"/>
      <c r="M295" s="185" t="s">
        <v>1143</v>
      </c>
    </row>
    <row r="296">
      <c r="A296" s="234" t="s">
        <v>908</v>
      </c>
      <c r="B296" s="235">
        <v>46067.0</v>
      </c>
      <c r="C296" s="236" t="s">
        <v>148</v>
      </c>
      <c r="D296" s="10" t="s">
        <v>1144</v>
      </c>
      <c r="E296" s="237" t="s">
        <v>1145</v>
      </c>
      <c r="F296" s="238" t="s">
        <v>58</v>
      </c>
      <c r="G296" s="239" t="s">
        <v>160</v>
      </c>
      <c r="H296" s="127" t="s">
        <v>25</v>
      </c>
      <c r="I296" s="240" t="s">
        <v>83</v>
      </c>
      <c r="J296" s="117">
        <v>46084.0</v>
      </c>
      <c r="M296" s="241" t="s">
        <v>1146</v>
      </c>
    </row>
    <row r="297">
      <c r="A297" s="33" t="s">
        <v>908</v>
      </c>
      <c r="B297" s="224">
        <v>46067.0</v>
      </c>
      <c r="C297" s="225" t="s">
        <v>148</v>
      </c>
      <c r="D297" s="10" t="s">
        <v>1147</v>
      </c>
      <c r="E297" s="12" t="s">
        <v>1148</v>
      </c>
      <c r="F297" s="226" t="s">
        <v>58</v>
      </c>
      <c r="G297" s="186" t="s">
        <v>206</v>
      </c>
      <c r="H297" s="55" t="s">
        <v>25</v>
      </c>
      <c r="I297" s="221" t="s">
        <v>83</v>
      </c>
      <c r="J297" s="222">
        <v>46084.0</v>
      </c>
      <c r="K297" s="223"/>
      <c r="L297" s="223"/>
      <c r="M297" s="185" t="s">
        <v>1146</v>
      </c>
    </row>
    <row r="298">
      <c r="A298" s="33" t="s">
        <v>45</v>
      </c>
      <c r="B298" s="224">
        <v>46067.0</v>
      </c>
      <c r="C298" s="225" t="s">
        <v>53</v>
      </c>
      <c r="D298" s="10" t="s">
        <v>1149</v>
      </c>
      <c r="E298" s="12" t="s">
        <v>1150</v>
      </c>
      <c r="F298" s="242" t="s">
        <v>58</v>
      </c>
      <c r="G298" s="186" t="s">
        <v>1151</v>
      </c>
      <c r="H298" s="46"/>
      <c r="I298" s="221" t="s">
        <v>58</v>
      </c>
      <c r="J298" s="222">
        <v>46077.0</v>
      </c>
      <c r="K298" s="224">
        <v>46095.0</v>
      </c>
      <c r="L298" s="228">
        <v>2.0</v>
      </c>
      <c r="M298" s="185" t="s">
        <v>1152</v>
      </c>
    </row>
    <row r="299">
      <c r="A299" s="33" t="s">
        <v>45</v>
      </c>
      <c r="B299" s="224">
        <v>46067.0</v>
      </c>
      <c r="C299" s="225" t="s">
        <v>68</v>
      </c>
      <c r="D299" s="10" t="s">
        <v>1153</v>
      </c>
      <c r="E299" s="12" t="s">
        <v>1154</v>
      </c>
      <c r="F299" s="226" t="s">
        <v>83</v>
      </c>
      <c r="G299" s="186" t="s">
        <v>1155</v>
      </c>
      <c r="H299" s="55" t="s">
        <v>25</v>
      </c>
      <c r="I299" s="221" t="s">
        <v>58</v>
      </c>
      <c r="J299" s="222">
        <v>46077.0</v>
      </c>
      <c r="K299" s="224">
        <v>46080.0</v>
      </c>
      <c r="L299" s="228">
        <v>3.0</v>
      </c>
      <c r="M299" s="185" t="s">
        <v>1156</v>
      </c>
    </row>
    <row r="300">
      <c r="A300" s="33" t="s">
        <v>45</v>
      </c>
      <c r="B300" s="224">
        <v>46067.0</v>
      </c>
      <c r="C300" s="225" t="s">
        <v>68</v>
      </c>
      <c r="D300" s="10" t="s">
        <v>1157</v>
      </c>
      <c r="E300" s="12" t="s">
        <v>1158</v>
      </c>
      <c r="F300" s="226" t="s">
        <v>74</v>
      </c>
      <c r="G300" s="186" t="s">
        <v>1159</v>
      </c>
      <c r="H300" s="55" t="s">
        <v>25</v>
      </c>
      <c r="I300" s="221" t="s">
        <v>74</v>
      </c>
      <c r="J300" s="222">
        <v>46175.0</v>
      </c>
      <c r="K300" s="224">
        <v>46185.0</v>
      </c>
      <c r="L300" s="228">
        <v>2.0</v>
      </c>
      <c r="M300" s="185" t="s">
        <v>1160</v>
      </c>
    </row>
    <row r="301">
      <c r="A301" s="33" t="s">
        <v>108</v>
      </c>
      <c r="B301" s="224">
        <v>46070.0</v>
      </c>
      <c r="C301" s="225" t="s">
        <v>53</v>
      </c>
      <c r="D301" s="10" t="s">
        <v>1161</v>
      </c>
      <c r="E301" s="12" t="s">
        <v>1162</v>
      </c>
      <c r="F301" s="226" t="s">
        <v>58</v>
      </c>
      <c r="G301" s="218"/>
      <c r="H301" s="46"/>
      <c r="I301" s="221" t="s">
        <v>58</v>
      </c>
      <c r="J301" s="222">
        <v>46078.0</v>
      </c>
      <c r="K301" s="223"/>
      <c r="L301" s="223"/>
      <c r="M301" s="185" t="s">
        <v>1163</v>
      </c>
    </row>
    <row r="302">
      <c r="A302" s="33" t="s">
        <v>45</v>
      </c>
      <c r="B302" s="224">
        <v>46071.0</v>
      </c>
      <c r="C302" s="225" t="s">
        <v>53</v>
      </c>
      <c r="D302" s="10" t="s">
        <v>1164</v>
      </c>
      <c r="E302" s="12" t="s">
        <v>1165</v>
      </c>
      <c r="F302" s="226" t="s">
        <v>58</v>
      </c>
      <c r="G302" s="243" t="s">
        <v>1166</v>
      </c>
      <c r="H302" s="46"/>
      <c r="I302" s="221" t="s">
        <v>83</v>
      </c>
      <c r="J302" s="222">
        <v>46077.0</v>
      </c>
      <c r="K302" s="224">
        <v>46078.0</v>
      </c>
      <c r="L302" s="228">
        <v>1.0</v>
      </c>
      <c r="M302" s="185" t="s">
        <v>1167</v>
      </c>
    </row>
    <row r="303">
      <c r="A303" s="33" t="s">
        <v>67</v>
      </c>
      <c r="B303" s="224">
        <v>46072.0</v>
      </c>
      <c r="C303" s="225" t="s">
        <v>53</v>
      </c>
      <c r="D303" s="10" t="s">
        <v>1168</v>
      </c>
      <c r="E303" s="12" t="s">
        <v>1169</v>
      </c>
      <c r="F303" s="226" t="s">
        <v>58</v>
      </c>
      <c r="G303" s="244"/>
      <c r="H303" s="46"/>
      <c r="I303" s="221" t="s">
        <v>58</v>
      </c>
      <c r="J303" s="222">
        <v>46078.0</v>
      </c>
      <c r="K303" s="223"/>
      <c r="L303" s="223"/>
      <c r="M303" s="185" t="s">
        <v>1170</v>
      </c>
    </row>
    <row r="304">
      <c r="A304" s="33" t="s">
        <v>108</v>
      </c>
      <c r="B304" s="224">
        <v>46074.0</v>
      </c>
      <c r="C304" s="225" t="s">
        <v>53</v>
      </c>
      <c r="D304" s="10" t="s">
        <v>1171</v>
      </c>
      <c r="E304" s="12" t="s">
        <v>1172</v>
      </c>
      <c r="F304" s="226" t="s">
        <v>58</v>
      </c>
      <c r="G304" s="199" t="s">
        <v>1173</v>
      </c>
      <c r="H304" s="46"/>
      <c r="I304" s="221" t="s">
        <v>58</v>
      </c>
      <c r="J304" s="222">
        <v>46078.0</v>
      </c>
      <c r="K304" s="223"/>
      <c r="L304" s="223"/>
      <c r="M304" s="185" t="s">
        <v>1174</v>
      </c>
    </row>
    <row r="305">
      <c r="A305" s="33" t="s">
        <v>108</v>
      </c>
      <c r="B305" s="224">
        <v>46075.0</v>
      </c>
      <c r="C305" s="225" t="s">
        <v>53</v>
      </c>
      <c r="D305" s="10" t="s">
        <v>1175</v>
      </c>
      <c r="E305" s="12" t="s">
        <v>1176</v>
      </c>
      <c r="F305" s="226" t="s">
        <v>58</v>
      </c>
      <c r="G305" s="186" t="s">
        <v>1177</v>
      </c>
      <c r="H305" s="46"/>
      <c r="I305" s="221" t="s">
        <v>58</v>
      </c>
      <c r="J305" s="222">
        <v>46078.0</v>
      </c>
      <c r="K305" s="223"/>
      <c r="L305" s="223"/>
      <c r="M305" s="185" t="s">
        <v>1178</v>
      </c>
    </row>
    <row r="306">
      <c r="A306" s="33" t="s">
        <v>45</v>
      </c>
      <c r="B306" s="224">
        <v>46076.0</v>
      </c>
      <c r="C306" s="225" t="s">
        <v>53</v>
      </c>
      <c r="D306" s="10" t="s">
        <v>1179</v>
      </c>
      <c r="E306" s="12" t="s">
        <v>1180</v>
      </c>
      <c r="F306" s="226" t="s">
        <v>58</v>
      </c>
      <c r="G306" s="186" t="s">
        <v>1181</v>
      </c>
      <c r="H306" s="46"/>
      <c r="I306" s="221" t="s">
        <v>58</v>
      </c>
      <c r="J306" s="222">
        <v>46077.0</v>
      </c>
      <c r="K306" s="224">
        <v>46088.0</v>
      </c>
      <c r="L306" s="228">
        <v>5.0</v>
      </c>
      <c r="M306" s="185" t="s">
        <v>1182</v>
      </c>
    </row>
    <row r="307">
      <c r="A307" s="33" t="s">
        <v>108</v>
      </c>
      <c r="B307" s="224">
        <v>46077.0</v>
      </c>
      <c r="C307" s="225" t="s">
        <v>221</v>
      </c>
      <c r="D307" s="10" t="s">
        <v>1183</v>
      </c>
      <c r="E307" s="12" t="s">
        <v>1184</v>
      </c>
      <c r="F307" s="226" t="s">
        <v>74</v>
      </c>
      <c r="G307" s="186" t="s">
        <v>1185</v>
      </c>
      <c r="H307" s="55" t="s">
        <v>25</v>
      </c>
      <c r="I307" s="221" t="s">
        <v>58</v>
      </c>
      <c r="J307" s="222">
        <v>46079.0</v>
      </c>
      <c r="K307" s="223"/>
      <c r="L307" s="223"/>
      <c r="M307" s="185" t="s">
        <v>1186</v>
      </c>
    </row>
    <row r="308">
      <c r="A308" s="33" t="s">
        <v>108</v>
      </c>
      <c r="B308" s="224">
        <v>46077.0</v>
      </c>
      <c r="C308" s="225" t="s">
        <v>221</v>
      </c>
      <c r="D308" s="10" t="s">
        <v>1187</v>
      </c>
      <c r="E308" s="12" t="s">
        <v>1188</v>
      </c>
      <c r="F308" s="226" t="s">
        <v>74</v>
      </c>
      <c r="G308" s="186" t="s">
        <v>1189</v>
      </c>
      <c r="H308" s="55" t="s">
        <v>25</v>
      </c>
      <c r="I308" s="221" t="s">
        <v>58</v>
      </c>
      <c r="J308" s="222">
        <v>46079.0</v>
      </c>
      <c r="K308" s="224">
        <v>46098.0</v>
      </c>
      <c r="L308" s="228">
        <v>1.0</v>
      </c>
      <c r="M308" s="185" t="s">
        <v>1190</v>
      </c>
    </row>
    <row r="309">
      <c r="A309" s="33" t="s">
        <v>908</v>
      </c>
      <c r="B309" s="224">
        <v>46077.0</v>
      </c>
      <c r="C309" s="225" t="s">
        <v>148</v>
      </c>
      <c r="D309" s="10" t="s">
        <v>1191</v>
      </c>
      <c r="E309" s="12" t="s">
        <v>1192</v>
      </c>
      <c r="F309" s="226" t="s">
        <v>58</v>
      </c>
      <c r="G309" s="186" t="s">
        <v>197</v>
      </c>
      <c r="H309" s="55" t="s">
        <v>25</v>
      </c>
      <c r="I309" s="221" t="s">
        <v>83</v>
      </c>
      <c r="J309" s="222">
        <v>46084.0</v>
      </c>
      <c r="K309" s="223"/>
      <c r="L309" s="223"/>
      <c r="M309" s="185" t="s">
        <v>1193</v>
      </c>
    </row>
    <row r="310">
      <c r="A310" s="33" t="s">
        <v>67</v>
      </c>
      <c r="B310" s="224">
        <v>46077.0</v>
      </c>
      <c r="C310" s="225" t="s">
        <v>221</v>
      </c>
      <c r="D310" s="10" t="s">
        <v>1194</v>
      </c>
      <c r="E310" s="12" t="s">
        <v>1030</v>
      </c>
      <c r="F310" s="226" t="s">
        <v>74</v>
      </c>
      <c r="G310" s="186" t="s">
        <v>1195</v>
      </c>
      <c r="H310" s="55" t="s">
        <v>25</v>
      </c>
      <c r="I310" s="221" t="s">
        <v>74</v>
      </c>
      <c r="J310" s="222">
        <v>46114.0</v>
      </c>
      <c r="K310" s="223"/>
      <c r="L310" s="223"/>
      <c r="M310" s="185" t="s">
        <v>1196</v>
      </c>
    </row>
    <row r="311">
      <c r="A311" s="33" t="s">
        <v>67</v>
      </c>
      <c r="B311" s="224">
        <v>46077.0</v>
      </c>
      <c r="C311" s="225" t="s">
        <v>221</v>
      </c>
      <c r="D311" s="10" t="s">
        <v>1108</v>
      </c>
      <c r="E311" s="12" t="s">
        <v>1109</v>
      </c>
      <c r="F311" s="226" t="s">
        <v>74</v>
      </c>
      <c r="G311" s="186" t="s">
        <v>1110</v>
      </c>
      <c r="H311" s="55" t="s">
        <v>25</v>
      </c>
      <c r="I311" s="221" t="s">
        <v>58</v>
      </c>
      <c r="J311" s="222">
        <v>46079.0</v>
      </c>
      <c r="K311" s="223"/>
      <c r="L311" s="223"/>
      <c r="M311" s="185" t="s">
        <v>1197</v>
      </c>
    </row>
    <row r="312">
      <c r="A312" s="33" t="s">
        <v>67</v>
      </c>
      <c r="B312" s="224">
        <v>46077.0</v>
      </c>
      <c r="C312" s="225" t="s">
        <v>916</v>
      </c>
      <c r="D312" s="10" t="s">
        <v>1198</v>
      </c>
      <c r="E312" s="12" t="s">
        <v>1199</v>
      </c>
      <c r="F312" s="226" t="s">
        <v>58</v>
      </c>
      <c r="G312" s="186" t="s">
        <v>1200</v>
      </c>
      <c r="H312" s="55" t="s">
        <v>25</v>
      </c>
      <c r="I312" s="226" t="s">
        <v>58</v>
      </c>
      <c r="J312" s="224">
        <v>46078.0</v>
      </c>
      <c r="K312" s="223"/>
      <c r="L312" s="223"/>
      <c r="M312" s="185" t="s">
        <v>1201</v>
      </c>
    </row>
    <row r="313">
      <c r="A313" s="33" t="s">
        <v>67</v>
      </c>
      <c r="B313" s="224">
        <v>46077.0</v>
      </c>
      <c r="C313" s="225" t="s">
        <v>916</v>
      </c>
      <c r="D313" s="10" t="s">
        <v>1202</v>
      </c>
      <c r="E313" s="12" t="s">
        <v>1203</v>
      </c>
      <c r="F313" s="226" t="s">
        <v>58</v>
      </c>
      <c r="G313" s="186" t="s">
        <v>1204</v>
      </c>
      <c r="H313" s="55" t="s">
        <v>25</v>
      </c>
      <c r="I313" s="221" t="s">
        <v>58</v>
      </c>
      <c r="J313" s="224">
        <v>46078.0</v>
      </c>
      <c r="K313" s="223"/>
      <c r="L313" s="223"/>
      <c r="M313" s="185" t="s">
        <v>1205</v>
      </c>
    </row>
    <row r="314">
      <c r="A314" s="33" t="s">
        <v>45</v>
      </c>
      <c r="B314" s="224">
        <v>46077.0</v>
      </c>
      <c r="C314" s="225" t="s">
        <v>53</v>
      </c>
      <c r="D314" s="10" t="s">
        <v>1206</v>
      </c>
      <c r="E314" s="12" t="s">
        <v>1207</v>
      </c>
      <c r="F314" s="226" t="s">
        <v>58</v>
      </c>
      <c r="G314" s="186" t="s">
        <v>1208</v>
      </c>
      <c r="H314" s="46"/>
      <c r="I314" s="221" t="s">
        <v>58</v>
      </c>
      <c r="J314" s="222">
        <v>46077.0</v>
      </c>
      <c r="K314" s="224">
        <v>46078.0</v>
      </c>
      <c r="L314" s="228">
        <v>2.0</v>
      </c>
      <c r="M314" s="185" t="s">
        <v>1209</v>
      </c>
    </row>
    <row r="315">
      <c r="A315" s="33" t="s">
        <v>45</v>
      </c>
      <c r="B315" s="224">
        <v>46077.0</v>
      </c>
      <c r="C315" s="225" t="s">
        <v>380</v>
      </c>
      <c r="D315" s="10" t="s">
        <v>1210</v>
      </c>
      <c r="E315" s="12" t="s">
        <v>1211</v>
      </c>
      <c r="F315" s="226" t="s">
        <v>74</v>
      </c>
      <c r="G315" s="186" t="s">
        <v>1212</v>
      </c>
      <c r="H315" s="46"/>
      <c r="I315" s="221" t="s">
        <v>74</v>
      </c>
      <c r="J315" s="222">
        <v>46079.0</v>
      </c>
      <c r="K315" s="223"/>
      <c r="L315" s="223"/>
      <c r="M315" s="185" t="s">
        <v>1213</v>
      </c>
    </row>
    <row r="316">
      <c r="A316" s="33" t="s">
        <v>45</v>
      </c>
      <c r="B316" s="224">
        <v>46077.0</v>
      </c>
      <c r="C316" s="225" t="s">
        <v>53</v>
      </c>
      <c r="D316" s="10" t="s">
        <v>1214</v>
      </c>
      <c r="E316" s="12" t="s">
        <v>1215</v>
      </c>
      <c r="F316" s="226" t="s">
        <v>58</v>
      </c>
      <c r="G316" s="186" t="s">
        <v>1216</v>
      </c>
      <c r="H316" s="46"/>
      <c r="I316" s="221" t="s">
        <v>74</v>
      </c>
      <c r="J316" s="222">
        <v>46077.0</v>
      </c>
      <c r="K316" s="224">
        <v>46078.0</v>
      </c>
      <c r="L316" s="228">
        <v>1.0</v>
      </c>
      <c r="M316" s="185" t="s">
        <v>1217</v>
      </c>
    </row>
    <row r="317">
      <c r="A317" s="33" t="s">
        <v>45</v>
      </c>
      <c r="B317" s="224">
        <v>46078.0</v>
      </c>
      <c r="C317" s="225" t="s">
        <v>380</v>
      </c>
      <c r="D317" s="10" t="s">
        <v>1218</v>
      </c>
      <c r="E317" s="12" t="s">
        <v>1219</v>
      </c>
      <c r="F317" s="226" t="s">
        <v>74</v>
      </c>
      <c r="G317" s="186" t="s">
        <v>1220</v>
      </c>
      <c r="H317" s="46"/>
      <c r="I317" s="49"/>
      <c r="J317" s="72"/>
      <c r="K317" s="223"/>
      <c r="L317" s="223"/>
      <c r="M317" s="245"/>
    </row>
    <row r="318">
      <c r="A318" s="33" t="s">
        <v>908</v>
      </c>
      <c r="B318" s="224">
        <v>46078.0</v>
      </c>
      <c r="C318" s="225" t="s">
        <v>148</v>
      </c>
      <c r="D318" s="10" t="s">
        <v>1221</v>
      </c>
      <c r="E318" s="12" t="s">
        <v>1222</v>
      </c>
      <c r="F318" s="226" t="s">
        <v>58</v>
      </c>
      <c r="G318" s="186" t="s">
        <v>160</v>
      </c>
      <c r="H318" s="55" t="s">
        <v>25</v>
      </c>
      <c r="I318" s="221" t="s">
        <v>83</v>
      </c>
      <c r="J318" s="222">
        <v>46084.0</v>
      </c>
      <c r="K318" s="223"/>
      <c r="L318" s="223"/>
      <c r="M318" s="185" t="s">
        <v>1193</v>
      </c>
    </row>
    <row r="319">
      <c r="A319" s="33" t="s">
        <v>908</v>
      </c>
      <c r="B319" s="224">
        <v>46078.0</v>
      </c>
      <c r="C319" s="225" t="s">
        <v>148</v>
      </c>
      <c r="D319" s="10" t="s">
        <v>1223</v>
      </c>
      <c r="E319" s="12" t="s">
        <v>1224</v>
      </c>
      <c r="F319" s="226" t="s">
        <v>58</v>
      </c>
      <c r="G319" s="186" t="s">
        <v>206</v>
      </c>
      <c r="H319" s="55" t="s">
        <v>25</v>
      </c>
      <c r="I319" s="221" t="s">
        <v>83</v>
      </c>
      <c r="J319" s="222">
        <v>46084.0</v>
      </c>
      <c r="K319" s="223"/>
      <c r="L319" s="223"/>
      <c r="M319" s="185" t="s">
        <v>1193</v>
      </c>
    </row>
    <row r="320">
      <c r="A320" s="33" t="s">
        <v>908</v>
      </c>
      <c r="B320" s="224">
        <v>46078.0</v>
      </c>
      <c r="C320" s="225" t="s">
        <v>148</v>
      </c>
      <c r="D320" s="10" t="s">
        <v>1225</v>
      </c>
      <c r="E320" s="12" t="s">
        <v>1226</v>
      </c>
      <c r="F320" s="226" t="s">
        <v>58</v>
      </c>
      <c r="G320" s="186" t="s">
        <v>206</v>
      </c>
      <c r="H320" s="55" t="s">
        <v>25</v>
      </c>
      <c r="I320" s="221" t="s">
        <v>83</v>
      </c>
      <c r="J320" s="222">
        <v>46084.0</v>
      </c>
      <c r="K320" s="223"/>
      <c r="L320" s="223"/>
      <c r="M320" s="185" t="s">
        <v>1193</v>
      </c>
    </row>
    <row r="321">
      <c r="A321" s="33" t="s">
        <v>908</v>
      </c>
      <c r="B321" s="224">
        <v>46078.0</v>
      </c>
      <c r="C321" s="225" t="s">
        <v>148</v>
      </c>
      <c r="D321" s="10" t="s">
        <v>1227</v>
      </c>
      <c r="E321" s="12" t="s">
        <v>1228</v>
      </c>
      <c r="F321" s="226" t="s">
        <v>58</v>
      </c>
      <c r="G321" s="186" t="s">
        <v>206</v>
      </c>
      <c r="H321" s="55" t="s">
        <v>25</v>
      </c>
      <c r="I321" s="221" t="s">
        <v>83</v>
      </c>
      <c r="J321" s="222">
        <v>46084.0</v>
      </c>
      <c r="K321" s="223"/>
      <c r="L321" s="223"/>
      <c r="M321" s="185" t="s">
        <v>1193</v>
      </c>
    </row>
    <row r="322">
      <c r="A322" s="33" t="s">
        <v>908</v>
      </c>
      <c r="B322" s="224">
        <v>46078.0</v>
      </c>
      <c r="C322" s="225" t="s">
        <v>148</v>
      </c>
      <c r="D322" s="10" t="s">
        <v>1229</v>
      </c>
      <c r="E322" s="12" t="s">
        <v>1230</v>
      </c>
      <c r="F322" s="226" t="s">
        <v>58</v>
      </c>
      <c r="G322" s="186" t="s">
        <v>206</v>
      </c>
      <c r="H322" s="55" t="s">
        <v>25</v>
      </c>
      <c r="I322" s="221" t="s">
        <v>83</v>
      </c>
      <c r="J322" s="222">
        <v>46084.0</v>
      </c>
      <c r="K322" s="223"/>
      <c r="L322" s="223"/>
      <c r="M322" s="185" t="s">
        <v>1193</v>
      </c>
    </row>
    <row r="323">
      <c r="A323" s="33" t="s">
        <v>108</v>
      </c>
      <c r="B323" s="224">
        <v>46079.0</v>
      </c>
      <c r="C323" s="225" t="s">
        <v>68</v>
      </c>
      <c r="D323" s="10" t="s">
        <v>1231</v>
      </c>
      <c r="E323" s="12" t="s">
        <v>1232</v>
      </c>
      <c r="F323" s="226" t="s">
        <v>83</v>
      </c>
      <c r="G323" s="246" t="s">
        <v>1233</v>
      </c>
      <c r="H323" s="55" t="s">
        <v>25</v>
      </c>
      <c r="I323" s="221" t="s">
        <v>58</v>
      </c>
      <c r="J323" s="222">
        <v>46079.0</v>
      </c>
      <c r="K323" s="223"/>
      <c r="L323" s="223"/>
      <c r="M323" s="185" t="s">
        <v>1234</v>
      </c>
    </row>
    <row r="324">
      <c r="A324" s="33" t="s">
        <v>908</v>
      </c>
      <c r="B324" s="224">
        <v>46079.0</v>
      </c>
      <c r="C324" s="225" t="s">
        <v>148</v>
      </c>
      <c r="D324" s="10" t="s">
        <v>1235</v>
      </c>
      <c r="E324" s="12" t="s">
        <v>1236</v>
      </c>
      <c r="F324" s="226" t="s">
        <v>58</v>
      </c>
      <c r="G324" s="186" t="s">
        <v>160</v>
      </c>
      <c r="H324" s="55" t="s">
        <v>25</v>
      </c>
      <c r="I324" s="221" t="s">
        <v>83</v>
      </c>
      <c r="J324" s="222">
        <v>46084.0</v>
      </c>
      <c r="K324" s="223"/>
      <c r="L324" s="223"/>
      <c r="M324" s="185" t="s">
        <v>1193</v>
      </c>
    </row>
    <row r="325">
      <c r="A325" s="33" t="s">
        <v>908</v>
      </c>
      <c r="B325" s="224">
        <v>46079.0</v>
      </c>
      <c r="C325" s="225" t="s">
        <v>148</v>
      </c>
      <c r="D325" s="10" t="s">
        <v>1237</v>
      </c>
      <c r="E325" s="12" t="s">
        <v>1238</v>
      </c>
      <c r="F325" s="226" t="s">
        <v>58</v>
      </c>
      <c r="G325" s="186" t="s">
        <v>1239</v>
      </c>
      <c r="H325" s="55" t="s">
        <v>25</v>
      </c>
      <c r="I325" s="221" t="s">
        <v>74</v>
      </c>
      <c r="J325" s="222">
        <v>46084.0</v>
      </c>
      <c r="K325" s="223"/>
      <c r="L325" s="223"/>
      <c r="M325" s="185" t="s">
        <v>190</v>
      </c>
    </row>
    <row r="326">
      <c r="A326" s="33" t="s">
        <v>45</v>
      </c>
      <c r="B326" s="224">
        <v>46079.0</v>
      </c>
      <c r="C326" s="225" t="s">
        <v>148</v>
      </c>
      <c r="D326" s="10" t="s">
        <v>1240</v>
      </c>
      <c r="E326" s="12" t="s">
        <v>1241</v>
      </c>
      <c r="F326" s="247" t="s">
        <v>58</v>
      </c>
      <c r="G326" s="186" t="s">
        <v>206</v>
      </c>
      <c r="H326" s="46"/>
      <c r="I326" s="221" t="s">
        <v>83</v>
      </c>
      <c r="J326" s="222">
        <v>46084.0</v>
      </c>
      <c r="K326" s="223"/>
      <c r="L326" s="223"/>
      <c r="M326" s="185" t="s">
        <v>1242</v>
      </c>
    </row>
    <row r="327">
      <c r="A327" s="33" t="s">
        <v>45</v>
      </c>
      <c r="B327" s="224">
        <v>46079.0</v>
      </c>
      <c r="C327" s="225" t="s">
        <v>53</v>
      </c>
      <c r="D327" s="10" t="s">
        <v>1243</v>
      </c>
      <c r="E327" s="12" t="s">
        <v>1244</v>
      </c>
      <c r="F327" s="226" t="s">
        <v>74</v>
      </c>
      <c r="G327" s="186" t="s">
        <v>1245</v>
      </c>
      <c r="H327" s="55" t="s">
        <v>25</v>
      </c>
      <c r="I327" s="221" t="s">
        <v>58</v>
      </c>
      <c r="J327" s="222">
        <v>46079.0</v>
      </c>
      <c r="K327" s="224">
        <v>46080.0</v>
      </c>
      <c r="L327" s="228">
        <v>5.0</v>
      </c>
      <c r="M327" s="185" t="s">
        <v>1246</v>
      </c>
    </row>
    <row r="328">
      <c r="A328" s="33" t="s">
        <v>108</v>
      </c>
      <c r="B328" s="224">
        <v>46084.0</v>
      </c>
      <c r="C328" s="225" t="s">
        <v>221</v>
      </c>
      <c r="D328" s="10" t="s">
        <v>512</v>
      </c>
      <c r="E328" s="12" t="s">
        <v>1247</v>
      </c>
      <c r="F328" s="248" t="s">
        <v>74</v>
      </c>
      <c r="G328" s="186" t="s">
        <v>1248</v>
      </c>
      <c r="H328" s="55" t="s">
        <v>25</v>
      </c>
      <c r="I328" s="221" t="s">
        <v>74</v>
      </c>
      <c r="J328" s="222">
        <v>46084.0</v>
      </c>
      <c r="K328" s="223"/>
      <c r="L328" s="223"/>
      <c r="M328" s="185" t="s">
        <v>1249</v>
      </c>
    </row>
    <row r="329">
      <c r="A329" s="33" t="s">
        <v>108</v>
      </c>
      <c r="B329" s="224">
        <v>46084.0</v>
      </c>
      <c r="C329" s="225" t="s">
        <v>148</v>
      </c>
      <c r="D329" s="10" t="s">
        <v>1250</v>
      </c>
      <c r="E329" s="249" t="s">
        <v>1251</v>
      </c>
      <c r="F329" s="226" t="s">
        <v>83</v>
      </c>
      <c r="G329" s="68" t="s">
        <v>206</v>
      </c>
      <c r="H329" s="55" t="s">
        <v>25</v>
      </c>
      <c r="I329" s="221" t="s">
        <v>74</v>
      </c>
      <c r="J329" s="222">
        <v>46084.0</v>
      </c>
      <c r="K329" s="223"/>
      <c r="L329" s="223"/>
      <c r="M329" s="185" t="s">
        <v>1252</v>
      </c>
    </row>
    <row r="330" ht="76.5" customHeight="1">
      <c r="A330" s="33" t="s">
        <v>108</v>
      </c>
      <c r="B330" s="224">
        <v>46084.0</v>
      </c>
      <c r="C330" s="225" t="s">
        <v>148</v>
      </c>
      <c r="D330" s="10" t="s">
        <v>1253</v>
      </c>
      <c r="E330" s="249" t="s">
        <v>1254</v>
      </c>
      <c r="F330" s="226" t="s">
        <v>83</v>
      </c>
      <c r="G330" s="68" t="s">
        <v>160</v>
      </c>
      <c r="H330" s="55" t="s">
        <v>25</v>
      </c>
      <c r="I330" s="221" t="s">
        <v>74</v>
      </c>
      <c r="J330" s="222">
        <v>46084.0</v>
      </c>
      <c r="K330" s="223"/>
      <c r="L330" s="223"/>
      <c r="M330" s="185" t="s">
        <v>1255</v>
      </c>
    </row>
    <row r="331">
      <c r="A331" s="33" t="s">
        <v>108</v>
      </c>
      <c r="B331" s="224">
        <v>46084.0</v>
      </c>
      <c r="C331" s="225" t="s">
        <v>148</v>
      </c>
      <c r="D331" s="10" t="s">
        <v>1256</v>
      </c>
      <c r="E331" s="249" t="s">
        <v>1257</v>
      </c>
      <c r="F331" s="226" t="s">
        <v>83</v>
      </c>
      <c r="G331" s="68" t="s">
        <v>160</v>
      </c>
      <c r="H331" s="55" t="s">
        <v>25</v>
      </c>
      <c r="I331" s="221" t="s">
        <v>74</v>
      </c>
      <c r="J331" s="222">
        <v>46084.0</v>
      </c>
      <c r="K331" s="223"/>
      <c r="L331" s="223"/>
      <c r="M331" s="185" t="s">
        <v>1258</v>
      </c>
    </row>
    <row r="332">
      <c r="A332" s="33" t="s">
        <v>108</v>
      </c>
      <c r="B332" s="224">
        <v>46084.0</v>
      </c>
      <c r="C332" s="225" t="s">
        <v>148</v>
      </c>
      <c r="D332" s="10" t="s">
        <v>1259</v>
      </c>
      <c r="E332" s="249" t="s">
        <v>1260</v>
      </c>
      <c r="F332" s="226" t="s">
        <v>83</v>
      </c>
      <c r="G332" s="68" t="s">
        <v>206</v>
      </c>
      <c r="H332" s="55" t="s">
        <v>25</v>
      </c>
      <c r="I332" s="221" t="s">
        <v>338</v>
      </c>
      <c r="J332" s="222">
        <v>46084.0</v>
      </c>
      <c r="K332" s="223"/>
      <c r="L332" s="223"/>
      <c r="M332" s="185" t="s">
        <v>1261</v>
      </c>
    </row>
    <row r="333">
      <c r="A333" s="33" t="s">
        <v>1016</v>
      </c>
      <c r="B333" s="224">
        <v>46084.0</v>
      </c>
      <c r="C333" s="225" t="s">
        <v>148</v>
      </c>
      <c r="D333" s="10" t="s">
        <v>1262</v>
      </c>
      <c r="E333" s="249" t="s">
        <v>1263</v>
      </c>
      <c r="F333" s="226" t="s">
        <v>83</v>
      </c>
      <c r="G333" s="68" t="s">
        <v>160</v>
      </c>
      <c r="H333" s="55" t="s">
        <v>25</v>
      </c>
      <c r="I333" s="221" t="s">
        <v>74</v>
      </c>
      <c r="J333" s="222">
        <v>46084.0</v>
      </c>
      <c r="K333" s="223"/>
      <c r="L333" s="223"/>
      <c r="M333" s="185" t="s">
        <v>190</v>
      </c>
    </row>
    <row r="334">
      <c r="A334" s="33" t="s">
        <v>1016</v>
      </c>
      <c r="B334" s="224">
        <v>46084.0</v>
      </c>
      <c r="C334" s="225" t="s">
        <v>148</v>
      </c>
      <c r="D334" s="10" t="s">
        <v>1264</v>
      </c>
      <c r="E334" s="249" t="s">
        <v>1265</v>
      </c>
      <c r="F334" s="226" t="s">
        <v>83</v>
      </c>
      <c r="G334" s="68" t="s">
        <v>197</v>
      </c>
      <c r="H334" s="55" t="s">
        <v>25</v>
      </c>
      <c r="I334" s="221" t="s">
        <v>338</v>
      </c>
      <c r="J334" s="222">
        <v>46084.0</v>
      </c>
      <c r="K334" s="223"/>
      <c r="L334" s="223"/>
      <c r="M334" s="185" t="s">
        <v>182</v>
      </c>
    </row>
    <row r="335">
      <c r="A335" s="33" t="s">
        <v>1016</v>
      </c>
      <c r="B335" s="224">
        <v>46084.0</v>
      </c>
      <c r="C335" s="225" t="s">
        <v>148</v>
      </c>
      <c r="D335" s="10" t="s">
        <v>1266</v>
      </c>
      <c r="E335" s="249" t="s">
        <v>1267</v>
      </c>
      <c r="F335" s="226" t="s">
        <v>83</v>
      </c>
      <c r="G335" s="68" t="s">
        <v>160</v>
      </c>
      <c r="H335" s="55" t="s">
        <v>25</v>
      </c>
      <c r="I335" s="221" t="s">
        <v>83</v>
      </c>
      <c r="J335" s="222">
        <v>46084.0</v>
      </c>
      <c r="K335" s="223"/>
      <c r="L335" s="223"/>
      <c r="M335" s="245"/>
    </row>
    <row r="336">
      <c r="A336" s="33" t="s">
        <v>1016</v>
      </c>
      <c r="B336" s="224">
        <v>46084.0</v>
      </c>
      <c r="C336" s="225" t="s">
        <v>148</v>
      </c>
      <c r="D336" s="10" t="s">
        <v>1268</v>
      </c>
      <c r="E336" s="249" t="s">
        <v>1269</v>
      </c>
      <c r="F336" s="226" t="s">
        <v>83</v>
      </c>
      <c r="G336" s="68" t="s">
        <v>275</v>
      </c>
      <c r="H336" s="55" t="s">
        <v>25</v>
      </c>
      <c r="I336" s="221" t="s">
        <v>83</v>
      </c>
      <c r="J336" s="222">
        <v>46084.0</v>
      </c>
      <c r="K336" s="223"/>
      <c r="L336" s="223"/>
      <c r="M336" s="245"/>
    </row>
    <row r="337">
      <c r="A337" s="33" t="s">
        <v>1016</v>
      </c>
      <c r="B337" s="224">
        <v>46084.0</v>
      </c>
      <c r="C337" s="225" t="s">
        <v>148</v>
      </c>
      <c r="D337" s="10" t="s">
        <v>1270</v>
      </c>
      <c r="E337" s="249" t="s">
        <v>1271</v>
      </c>
      <c r="F337" s="226" t="s">
        <v>83</v>
      </c>
      <c r="G337" s="68" t="s">
        <v>197</v>
      </c>
      <c r="H337" s="55" t="s">
        <v>25</v>
      </c>
      <c r="I337" s="221" t="s">
        <v>83</v>
      </c>
      <c r="J337" s="222">
        <v>46084.0</v>
      </c>
      <c r="K337" s="223"/>
      <c r="L337" s="223"/>
      <c r="M337" s="245"/>
    </row>
    <row r="338">
      <c r="A338" s="33" t="s">
        <v>1016</v>
      </c>
      <c r="B338" s="224">
        <v>46084.0</v>
      </c>
      <c r="C338" s="225" t="s">
        <v>148</v>
      </c>
      <c r="D338" s="10" t="s">
        <v>1272</v>
      </c>
      <c r="E338" s="249" t="s">
        <v>1273</v>
      </c>
      <c r="F338" s="226" t="s">
        <v>83</v>
      </c>
      <c r="G338" s="68" t="s">
        <v>206</v>
      </c>
      <c r="H338" s="55" t="s">
        <v>25</v>
      </c>
      <c r="I338" s="221" t="s">
        <v>74</v>
      </c>
      <c r="J338" s="222">
        <v>46084.0</v>
      </c>
      <c r="K338" s="223"/>
      <c r="L338" s="223"/>
      <c r="M338" s="185" t="s">
        <v>190</v>
      </c>
    </row>
    <row r="339">
      <c r="A339" s="33" t="s">
        <v>67</v>
      </c>
      <c r="B339" s="224">
        <v>46084.0</v>
      </c>
      <c r="C339" s="225" t="s">
        <v>148</v>
      </c>
      <c r="D339" s="10" t="s">
        <v>1274</v>
      </c>
      <c r="E339" s="249" t="s">
        <v>1275</v>
      </c>
      <c r="F339" s="226" t="s">
        <v>83</v>
      </c>
      <c r="G339" s="68" t="s">
        <v>160</v>
      </c>
      <c r="H339" s="55" t="s">
        <v>25</v>
      </c>
      <c r="I339" s="221" t="s">
        <v>74</v>
      </c>
      <c r="J339" s="222">
        <v>46084.0</v>
      </c>
      <c r="K339" s="223"/>
      <c r="L339" s="223"/>
      <c r="M339" s="185" t="s">
        <v>1276</v>
      </c>
    </row>
    <row r="340">
      <c r="A340" s="33" t="s">
        <v>67</v>
      </c>
      <c r="B340" s="224">
        <v>46084.0</v>
      </c>
      <c r="C340" s="225" t="s">
        <v>148</v>
      </c>
      <c r="D340" s="10" t="s">
        <v>1277</v>
      </c>
      <c r="E340" s="249" t="s">
        <v>1278</v>
      </c>
      <c r="F340" s="226" t="s">
        <v>83</v>
      </c>
      <c r="G340" s="68" t="s">
        <v>206</v>
      </c>
      <c r="H340" s="55" t="s">
        <v>25</v>
      </c>
      <c r="I340" s="221" t="s">
        <v>74</v>
      </c>
      <c r="J340" s="222">
        <v>46084.0</v>
      </c>
      <c r="K340" s="223"/>
      <c r="L340" s="223"/>
      <c r="M340" s="185" t="s">
        <v>1279</v>
      </c>
    </row>
    <row r="341">
      <c r="A341" s="33" t="s">
        <v>67</v>
      </c>
      <c r="B341" s="224">
        <v>46084.0</v>
      </c>
      <c r="C341" s="225" t="s">
        <v>53</v>
      </c>
      <c r="D341" s="10" t="s">
        <v>1280</v>
      </c>
      <c r="E341" s="12" t="s">
        <v>1281</v>
      </c>
      <c r="F341" s="226" t="s">
        <v>74</v>
      </c>
      <c r="G341" s="186" t="s">
        <v>1282</v>
      </c>
      <c r="H341" s="46"/>
      <c r="I341" s="221" t="s">
        <v>83</v>
      </c>
      <c r="J341" s="222">
        <v>46084.0</v>
      </c>
      <c r="K341" s="223"/>
      <c r="L341" s="223"/>
      <c r="M341" s="185" t="s">
        <v>1283</v>
      </c>
    </row>
    <row r="342">
      <c r="A342" s="33" t="s">
        <v>67</v>
      </c>
      <c r="B342" s="224">
        <v>46084.0</v>
      </c>
      <c r="C342" s="225" t="s">
        <v>53</v>
      </c>
      <c r="D342" s="10" t="s">
        <v>1284</v>
      </c>
      <c r="E342" s="12" t="s">
        <v>1285</v>
      </c>
      <c r="F342" s="226" t="s">
        <v>74</v>
      </c>
      <c r="G342" s="186" t="s">
        <v>1286</v>
      </c>
      <c r="H342" s="55" t="s">
        <v>25</v>
      </c>
      <c r="I342" s="221" t="s">
        <v>74</v>
      </c>
      <c r="J342" s="222">
        <v>46084.0</v>
      </c>
      <c r="K342" s="224"/>
      <c r="L342" s="223"/>
      <c r="M342" s="185" t="s">
        <v>1287</v>
      </c>
    </row>
    <row r="343">
      <c r="A343" s="33" t="s">
        <v>45</v>
      </c>
      <c r="B343" s="224">
        <v>46084.0</v>
      </c>
      <c r="C343" s="225" t="s">
        <v>221</v>
      </c>
      <c r="D343" s="10" t="s">
        <v>1288</v>
      </c>
      <c r="E343" s="12" t="s">
        <v>1289</v>
      </c>
      <c r="F343" s="226" t="s">
        <v>74</v>
      </c>
      <c r="G343" s="186" t="s">
        <v>1290</v>
      </c>
      <c r="H343" s="55" t="s">
        <v>25</v>
      </c>
      <c r="I343" s="221" t="s">
        <v>338</v>
      </c>
      <c r="J343" s="222">
        <v>46084.0</v>
      </c>
      <c r="K343" s="224">
        <v>46102.0</v>
      </c>
      <c r="L343" s="228">
        <v>2.0</v>
      </c>
      <c r="M343" s="185" t="s">
        <v>1291</v>
      </c>
    </row>
    <row r="344">
      <c r="A344" s="33" t="s">
        <v>45</v>
      </c>
      <c r="B344" s="224">
        <v>46084.0</v>
      </c>
      <c r="C344" s="225" t="s">
        <v>221</v>
      </c>
      <c r="D344" s="10" t="s">
        <v>1292</v>
      </c>
      <c r="E344" s="12" t="s">
        <v>1293</v>
      </c>
      <c r="F344" s="226" t="s">
        <v>74</v>
      </c>
      <c r="G344" s="186" t="s">
        <v>1294</v>
      </c>
      <c r="H344" s="55" t="s">
        <v>25</v>
      </c>
      <c r="I344" s="49"/>
      <c r="J344" s="72"/>
      <c r="K344" s="223"/>
      <c r="L344" s="223"/>
      <c r="M344" s="245"/>
    </row>
    <row r="345">
      <c r="A345" s="33" t="s">
        <v>45</v>
      </c>
      <c r="B345" s="224">
        <v>46084.0</v>
      </c>
      <c r="C345" s="225" t="s">
        <v>148</v>
      </c>
      <c r="D345" s="10" t="s">
        <v>1295</v>
      </c>
      <c r="E345" s="249" t="s">
        <v>1296</v>
      </c>
      <c r="F345" s="226" t="s">
        <v>83</v>
      </c>
      <c r="G345" s="68" t="s">
        <v>160</v>
      </c>
      <c r="H345" s="55" t="s">
        <v>25</v>
      </c>
      <c r="I345" s="221" t="s">
        <v>338</v>
      </c>
      <c r="J345" s="222">
        <v>46084.0</v>
      </c>
      <c r="K345" s="223"/>
      <c r="L345" s="223"/>
      <c r="M345" s="185" t="s">
        <v>1297</v>
      </c>
    </row>
    <row r="346">
      <c r="A346" s="33" t="s">
        <v>45</v>
      </c>
      <c r="B346" s="224">
        <v>46084.0</v>
      </c>
      <c r="C346" s="225" t="s">
        <v>68</v>
      </c>
      <c r="D346" s="10" t="s">
        <v>1298</v>
      </c>
      <c r="E346" s="12" t="s">
        <v>1299</v>
      </c>
      <c r="F346" s="226"/>
      <c r="G346" s="186" t="s">
        <v>1300</v>
      </c>
      <c r="H346" s="46"/>
      <c r="I346" s="221" t="s">
        <v>83</v>
      </c>
      <c r="J346" s="222">
        <v>46084.0</v>
      </c>
      <c r="K346" s="224">
        <v>46085.0</v>
      </c>
      <c r="L346" s="228">
        <v>2.0</v>
      </c>
      <c r="M346" s="185" t="s">
        <v>1301</v>
      </c>
    </row>
    <row r="347">
      <c r="A347" s="33" t="s">
        <v>45</v>
      </c>
      <c r="B347" s="224">
        <v>46084.0</v>
      </c>
      <c r="C347" s="225" t="s">
        <v>53</v>
      </c>
      <c r="D347" s="10" t="s">
        <v>1302</v>
      </c>
      <c r="E347" s="12" t="s">
        <v>1303</v>
      </c>
      <c r="F347" s="226" t="s">
        <v>74</v>
      </c>
      <c r="G347" s="218"/>
      <c r="H347" s="46"/>
      <c r="I347" s="221" t="s">
        <v>74</v>
      </c>
      <c r="J347" s="222">
        <v>46084.0</v>
      </c>
      <c r="K347" s="224">
        <v>46102.0</v>
      </c>
      <c r="L347" s="228">
        <v>2.0</v>
      </c>
      <c r="M347" s="185" t="s">
        <v>1304</v>
      </c>
    </row>
    <row r="348">
      <c r="A348" s="33" t="s">
        <v>1016</v>
      </c>
      <c r="B348" s="224">
        <v>46085.0</v>
      </c>
      <c r="C348" s="225" t="s">
        <v>148</v>
      </c>
      <c r="D348" s="10" t="s">
        <v>1305</v>
      </c>
      <c r="E348" s="250" t="s">
        <v>1306</v>
      </c>
      <c r="F348" s="226"/>
      <c r="G348" s="218"/>
      <c r="H348" s="55" t="s">
        <v>25</v>
      </c>
      <c r="I348" s="221" t="s">
        <v>83</v>
      </c>
      <c r="J348" s="222">
        <v>46086.0</v>
      </c>
      <c r="K348" s="223"/>
      <c r="L348" s="223"/>
      <c r="M348" s="245"/>
    </row>
    <row r="349">
      <c r="A349" s="33" t="s">
        <v>1016</v>
      </c>
      <c r="B349" s="224">
        <v>46085.0</v>
      </c>
      <c r="C349" s="225" t="s">
        <v>148</v>
      </c>
      <c r="D349" s="10" t="s">
        <v>1307</v>
      </c>
      <c r="E349" s="250" t="s">
        <v>1308</v>
      </c>
      <c r="F349" s="226"/>
      <c r="G349" s="218"/>
      <c r="H349" s="55" t="s">
        <v>25</v>
      </c>
      <c r="I349" s="221" t="s">
        <v>83</v>
      </c>
      <c r="J349" s="222">
        <v>46086.0</v>
      </c>
      <c r="K349" s="223"/>
      <c r="L349" s="223"/>
      <c r="M349" s="245"/>
    </row>
    <row r="350">
      <c r="A350" s="33" t="s">
        <v>67</v>
      </c>
      <c r="B350" s="224">
        <v>46086.0</v>
      </c>
      <c r="C350" s="225" t="s">
        <v>68</v>
      </c>
      <c r="D350" s="10" t="s">
        <v>249</v>
      </c>
      <c r="E350" s="237" t="s">
        <v>1309</v>
      </c>
      <c r="F350" s="226" t="s">
        <v>74</v>
      </c>
      <c r="G350" s="186" t="s">
        <v>1310</v>
      </c>
      <c r="H350" s="55" t="s">
        <v>25</v>
      </c>
      <c r="I350" s="221" t="s">
        <v>83</v>
      </c>
      <c r="J350" s="222">
        <v>46086.0</v>
      </c>
      <c r="K350" s="223"/>
      <c r="L350" s="223"/>
      <c r="M350" s="185" t="s">
        <v>1311</v>
      </c>
    </row>
    <row r="351">
      <c r="A351" s="33" t="s">
        <v>45</v>
      </c>
      <c r="B351" s="224">
        <v>46086.0</v>
      </c>
      <c r="C351" s="225" t="s">
        <v>53</v>
      </c>
      <c r="D351" s="10" t="s">
        <v>1312</v>
      </c>
      <c r="E351" s="12" t="s">
        <v>1313</v>
      </c>
      <c r="F351" s="226" t="s">
        <v>74</v>
      </c>
      <c r="G351" s="218"/>
      <c r="H351" s="46"/>
      <c r="I351" s="221" t="s">
        <v>83</v>
      </c>
      <c r="J351" s="222">
        <v>46086.0</v>
      </c>
      <c r="K351" s="224">
        <v>46098.0</v>
      </c>
      <c r="L351" s="228">
        <v>1.0</v>
      </c>
      <c r="M351" s="185" t="s">
        <v>1314</v>
      </c>
    </row>
    <row r="352">
      <c r="A352" s="33" t="s">
        <v>45</v>
      </c>
      <c r="B352" s="224">
        <v>46086.0</v>
      </c>
      <c r="C352" s="225" t="s">
        <v>53</v>
      </c>
      <c r="D352" s="10" t="s">
        <v>1315</v>
      </c>
      <c r="E352" s="251" t="s">
        <v>1316</v>
      </c>
      <c r="F352" s="226" t="s">
        <v>83</v>
      </c>
      <c r="G352" s="186" t="s">
        <v>1317</v>
      </c>
      <c r="H352" s="46"/>
      <c r="I352" s="221" t="s">
        <v>83</v>
      </c>
      <c r="J352" s="222">
        <v>46086.0</v>
      </c>
      <c r="K352" s="223"/>
      <c r="L352" s="223"/>
      <c r="M352" s="185" t="s">
        <v>1318</v>
      </c>
    </row>
    <row r="353">
      <c r="A353" s="33" t="s">
        <v>67</v>
      </c>
      <c r="B353" s="224">
        <v>46088.0</v>
      </c>
      <c r="C353" s="225" t="s">
        <v>68</v>
      </c>
      <c r="D353" s="10" t="s">
        <v>1319</v>
      </c>
      <c r="E353" s="12" t="s">
        <v>1320</v>
      </c>
      <c r="F353" s="226" t="s">
        <v>74</v>
      </c>
      <c r="G353" s="186" t="s">
        <v>1321</v>
      </c>
      <c r="H353" s="55" t="s">
        <v>25</v>
      </c>
      <c r="I353" s="221" t="s">
        <v>74</v>
      </c>
      <c r="J353" s="222">
        <v>46106.0</v>
      </c>
      <c r="K353" s="223"/>
      <c r="L353" s="223"/>
      <c r="M353" s="185" t="s">
        <v>1322</v>
      </c>
    </row>
    <row r="354">
      <c r="A354" s="33" t="s">
        <v>45</v>
      </c>
      <c r="B354" s="224">
        <v>46088.0</v>
      </c>
      <c r="C354" s="225" t="s">
        <v>1323</v>
      </c>
      <c r="D354" s="10" t="s">
        <v>1324</v>
      </c>
      <c r="E354" s="12" t="s">
        <v>1325</v>
      </c>
      <c r="F354" s="226" t="s">
        <v>83</v>
      </c>
      <c r="G354" s="186" t="s">
        <v>1326</v>
      </c>
      <c r="H354" s="55" t="s">
        <v>25</v>
      </c>
      <c r="I354" s="221" t="s">
        <v>83</v>
      </c>
      <c r="J354" s="222">
        <v>46091.0</v>
      </c>
      <c r="K354" s="223"/>
      <c r="L354" s="223"/>
      <c r="M354" s="185" t="s">
        <v>1327</v>
      </c>
    </row>
    <row r="355">
      <c r="A355" s="33" t="s">
        <v>108</v>
      </c>
      <c r="B355" s="224">
        <v>46091.0</v>
      </c>
      <c r="C355" s="225" t="s">
        <v>53</v>
      </c>
      <c r="D355" s="10" t="s">
        <v>1328</v>
      </c>
      <c r="E355" s="12" t="s">
        <v>1329</v>
      </c>
      <c r="F355" s="226" t="s">
        <v>74</v>
      </c>
      <c r="G355" s="239" t="s">
        <v>1330</v>
      </c>
      <c r="H355" s="46"/>
      <c r="I355" s="221" t="s">
        <v>83</v>
      </c>
      <c r="J355" s="222">
        <v>46091.0</v>
      </c>
      <c r="K355" s="223"/>
      <c r="L355" s="223"/>
      <c r="M355" s="185" t="s">
        <v>1331</v>
      </c>
    </row>
    <row r="356">
      <c r="A356" s="33" t="s">
        <v>108</v>
      </c>
      <c r="B356" s="224">
        <v>46091.0</v>
      </c>
      <c r="C356" s="225" t="s">
        <v>68</v>
      </c>
      <c r="D356" s="10" t="s">
        <v>1332</v>
      </c>
      <c r="E356" s="12" t="s">
        <v>1333</v>
      </c>
      <c r="F356" s="226" t="s">
        <v>83</v>
      </c>
      <c r="G356" s="186" t="s">
        <v>1334</v>
      </c>
      <c r="H356" s="55" t="s">
        <v>25</v>
      </c>
      <c r="I356" s="221" t="s">
        <v>83</v>
      </c>
      <c r="J356" s="222">
        <v>46091.0</v>
      </c>
      <c r="K356" s="223"/>
      <c r="L356" s="223"/>
      <c r="M356" s="185" t="s">
        <v>1335</v>
      </c>
    </row>
    <row r="357">
      <c r="A357" s="33" t="s">
        <v>67</v>
      </c>
      <c r="B357" s="224">
        <v>46091.0</v>
      </c>
      <c r="C357" s="225" t="s">
        <v>53</v>
      </c>
      <c r="D357" s="10" t="s">
        <v>596</v>
      </c>
      <c r="E357" s="12" t="s">
        <v>1336</v>
      </c>
      <c r="F357" s="226" t="s">
        <v>74</v>
      </c>
      <c r="G357" s="186" t="s">
        <v>1337</v>
      </c>
      <c r="H357" s="46"/>
      <c r="I357" s="221" t="s">
        <v>74</v>
      </c>
      <c r="J357" s="222">
        <v>46095.0</v>
      </c>
      <c r="K357" s="223"/>
      <c r="L357" s="223"/>
      <c r="M357" s="185" t="s">
        <v>1338</v>
      </c>
    </row>
    <row r="358">
      <c r="A358" s="33" t="s">
        <v>67</v>
      </c>
      <c r="B358" s="224">
        <v>46091.0</v>
      </c>
      <c r="C358" s="225" t="s">
        <v>53</v>
      </c>
      <c r="D358" s="10" t="s">
        <v>1339</v>
      </c>
      <c r="E358" s="12" t="s">
        <v>1340</v>
      </c>
      <c r="F358" s="226" t="s">
        <v>74</v>
      </c>
      <c r="G358" s="186" t="s">
        <v>1341</v>
      </c>
      <c r="H358" s="46"/>
      <c r="I358" s="221" t="s">
        <v>83</v>
      </c>
      <c r="J358" s="222">
        <v>46094.0</v>
      </c>
      <c r="K358" s="223"/>
      <c r="L358" s="223"/>
      <c r="M358" s="185" t="s">
        <v>1342</v>
      </c>
    </row>
    <row r="359">
      <c r="A359" s="33" t="s">
        <v>45</v>
      </c>
      <c r="B359" s="224">
        <v>46091.0</v>
      </c>
      <c r="C359" s="225" t="s">
        <v>53</v>
      </c>
      <c r="D359" s="10" t="s">
        <v>1343</v>
      </c>
      <c r="E359" s="12" t="s">
        <v>1344</v>
      </c>
      <c r="F359" s="226" t="s">
        <v>74</v>
      </c>
      <c r="G359" s="199" t="s">
        <v>1345</v>
      </c>
      <c r="H359" s="46"/>
      <c r="I359" s="221" t="s">
        <v>83</v>
      </c>
      <c r="J359" s="222">
        <v>46092.0</v>
      </c>
      <c r="K359" s="224">
        <v>46100.0</v>
      </c>
      <c r="L359" s="228">
        <v>2.0</v>
      </c>
      <c r="M359" s="185" t="s">
        <v>1346</v>
      </c>
    </row>
    <row r="360">
      <c r="A360" s="33" t="s">
        <v>45</v>
      </c>
      <c r="B360" s="224">
        <v>46091.0</v>
      </c>
      <c r="C360" s="225" t="s">
        <v>53</v>
      </c>
      <c r="D360" s="10" t="s">
        <v>352</v>
      </c>
      <c r="E360" s="12" t="s">
        <v>1347</v>
      </c>
      <c r="F360" s="226" t="s">
        <v>74</v>
      </c>
      <c r="G360" s="218"/>
      <c r="H360" s="46"/>
      <c r="I360" s="221" t="s">
        <v>83</v>
      </c>
      <c r="J360" s="222">
        <v>46094.0</v>
      </c>
      <c r="K360" s="223"/>
      <c r="L360" s="223"/>
      <c r="M360" s="185" t="s">
        <v>1348</v>
      </c>
    </row>
    <row r="361">
      <c r="A361" s="33" t="s">
        <v>108</v>
      </c>
      <c r="B361" s="224">
        <v>46092.0</v>
      </c>
      <c r="C361" s="225" t="s">
        <v>53</v>
      </c>
      <c r="D361" s="10" t="s">
        <v>1349</v>
      </c>
      <c r="E361" s="12" t="s">
        <v>1350</v>
      </c>
      <c r="F361" s="226" t="s">
        <v>83</v>
      </c>
      <c r="G361" s="186" t="s">
        <v>1351</v>
      </c>
      <c r="H361" s="46"/>
      <c r="I361" s="221" t="s">
        <v>83</v>
      </c>
      <c r="J361" s="222">
        <v>46093.0</v>
      </c>
      <c r="K361" s="223"/>
      <c r="L361" s="223"/>
      <c r="M361" s="185" t="s">
        <v>1352</v>
      </c>
    </row>
    <row r="362">
      <c r="A362" s="33" t="s">
        <v>108</v>
      </c>
      <c r="B362" s="224">
        <v>46092.0</v>
      </c>
      <c r="C362" s="225" t="s">
        <v>68</v>
      </c>
      <c r="D362" s="10" t="s">
        <v>500</v>
      </c>
      <c r="E362" s="12" t="s">
        <v>1353</v>
      </c>
      <c r="F362" s="226" t="s">
        <v>83</v>
      </c>
      <c r="G362" s="186" t="s">
        <v>1354</v>
      </c>
      <c r="H362" s="55" t="s">
        <v>25</v>
      </c>
      <c r="I362" s="221" t="s">
        <v>83</v>
      </c>
      <c r="J362" s="222">
        <v>46093.0</v>
      </c>
      <c r="K362" s="223"/>
      <c r="L362" s="223"/>
      <c r="M362" s="185" t="s">
        <v>1355</v>
      </c>
    </row>
    <row r="363">
      <c r="A363" s="33" t="s">
        <v>67</v>
      </c>
      <c r="B363" s="224">
        <v>46092.0</v>
      </c>
      <c r="C363" s="225" t="s">
        <v>916</v>
      </c>
      <c r="D363" s="10" t="s">
        <v>1356</v>
      </c>
      <c r="E363" s="12" t="s">
        <v>1357</v>
      </c>
      <c r="F363" s="226" t="s">
        <v>74</v>
      </c>
      <c r="G363" s="186" t="s">
        <v>1358</v>
      </c>
      <c r="H363" s="55" t="s">
        <v>25</v>
      </c>
      <c r="I363" s="221" t="s">
        <v>83</v>
      </c>
      <c r="J363" s="222">
        <v>46093.0</v>
      </c>
      <c r="K363" s="223"/>
      <c r="L363" s="223"/>
      <c r="M363" s="185" t="s">
        <v>1359</v>
      </c>
    </row>
    <row r="364">
      <c r="A364" s="33" t="s">
        <v>67</v>
      </c>
      <c r="B364" s="224">
        <v>46092.0</v>
      </c>
      <c r="C364" s="225" t="s">
        <v>68</v>
      </c>
      <c r="D364" s="10" t="s">
        <v>1360</v>
      </c>
      <c r="E364" s="12" t="s">
        <v>1361</v>
      </c>
      <c r="F364" s="226" t="s">
        <v>83</v>
      </c>
      <c r="G364" s="186" t="s">
        <v>1362</v>
      </c>
      <c r="H364" s="46"/>
      <c r="I364" s="221" t="s">
        <v>83</v>
      </c>
      <c r="J364" s="222">
        <v>46093.0</v>
      </c>
      <c r="K364" s="223"/>
      <c r="L364" s="223"/>
      <c r="M364" s="185" t="s">
        <v>1363</v>
      </c>
    </row>
    <row r="365">
      <c r="A365" s="33" t="s">
        <v>108</v>
      </c>
      <c r="B365" s="224">
        <v>46093.0</v>
      </c>
      <c r="C365" s="225" t="s">
        <v>53</v>
      </c>
      <c r="D365" s="10" t="s">
        <v>1364</v>
      </c>
      <c r="E365" s="12" t="s">
        <v>1365</v>
      </c>
      <c r="F365" s="226" t="s">
        <v>74</v>
      </c>
      <c r="G365" s="186" t="s">
        <v>1366</v>
      </c>
      <c r="H365" s="46"/>
      <c r="I365" s="221" t="s">
        <v>83</v>
      </c>
      <c r="J365" s="222">
        <v>46093.0</v>
      </c>
      <c r="K365" s="223"/>
      <c r="L365" s="223"/>
      <c r="M365" s="185" t="s">
        <v>1367</v>
      </c>
    </row>
    <row r="366">
      <c r="A366" s="33" t="s">
        <v>108</v>
      </c>
      <c r="B366" s="224">
        <v>46093.0</v>
      </c>
      <c r="C366" s="225" t="s">
        <v>53</v>
      </c>
      <c r="D366" s="10" t="s">
        <v>776</v>
      </c>
      <c r="E366" s="12" t="s">
        <v>777</v>
      </c>
      <c r="F366" s="226" t="s">
        <v>83</v>
      </c>
      <c r="G366" s="252" t="s">
        <v>1368</v>
      </c>
      <c r="H366" s="46"/>
      <c r="I366" s="221" t="s">
        <v>83</v>
      </c>
      <c r="J366" s="222">
        <v>46093.0</v>
      </c>
      <c r="K366" s="223"/>
      <c r="L366" s="223"/>
      <c r="M366" s="185" t="s">
        <v>1369</v>
      </c>
    </row>
    <row r="367">
      <c r="A367" s="33" t="s">
        <v>67</v>
      </c>
      <c r="B367" s="224">
        <v>46093.0</v>
      </c>
      <c r="C367" s="225" t="s">
        <v>53</v>
      </c>
      <c r="D367" s="10" t="s">
        <v>1370</v>
      </c>
      <c r="E367" s="12" t="s">
        <v>1371</v>
      </c>
      <c r="F367" s="226" t="s">
        <v>74</v>
      </c>
      <c r="G367" s="239" t="s">
        <v>1372</v>
      </c>
      <c r="H367" s="46"/>
      <c r="I367" s="221" t="s">
        <v>83</v>
      </c>
      <c r="J367" s="222">
        <v>46093.0</v>
      </c>
      <c r="K367" s="223"/>
      <c r="L367" s="253">
        <v>46056.0</v>
      </c>
      <c r="M367" s="185" t="s">
        <v>1373</v>
      </c>
    </row>
    <row r="368">
      <c r="A368" s="33" t="s">
        <v>45</v>
      </c>
      <c r="B368" s="224">
        <v>46094.0</v>
      </c>
      <c r="C368" s="225" t="s">
        <v>53</v>
      </c>
      <c r="D368" s="10" t="s">
        <v>1374</v>
      </c>
      <c r="E368" s="12" t="s">
        <v>1375</v>
      </c>
      <c r="F368" s="226"/>
      <c r="G368" s="186" t="s">
        <v>1376</v>
      </c>
      <c r="H368" s="46"/>
      <c r="I368" s="221" t="s">
        <v>83</v>
      </c>
      <c r="J368" s="222">
        <v>46140.0</v>
      </c>
      <c r="K368" s="224">
        <v>46179.0</v>
      </c>
      <c r="L368" s="228">
        <v>4.0</v>
      </c>
      <c r="M368" s="185" t="s">
        <v>1377</v>
      </c>
    </row>
    <row r="369">
      <c r="A369" s="33" t="s">
        <v>108</v>
      </c>
      <c r="B369" s="224">
        <v>46094.0</v>
      </c>
      <c r="C369" s="225" t="s">
        <v>53</v>
      </c>
      <c r="D369" s="10" t="s">
        <v>670</v>
      </c>
      <c r="E369" s="237" t="s">
        <v>1378</v>
      </c>
      <c r="F369" s="226"/>
      <c r="G369" s="36" t="s">
        <v>1379</v>
      </c>
      <c r="H369" s="46"/>
      <c r="I369" s="221" t="s">
        <v>74</v>
      </c>
      <c r="J369" s="222">
        <v>46094.0</v>
      </c>
      <c r="K369" s="223"/>
      <c r="L369" s="223"/>
      <c r="M369" s="185" t="s">
        <v>1380</v>
      </c>
    </row>
    <row r="370">
      <c r="A370" s="33" t="s">
        <v>108</v>
      </c>
      <c r="B370" s="224">
        <v>46094.0</v>
      </c>
      <c r="C370" s="225" t="s">
        <v>53</v>
      </c>
      <c r="D370" s="10" t="s">
        <v>1381</v>
      </c>
      <c r="E370" s="12" t="s">
        <v>1382</v>
      </c>
      <c r="F370" s="226"/>
      <c r="G370" s="186" t="s">
        <v>1383</v>
      </c>
      <c r="H370" s="46"/>
      <c r="I370" s="221" t="s">
        <v>74</v>
      </c>
      <c r="J370" s="222">
        <v>46094.0</v>
      </c>
      <c r="K370" s="223"/>
      <c r="L370" s="223"/>
      <c r="M370" s="185" t="s">
        <v>1384</v>
      </c>
    </row>
    <row r="371">
      <c r="A371" s="33" t="s">
        <v>108</v>
      </c>
      <c r="B371" s="224">
        <v>46094.0</v>
      </c>
      <c r="C371" s="225" t="s">
        <v>53</v>
      </c>
      <c r="D371" s="10" t="s">
        <v>1385</v>
      </c>
      <c r="E371" s="250" t="s">
        <v>1386</v>
      </c>
      <c r="F371" s="226"/>
      <c r="G371" s="254" t="s">
        <v>1387</v>
      </c>
      <c r="H371" s="46"/>
      <c r="I371" s="221" t="s">
        <v>74</v>
      </c>
      <c r="J371" s="222">
        <v>46095.0</v>
      </c>
      <c r="K371" s="223"/>
      <c r="L371" s="223"/>
      <c r="M371" s="185" t="s">
        <v>1388</v>
      </c>
    </row>
    <row r="372">
      <c r="A372" s="33" t="s">
        <v>108</v>
      </c>
      <c r="B372" s="224">
        <v>46094.0</v>
      </c>
      <c r="C372" s="225" t="s">
        <v>53</v>
      </c>
      <c r="D372" s="10" t="s">
        <v>1389</v>
      </c>
      <c r="E372" s="12" t="s">
        <v>1390</v>
      </c>
      <c r="F372" s="226"/>
      <c r="G372" s="199" t="s">
        <v>1391</v>
      </c>
      <c r="H372" s="46"/>
      <c r="I372" s="221" t="s">
        <v>74</v>
      </c>
      <c r="J372" s="222">
        <v>46095.0</v>
      </c>
      <c r="K372" s="223"/>
      <c r="L372" s="223"/>
      <c r="M372" s="185" t="s">
        <v>1392</v>
      </c>
    </row>
    <row r="373">
      <c r="A373" s="33" t="s">
        <v>108</v>
      </c>
      <c r="B373" s="224">
        <v>46094.0</v>
      </c>
      <c r="C373" s="225" t="s">
        <v>53</v>
      </c>
      <c r="D373" s="10" t="s">
        <v>1393</v>
      </c>
      <c r="E373" s="12" t="s">
        <v>1394</v>
      </c>
      <c r="F373" s="226"/>
      <c r="G373" s="243" t="s">
        <v>1395</v>
      </c>
      <c r="H373" s="46"/>
      <c r="I373" s="221" t="s">
        <v>74</v>
      </c>
      <c r="J373" s="222">
        <v>46094.0</v>
      </c>
      <c r="K373" s="223"/>
      <c r="L373" s="223"/>
      <c r="M373" s="185" t="s">
        <v>1396</v>
      </c>
    </row>
    <row r="374">
      <c r="A374" s="33" t="s">
        <v>67</v>
      </c>
      <c r="B374" s="224">
        <v>46094.0</v>
      </c>
      <c r="C374" s="225" t="s">
        <v>53</v>
      </c>
      <c r="D374" s="10" t="s">
        <v>1397</v>
      </c>
      <c r="E374" s="12" t="s">
        <v>1398</v>
      </c>
      <c r="F374" s="226"/>
      <c r="G374" s="255" t="s">
        <v>1399</v>
      </c>
      <c r="H374" s="46"/>
      <c r="I374" s="221" t="s">
        <v>74</v>
      </c>
      <c r="J374" s="222">
        <v>46114.0</v>
      </c>
      <c r="K374" s="223"/>
      <c r="L374" s="223"/>
      <c r="M374" s="185" t="s">
        <v>1400</v>
      </c>
    </row>
    <row r="375">
      <c r="A375" s="33" t="s">
        <v>67</v>
      </c>
      <c r="B375" s="224">
        <v>46094.0</v>
      </c>
      <c r="C375" s="225" t="s">
        <v>53</v>
      </c>
      <c r="D375" s="10" t="s">
        <v>1401</v>
      </c>
      <c r="E375" s="12" t="s">
        <v>1402</v>
      </c>
      <c r="F375" s="226"/>
      <c r="G375" s="186" t="s">
        <v>1403</v>
      </c>
      <c r="H375" s="46"/>
      <c r="I375" s="221" t="s">
        <v>74</v>
      </c>
      <c r="J375" s="222">
        <v>46094.0</v>
      </c>
      <c r="K375" s="223"/>
      <c r="L375" s="223"/>
      <c r="M375" s="185" t="s">
        <v>1404</v>
      </c>
    </row>
    <row r="376">
      <c r="A376" s="33" t="s">
        <v>67</v>
      </c>
      <c r="B376" s="224">
        <v>46094.0</v>
      </c>
      <c r="C376" s="225" t="s">
        <v>53</v>
      </c>
      <c r="D376" s="10" t="s">
        <v>1405</v>
      </c>
      <c r="E376" s="12" t="s">
        <v>1406</v>
      </c>
      <c r="F376" s="226"/>
      <c r="G376" s="256" t="s">
        <v>1407</v>
      </c>
      <c r="H376" s="46"/>
      <c r="I376" s="221" t="s">
        <v>83</v>
      </c>
      <c r="J376" s="222">
        <v>46094.0</v>
      </c>
      <c r="K376" s="223"/>
      <c r="L376" s="223"/>
      <c r="M376" s="185" t="s">
        <v>1408</v>
      </c>
    </row>
    <row r="377">
      <c r="A377" s="33" t="s">
        <v>67</v>
      </c>
      <c r="B377" s="224">
        <v>46094.0</v>
      </c>
      <c r="C377" s="225" t="s">
        <v>53</v>
      </c>
      <c r="D377" s="10" t="s">
        <v>1409</v>
      </c>
      <c r="E377" s="12" t="s">
        <v>1410</v>
      </c>
      <c r="F377" s="226"/>
      <c r="G377" s="186" t="s">
        <v>1411</v>
      </c>
      <c r="H377" s="46"/>
      <c r="I377" s="221" t="s">
        <v>74</v>
      </c>
      <c r="J377" s="222">
        <v>46123.0</v>
      </c>
      <c r="K377" s="223"/>
      <c r="L377" s="223"/>
      <c r="M377" s="185" t="s">
        <v>1412</v>
      </c>
    </row>
    <row r="378">
      <c r="A378" s="33" t="s">
        <v>67</v>
      </c>
      <c r="B378" s="224">
        <v>46094.0</v>
      </c>
      <c r="C378" s="225" t="s">
        <v>53</v>
      </c>
      <c r="D378" s="10" t="s">
        <v>1413</v>
      </c>
      <c r="E378" s="250" t="s">
        <v>1414</v>
      </c>
      <c r="F378" s="226"/>
      <c r="G378" s="255" t="s">
        <v>1415</v>
      </c>
      <c r="H378" s="46"/>
      <c r="I378" s="221" t="s">
        <v>74</v>
      </c>
      <c r="J378" s="222">
        <v>46123.0</v>
      </c>
      <c r="K378" s="223"/>
      <c r="L378" s="223"/>
      <c r="M378" s="185" t="s">
        <v>1416</v>
      </c>
    </row>
    <row r="379">
      <c r="A379" s="33" t="s">
        <v>67</v>
      </c>
      <c r="B379" s="224">
        <v>46094.0</v>
      </c>
      <c r="C379" s="225" t="s">
        <v>53</v>
      </c>
      <c r="D379" s="10" t="s">
        <v>1417</v>
      </c>
      <c r="E379" s="257" t="s">
        <v>1418</v>
      </c>
      <c r="F379" s="226"/>
      <c r="G379" s="258" t="s">
        <v>1419</v>
      </c>
      <c r="H379" s="46"/>
      <c r="I379" s="221" t="s">
        <v>74</v>
      </c>
      <c r="J379" s="222">
        <v>46123.0</v>
      </c>
      <c r="K379" s="223"/>
      <c r="L379" s="223"/>
      <c r="M379" s="185" t="s">
        <v>1420</v>
      </c>
    </row>
    <row r="380">
      <c r="A380" s="33" t="s">
        <v>67</v>
      </c>
      <c r="B380" s="224">
        <v>46094.0</v>
      </c>
      <c r="C380" s="225" t="s">
        <v>53</v>
      </c>
      <c r="D380" s="10" t="s">
        <v>1421</v>
      </c>
      <c r="E380" s="250" t="s">
        <v>1422</v>
      </c>
      <c r="F380" s="226"/>
      <c r="G380" s="186">
        <v>2.0</v>
      </c>
      <c r="H380" s="46"/>
      <c r="I380" s="221" t="s">
        <v>74</v>
      </c>
      <c r="J380" s="222">
        <v>46123.0</v>
      </c>
      <c r="K380" s="223"/>
      <c r="L380" s="223"/>
      <c r="M380" s="185" t="s">
        <v>1423</v>
      </c>
    </row>
    <row r="381">
      <c r="A381" s="33" t="s">
        <v>45</v>
      </c>
      <c r="B381" s="224">
        <v>46094.0</v>
      </c>
      <c r="C381" s="225" t="s">
        <v>53</v>
      </c>
      <c r="D381" s="10" t="s">
        <v>1424</v>
      </c>
      <c r="E381" s="12" t="s">
        <v>1425</v>
      </c>
      <c r="F381" s="226"/>
      <c r="G381" s="259" t="s">
        <v>1426</v>
      </c>
      <c r="H381" s="46"/>
      <c r="I381" s="221" t="s">
        <v>74</v>
      </c>
      <c r="J381" s="222">
        <v>46123.0</v>
      </c>
      <c r="K381" s="224"/>
      <c r="L381" s="228">
        <v>3.0</v>
      </c>
      <c r="M381" s="185" t="s">
        <v>1427</v>
      </c>
    </row>
    <row r="382">
      <c r="A382" s="33" t="s">
        <v>67</v>
      </c>
      <c r="B382" s="224">
        <v>46094.0</v>
      </c>
      <c r="C382" s="225" t="s">
        <v>53</v>
      </c>
      <c r="D382" s="10" t="s">
        <v>1428</v>
      </c>
      <c r="E382" s="12" t="s">
        <v>1429</v>
      </c>
      <c r="F382" s="226"/>
      <c r="G382" s="199" t="s">
        <v>1430</v>
      </c>
      <c r="H382" s="46"/>
      <c r="I382" s="221" t="s">
        <v>74</v>
      </c>
      <c r="J382" s="222">
        <v>46123.0</v>
      </c>
      <c r="K382" s="223"/>
      <c r="L382" s="223"/>
      <c r="M382" s="185" t="s">
        <v>1431</v>
      </c>
    </row>
    <row r="383">
      <c r="A383" s="33" t="s">
        <v>67</v>
      </c>
      <c r="B383" s="224">
        <v>46094.0</v>
      </c>
      <c r="C383" s="225" t="s">
        <v>53</v>
      </c>
      <c r="D383" s="10" t="s">
        <v>1432</v>
      </c>
      <c r="E383" s="12" t="s">
        <v>1433</v>
      </c>
      <c r="F383" s="226"/>
      <c r="G383" s="186" t="s">
        <v>1434</v>
      </c>
      <c r="H383" s="46"/>
      <c r="I383" s="221" t="s">
        <v>83</v>
      </c>
      <c r="J383" s="222">
        <v>46094.0</v>
      </c>
      <c r="K383" s="223"/>
      <c r="L383" s="223"/>
      <c r="M383" s="185" t="s">
        <v>1435</v>
      </c>
    </row>
    <row r="384">
      <c r="A384" s="33" t="s">
        <v>67</v>
      </c>
      <c r="B384" s="224">
        <v>46094.0</v>
      </c>
      <c r="C384" s="225" t="s">
        <v>53</v>
      </c>
      <c r="D384" s="10" t="s">
        <v>1436</v>
      </c>
      <c r="E384" s="12" t="s">
        <v>1437</v>
      </c>
      <c r="F384" s="226" t="s">
        <v>74</v>
      </c>
      <c r="G384" s="186" t="s">
        <v>1438</v>
      </c>
      <c r="H384" s="46"/>
      <c r="I384" s="221" t="s">
        <v>74</v>
      </c>
      <c r="J384" s="222">
        <v>46123.0</v>
      </c>
      <c r="K384" s="223"/>
      <c r="L384" s="228">
        <v>2.0</v>
      </c>
      <c r="M384" s="185" t="s">
        <v>1439</v>
      </c>
    </row>
    <row r="385">
      <c r="A385" s="33" t="s">
        <v>815</v>
      </c>
      <c r="B385" s="224">
        <v>46094.0</v>
      </c>
      <c r="C385" s="225" t="s">
        <v>53</v>
      </c>
      <c r="D385" s="10" t="s">
        <v>1440</v>
      </c>
      <c r="E385" s="12" t="s">
        <v>1441</v>
      </c>
      <c r="F385" s="226" t="s">
        <v>74</v>
      </c>
      <c r="G385" s="186" t="s">
        <v>1442</v>
      </c>
      <c r="H385" s="46"/>
      <c r="I385" s="221" t="s">
        <v>74</v>
      </c>
      <c r="J385" s="222">
        <v>46123.0</v>
      </c>
      <c r="K385" s="223"/>
      <c r="L385" s="223"/>
      <c r="M385" s="185" t="s">
        <v>190</v>
      </c>
    </row>
    <row r="386">
      <c r="A386" s="33" t="s">
        <v>815</v>
      </c>
      <c r="B386" s="224">
        <v>46094.0</v>
      </c>
      <c r="C386" s="225" t="s">
        <v>68</v>
      </c>
      <c r="D386" s="10" t="s">
        <v>1443</v>
      </c>
      <c r="E386" s="12" t="s">
        <v>1444</v>
      </c>
      <c r="F386" s="226"/>
      <c r="G386" s="186" t="s">
        <v>1445</v>
      </c>
      <c r="H386" s="46"/>
      <c r="I386" s="221" t="s">
        <v>74</v>
      </c>
      <c r="J386" s="222">
        <v>46123.0</v>
      </c>
      <c r="K386" s="223"/>
      <c r="L386" s="223"/>
      <c r="M386" s="185" t="s">
        <v>1446</v>
      </c>
    </row>
    <row r="387">
      <c r="A387" s="33" t="s">
        <v>45</v>
      </c>
      <c r="B387" s="224">
        <v>46094.0</v>
      </c>
      <c r="C387" s="225" t="s">
        <v>53</v>
      </c>
      <c r="D387" s="10" t="s">
        <v>1447</v>
      </c>
      <c r="E387" s="12" t="s">
        <v>1448</v>
      </c>
      <c r="F387" s="226"/>
      <c r="G387" s="199" t="s">
        <v>1449</v>
      </c>
      <c r="H387" s="46"/>
      <c r="I387" s="221" t="s">
        <v>74</v>
      </c>
      <c r="J387" s="222">
        <v>46123.0</v>
      </c>
      <c r="K387" s="223"/>
      <c r="L387" s="223"/>
      <c r="M387" s="185" t="s">
        <v>1450</v>
      </c>
    </row>
    <row r="388">
      <c r="A388" s="33" t="s">
        <v>108</v>
      </c>
      <c r="B388" s="224">
        <v>46094.0</v>
      </c>
      <c r="C388" s="225" t="s">
        <v>53</v>
      </c>
      <c r="D388" s="10" t="s">
        <v>1451</v>
      </c>
      <c r="E388" s="12" t="s">
        <v>1452</v>
      </c>
      <c r="F388" s="226"/>
      <c r="G388" s="259" t="s">
        <v>1453</v>
      </c>
      <c r="H388" s="46"/>
      <c r="I388" s="221" t="s">
        <v>74</v>
      </c>
      <c r="J388" s="222">
        <v>46127.0</v>
      </c>
      <c r="K388" s="223"/>
      <c r="L388" s="223"/>
      <c r="M388" s="185" t="s">
        <v>1454</v>
      </c>
    </row>
    <row r="389">
      <c r="A389" s="33" t="s">
        <v>67</v>
      </c>
      <c r="B389" s="224">
        <v>46094.0</v>
      </c>
      <c r="C389" s="225" t="s">
        <v>53</v>
      </c>
      <c r="D389" s="10" t="s">
        <v>1455</v>
      </c>
      <c r="E389" s="12" t="s">
        <v>1456</v>
      </c>
      <c r="F389" s="226"/>
      <c r="G389" s="255" t="s">
        <v>1457</v>
      </c>
      <c r="H389" s="46"/>
      <c r="I389" s="221" t="s">
        <v>83</v>
      </c>
      <c r="J389" s="222">
        <v>46129.0</v>
      </c>
      <c r="K389" s="223"/>
      <c r="L389" s="223"/>
      <c r="M389" s="185" t="s">
        <v>1458</v>
      </c>
    </row>
    <row r="390">
      <c r="A390" s="33" t="s">
        <v>45</v>
      </c>
      <c r="B390" s="224">
        <v>46094.0</v>
      </c>
      <c r="C390" s="225" t="s">
        <v>53</v>
      </c>
      <c r="D390" s="10" t="s">
        <v>670</v>
      </c>
      <c r="E390" s="12" t="s">
        <v>1459</v>
      </c>
      <c r="F390" s="226"/>
      <c r="G390" s="186" t="s">
        <v>1460</v>
      </c>
      <c r="H390" s="46"/>
      <c r="I390" s="221" t="s">
        <v>74</v>
      </c>
      <c r="J390" s="222">
        <v>46122.0</v>
      </c>
      <c r="K390" s="223"/>
      <c r="L390" s="223"/>
      <c r="M390" s="185" t="s">
        <v>1461</v>
      </c>
    </row>
    <row r="391">
      <c r="A391" s="33" t="s">
        <v>45</v>
      </c>
      <c r="B391" s="224">
        <v>46094.0</v>
      </c>
      <c r="C391" s="225" t="s">
        <v>53</v>
      </c>
      <c r="D391" s="10" t="s">
        <v>1462</v>
      </c>
      <c r="E391" s="12" t="s">
        <v>1463</v>
      </c>
      <c r="F391" s="226"/>
      <c r="G391" s="258" t="s">
        <v>1464</v>
      </c>
      <c r="H391" s="46"/>
      <c r="I391" s="221" t="s">
        <v>74</v>
      </c>
      <c r="J391" s="222">
        <v>46126.0</v>
      </c>
      <c r="K391" s="223"/>
      <c r="L391" s="223"/>
      <c r="M391" s="185" t="s">
        <v>1465</v>
      </c>
    </row>
    <row r="392">
      <c r="A392" s="33" t="s">
        <v>45</v>
      </c>
      <c r="B392" s="224">
        <v>46094.0</v>
      </c>
      <c r="C392" s="225" t="s">
        <v>221</v>
      </c>
      <c r="D392" s="10" t="s">
        <v>1466</v>
      </c>
      <c r="E392" s="12" t="s">
        <v>1467</v>
      </c>
      <c r="F392" s="226" t="s">
        <v>74</v>
      </c>
      <c r="G392" s="239" t="s">
        <v>1468</v>
      </c>
      <c r="H392" s="46"/>
      <c r="I392" s="221" t="s">
        <v>83</v>
      </c>
      <c r="J392" s="222">
        <v>46095.0</v>
      </c>
      <c r="K392" s="224">
        <v>46123.0</v>
      </c>
      <c r="L392" s="228">
        <v>3.0</v>
      </c>
      <c r="M392" s="185" t="s">
        <v>1469</v>
      </c>
    </row>
    <row r="393">
      <c r="A393" s="33" t="s">
        <v>45</v>
      </c>
      <c r="B393" s="224">
        <v>46094.0</v>
      </c>
      <c r="C393" s="225" t="s">
        <v>53</v>
      </c>
      <c r="D393" s="10" t="s">
        <v>1470</v>
      </c>
      <c r="E393" s="12" t="s">
        <v>1471</v>
      </c>
      <c r="F393" s="226" t="s">
        <v>74</v>
      </c>
      <c r="G393" s="199" t="s">
        <v>1472</v>
      </c>
      <c r="H393" s="46"/>
      <c r="I393" s="221" t="s">
        <v>74</v>
      </c>
      <c r="J393" s="222">
        <v>46094.0</v>
      </c>
      <c r="K393" s="223"/>
      <c r="L393" s="223"/>
      <c r="M393" s="185" t="s">
        <v>1473</v>
      </c>
    </row>
    <row r="394">
      <c r="A394" s="33" t="s">
        <v>45</v>
      </c>
      <c r="B394" s="224">
        <v>46094.0</v>
      </c>
      <c r="C394" s="225" t="s">
        <v>53</v>
      </c>
      <c r="D394" s="10" t="s">
        <v>1474</v>
      </c>
      <c r="E394" s="12" t="s">
        <v>1475</v>
      </c>
      <c r="F394" s="226"/>
      <c r="G394" s="243" t="s">
        <v>1476</v>
      </c>
      <c r="H394" s="46"/>
      <c r="I394" s="221" t="s">
        <v>83</v>
      </c>
      <c r="J394" s="222">
        <v>46094.0</v>
      </c>
      <c r="K394" s="224">
        <v>46095.0</v>
      </c>
      <c r="L394" s="228">
        <v>2.0</v>
      </c>
      <c r="M394" s="185" t="s">
        <v>1477</v>
      </c>
    </row>
    <row r="395">
      <c r="A395" s="33" t="s">
        <v>45</v>
      </c>
      <c r="B395" s="224">
        <v>46094.0</v>
      </c>
      <c r="C395" s="225" t="s">
        <v>53</v>
      </c>
      <c r="D395" s="10" t="s">
        <v>1478</v>
      </c>
      <c r="E395" s="12" t="s">
        <v>1479</v>
      </c>
      <c r="F395" s="226"/>
      <c r="G395" s="260" t="s">
        <v>1480</v>
      </c>
      <c r="H395" s="46"/>
      <c r="I395" s="221" t="s">
        <v>83</v>
      </c>
      <c r="J395" s="222">
        <v>46094.0</v>
      </c>
      <c r="K395" s="223"/>
      <c r="L395" s="223"/>
      <c r="M395" s="185" t="s">
        <v>1481</v>
      </c>
    </row>
    <row r="396">
      <c r="A396" s="33" t="s">
        <v>45</v>
      </c>
      <c r="B396" s="224">
        <v>46094.0</v>
      </c>
      <c r="C396" s="225" t="s">
        <v>53</v>
      </c>
      <c r="D396" s="10" t="s">
        <v>1482</v>
      </c>
      <c r="E396" s="12" t="s">
        <v>1483</v>
      </c>
      <c r="F396" s="226"/>
      <c r="G396" s="186" t="s">
        <v>1484</v>
      </c>
      <c r="H396" s="46"/>
      <c r="I396" s="221" t="s">
        <v>74</v>
      </c>
      <c r="J396" s="222">
        <v>46098.0</v>
      </c>
      <c r="K396" s="223"/>
      <c r="L396" s="223"/>
      <c r="M396" s="185" t="s">
        <v>1485</v>
      </c>
    </row>
    <row r="397">
      <c r="A397" s="33" t="s">
        <v>45</v>
      </c>
      <c r="B397" s="224">
        <v>46094.0</v>
      </c>
      <c r="C397" s="225" t="s">
        <v>53</v>
      </c>
      <c r="D397" s="10" t="s">
        <v>1486</v>
      </c>
      <c r="E397" s="12" t="s">
        <v>1487</v>
      </c>
      <c r="F397" s="226"/>
      <c r="G397" s="199" t="s">
        <v>1488</v>
      </c>
      <c r="H397" s="46"/>
      <c r="I397" s="221" t="s">
        <v>338</v>
      </c>
      <c r="J397" s="222">
        <v>46095.0</v>
      </c>
      <c r="K397" s="223"/>
      <c r="L397" s="223"/>
      <c r="M397" s="185" t="s">
        <v>1489</v>
      </c>
    </row>
    <row r="398">
      <c r="A398" s="33" t="s">
        <v>45</v>
      </c>
      <c r="B398" s="224">
        <v>46094.0</v>
      </c>
      <c r="C398" s="225" t="s">
        <v>53</v>
      </c>
      <c r="D398" s="10" t="s">
        <v>1490</v>
      </c>
      <c r="E398" s="12" t="s">
        <v>1491</v>
      </c>
      <c r="F398" s="226"/>
      <c r="G398" s="261" t="s">
        <v>1492</v>
      </c>
      <c r="H398" s="46"/>
      <c r="I398" s="221" t="s">
        <v>83</v>
      </c>
      <c r="J398" s="222">
        <v>46094.0</v>
      </c>
      <c r="K398" s="223"/>
      <c r="L398" s="223"/>
      <c r="M398" s="229" t="s">
        <v>1493</v>
      </c>
    </row>
    <row r="399">
      <c r="A399" s="33" t="s">
        <v>45</v>
      </c>
      <c r="B399" s="224">
        <v>46094.0</v>
      </c>
      <c r="C399" s="225" t="s">
        <v>53</v>
      </c>
      <c r="D399" s="10" t="s">
        <v>1494</v>
      </c>
      <c r="E399" s="12" t="s">
        <v>1495</v>
      </c>
      <c r="F399" s="226"/>
      <c r="G399" s="259" t="s">
        <v>1496</v>
      </c>
      <c r="H399" s="46"/>
      <c r="I399" s="221" t="s">
        <v>83</v>
      </c>
      <c r="J399" s="222">
        <v>46094.0</v>
      </c>
      <c r="K399" s="224">
        <v>46130.0</v>
      </c>
      <c r="L399" s="228">
        <v>5.0</v>
      </c>
      <c r="M399" s="185" t="s">
        <v>1497</v>
      </c>
    </row>
    <row r="400">
      <c r="A400" s="33" t="s">
        <v>45</v>
      </c>
      <c r="B400" s="224">
        <v>46094.0</v>
      </c>
      <c r="C400" s="225" t="s">
        <v>53</v>
      </c>
      <c r="D400" s="10" t="s">
        <v>1498</v>
      </c>
      <c r="E400" s="12" t="s">
        <v>1499</v>
      </c>
      <c r="F400" s="226"/>
      <c r="G400" s="258" t="s">
        <v>1500</v>
      </c>
      <c r="H400" s="46"/>
      <c r="I400" s="221" t="s">
        <v>83</v>
      </c>
      <c r="J400" s="222">
        <v>46094.0</v>
      </c>
      <c r="K400" s="224">
        <v>46095.0</v>
      </c>
      <c r="L400" s="223"/>
      <c r="M400" s="185" t="s">
        <v>1501</v>
      </c>
    </row>
    <row r="401">
      <c r="A401" s="33" t="s">
        <v>45</v>
      </c>
      <c r="B401" s="224">
        <v>46094.0</v>
      </c>
      <c r="C401" s="225" t="s">
        <v>53</v>
      </c>
      <c r="D401" s="10" t="s">
        <v>1502</v>
      </c>
      <c r="E401" s="12" t="s">
        <v>1503</v>
      </c>
      <c r="F401" s="226" t="s">
        <v>338</v>
      </c>
      <c r="G401" s="258" t="s">
        <v>1504</v>
      </c>
      <c r="H401" s="46"/>
      <c r="I401" s="221" t="s">
        <v>338</v>
      </c>
      <c r="J401" s="222">
        <v>46095.0</v>
      </c>
      <c r="K401" s="224">
        <v>46098.0</v>
      </c>
      <c r="L401" s="228">
        <v>1.0</v>
      </c>
      <c r="M401" s="185" t="s">
        <v>1505</v>
      </c>
    </row>
    <row r="402">
      <c r="A402" s="33" t="s">
        <v>45</v>
      </c>
      <c r="B402" s="224">
        <v>46094.0</v>
      </c>
      <c r="C402" s="225" t="s">
        <v>53</v>
      </c>
      <c r="D402" s="10" t="s">
        <v>1506</v>
      </c>
      <c r="E402" s="12" t="s">
        <v>1507</v>
      </c>
      <c r="F402" s="226" t="s">
        <v>74</v>
      </c>
      <c r="G402" s="258" t="s">
        <v>1508</v>
      </c>
      <c r="H402" s="46"/>
      <c r="I402" s="221" t="s">
        <v>338</v>
      </c>
      <c r="J402" s="222">
        <v>46095.0</v>
      </c>
      <c r="K402" s="224">
        <v>46102.0</v>
      </c>
      <c r="L402" s="228">
        <v>2.0</v>
      </c>
      <c r="M402" s="185" t="s">
        <v>1509</v>
      </c>
    </row>
    <row r="403">
      <c r="A403" s="33" t="s">
        <v>45</v>
      </c>
      <c r="B403" s="224">
        <v>46094.0</v>
      </c>
      <c r="C403" s="225" t="s">
        <v>53</v>
      </c>
      <c r="D403" s="10" t="s">
        <v>1510</v>
      </c>
      <c r="E403" s="12" t="s">
        <v>1511</v>
      </c>
      <c r="F403" s="226"/>
      <c r="G403" s="258" t="s">
        <v>1512</v>
      </c>
      <c r="H403" s="46"/>
      <c r="I403" s="221" t="s">
        <v>74</v>
      </c>
      <c r="J403" s="222">
        <v>46095.0</v>
      </c>
      <c r="K403" s="224">
        <v>46102.0</v>
      </c>
      <c r="L403" s="228">
        <v>3.0</v>
      </c>
      <c r="M403" s="185" t="s">
        <v>1513</v>
      </c>
    </row>
    <row r="404">
      <c r="A404" s="33" t="s">
        <v>45</v>
      </c>
      <c r="B404" s="224">
        <v>46094.0</v>
      </c>
      <c r="C404" s="225" t="s">
        <v>53</v>
      </c>
      <c r="D404" s="10" t="s">
        <v>1514</v>
      </c>
      <c r="E404" s="250" t="s">
        <v>1515</v>
      </c>
      <c r="F404" s="226"/>
      <c r="G404" s="258" t="s">
        <v>1516</v>
      </c>
      <c r="H404" s="46"/>
      <c r="I404" s="221" t="s">
        <v>74</v>
      </c>
      <c r="J404" s="222">
        <v>46099.0</v>
      </c>
      <c r="K404" s="224">
        <v>46100.0</v>
      </c>
      <c r="L404" s="228">
        <v>2.0</v>
      </c>
      <c r="M404" s="185" t="s">
        <v>1517</v>
      </c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</row>
    <row r="405">
      <c r="A405" s="33" t="s">
        <v>45</v>
      </c>
      <c r="B405" s="224">
        <v>46094.0</v>
      </c>
      <c r="C405" s="225" t="s">
        <v>68</v>
      </c>
      <c r="D405" s="10" t="s">
        <v>1518</v>
      </c>
      <c r="E405" s="12" t="s">
        <v>1519</v>
      </c>
      <c r="F405" s="226" t="s">
        <v>83</v>
      </c>
      <c r="G405" s="218"/>
      <c r="H405" s="46"/>
      <c r="I405" s="221" t="s">
        <v>83</v>
      </c>
      <c r="J405" s="222">
        <v>46094.0</v>
      </c>
      <c r="K405" s="224">
        <v>46095.0</v>
      </c>
      <c r="L405" s="228">
        <v>2.0</v>
      </c>
      <c r="M405" s="185" t="s">
        <v>1520</v>
      </c>
    </row>
    <row r="406">
      <c r="A406" s="33" t="s">
        <v>67</v>
      </c>
      <c r="B406" s="224">
        <v>46094.0</v>
      </c>
      <c r="C406" s="225" t="s">
        <v>53</v>
      </c>
      <c r="D406" s="10" t="s">
        <v>1521</v>
      </c>
      <c r="E406" s="12" t="s">
        <v>1522</v>
      </c>
      <c r="F406" s="226"/>
      <c r="G406" s="33" t="s">
        <v>1523</v>
      </c>
      <c r="H406" s="46"/>
      <c r="I406" s="221" t="s">
        <v>74</v>
      </c>
      <c r="J406" s="222">
        <v>46129.0</v>
      </c>
      <c r="K406" s="223"/>
      <c r="L406" s="223"/>
      <c r="M406" s="185" t="s">
        <v>1524</v>
      </c>
    </row>
    <row r="407">
      <c r="A407" s="33" t="s">
        <v>108</v>
      </c>
      <c r="B407" s="224">
        <v>46094.0</v>
      </c>
      <c r="C407" s="225" t="s">
        <v>53</v>
      </c>
      <c r="D407" s="10" t="s">
        <v>512</v>
      </c>
      <c r="E407" s="12" t="s">
        <v>1525</v>
      </c>
      <c r="F407" s="226"/>
      <c r="G407" s="186" t="s">
        <v>1526</v>
      </c>
      <c r="H407" s="46"/>
      <c r="I407" s="221" t="s">
        <v>74</v>
      </c>
      <c r="J407" s="222">
        <v>46133.0</v>
      </c>
      <c r="K407" s="223"/>
      <c r="L407" s="223"/>
      <c r="M407" s="185" t="s">
        <v>1527</v>
      </c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  <c r="AA407" s="263"/>
    </row>
    <row r="408">
      <c r="A408" s="264" t="s">
        <v>815</v>
      </c>
      <c r="B408" s="265">
        <v>46095.0</v>
      </c>
      <c r="C408" s="225" t="s">
        <v>53</v>
      </c>
      <c r="D408" s="10" t="s">
        <v>1528</v>
      </c>
      <c r="E408" s="266" t="s">
        <v>1529</v>
      </c>
      <c r="F408" s="226"/>
      <c r="G408" s="258" t="s">
        <v>1530</v>
      </c>
      <c r="H408" s="267"/>
      <c r="I408" s="221" t="s">
        <v>74</v>
      </c>
      <c r="J408" s="268">
        <v>46123.0</v>
      </c>
      <c r="K408" s="269"/>
      <c r="L408" s="269"/>
      <c r="M408" s="270" t="s">
        <v>1531</v>
      </c>
    </row>
    <row r="409">
      <c r="A409" s="33" t="s">
        <v>1016</v>
      </c>
      <c r="B409" s="224">
        <v>46095.0</v>
      </c>
      <c r="C409" s="225" t="s">
        <v>53</v>
      </c>
      <c r="D409" s="10" t="s">
        <v>1532</v>
      </c>
      <c r="E409" s="12" t="s">
        <v>1533</v>
      </c>
      <c r="F409" s="226" t="s">
        <v>338</v>
      </c>
      <c r="G409" s="186" t="s">
        <v>1534</v>
      </c>
      <c r="H409" s="46"/>
      <c r="I409" s="49"/>
      <c r="J409" s="113"/>
      <c r="K409" s="223"/>
      <c r="L409" s="223"/>
      <c r="M409" s="185" t="s">
        <v>1535</v>
      </c>
    </row>
    <row r="410">
      <c r="A410" s="33" t="s">
        <v>108</v>
      </c>
      <c r="B410" s="224">
        <v>46095.0</v>
      </c>
      <c r="C410" s="225" t="s">
        <v>53</v>
      </c>
      <c r="D410" s="10" t="s">
        <v>1536</v>
      </c>
      <c r="E410" s="12" t="s">
        <v>1537</v>
      </c>
      <c r="F410" s="226"/>
      <c r="G410" s="199" t="s">
        <v>1538</v>
      </c>
      <c r="H410" s="46"/>
      <c r="I410" s="221" t="s">
        <v>74</v>
      </c>
      <c r="J410" s="222">
        <v>46123.0</v>
      </c>
      <c r="K410" s="223"/>
      <c r="L410" s="223"/>
      <c r="M410" s="185" t="s">
        <v>190</v>
      </c>
    </row>
    <row r="411">
      <c r="A411" s="271" t="s">
        <v>45</v>
      </c>
      <c r="B411" s="272">
        <v>46095.0</v>
      </c>
      <c r="C411" s="273" t="s">
        <v>53</v>
      </c>
      <c r="D411" s="10" t="s">
        <v>1539</v>
      </c>
      <c r="E411" s="274" t="s">
        <v>1540</v>
      </c>
      <c r="F411" s="275" t="s">
        <v>338</v>
      </c>
      <c r="G411" s="276" t="s">
        <v>1541</v>
      </c>
      <c r="H411" s="277"/>
      <c r="I411" s="278" t="s">
        <v>74</v>
      </c>
      <c r="J411" s="279">
        <v>46119.0</v>
      </c>
      <c r="K411" s="272">
        <v>46130.0</v>
      </c>
      <c r="L411" s="280">
        <v>1.0</v>
      </c>
      <c r="M411" s="281" t="s">
        <v>1542</v>
      </c>
    </row>
    <row r="412">
      <c r="A412" s="33" t="s">
        <v>45</v>
      </c>
      <c r="B412" s="224">
        <v>46095.0</v>
      </c>
      <c r="C412" s="225" t="s">
        <v>53</v>
      </c>
      <c r="D412" s="10" t="s">
        <v>1543</v>
      </c>
      <c r="E412" s="12" t="s">
        <v>1544</v>
      </c>
      <c r="F412" s="226"/>
      <c r="G412" s="243" t="s">
        <v>1545</v>
      </c>
      <c r="H412" s="46"/>
      <c r="I412" s="221" t="s">
        <v>338</v>
      </c>
      <c r="J412" s="222">
        <v>46098.0</v>
      </c>
      <c r="K412" s="223"/>
      <c r="L412" s="223"/>
      <c r="M412" s="185" t="s">
        <v>1546</v>
      </c>
    </row>
    <row r="413">
      <c r="A413" s="33" t="s">
        <v>45</v>
      </c>
      <c r="B413" s="224">
        <v>46095.0</v>
      </c>
      <c r="C413" s="225" t="s">
        <v>53</v>
      </c>
      <c r="D413" s="10" t="s">
        <v>1547</v>
      </c>
      <c r="E413" s="12" t="s">
        <v>1548</v>
      </c>
      <c r="F413" s="226"/>
      <c r="G413" s="243" t="s">
        <v>1549</v>
      </c>
      <c r="H413" s="46"/>
      <c r="I413" s="221" t="s">
        <v>338</v>
      </c>
      <c r="J413" s="222">
        <v>46098.0</v>
      </c>
      <c r="K413" s="223"/>
      <c r="L413" s="223"/>
      <c r="M413" s="185" t="s">
        <v>1550</v>
      </c>
    </row>
    <row r="414">
      <c r="A414" s="33" t="s">
        <v>45</v>
      </c>
      <c r="B414" s="224">
        <v>46095.0</v>
      </c>
      <c r="C414" s="225" t="s">
        <v>53</v>
      </c>
      <c r="D414" s="10" t="s">
        <v>1551</v>
      </c>
      <c r="E414" s="12" t="s">
        <v>1552</v>
      </c>
      <c r="F414" s="226" t="s">
        <v>338</v>
      </c>
      <c r="G414" s="186" t="s">
        <v>1553</v>
      </c>
      <c r="H414" s="46"/>
      <c r="I414" s="221" t="s">
        <v>338</v>
      </c>
      <c r="J414" s="222">
        <v>46098.0</v>
      </c>
      <c r="K414" s="223"/>
      <c r="L414" s="223"/>
      <c r="M414" s="185" t="s">
        <v>1554</v>
      </c>
    </row>
    <row r="415">
      <c r="A415" s="33" t="s">
        <v>45</v>
      </c>
      <c r="B415" s="224">
        <v>46095.0</v>
      </c>
      <c r="C415" s="225" t="s">
        <v>53</v>
      </c>
      <c r="D415" s="10" t="s">
        <v>1555</v>
      </c>
      <c r="E415" s="12" t="s">
        <v>1556</v>
      </c>
      <c r="F415" s="226" t="s">
        <v>338</v>
      </c>
      <c r="G415" s="199" t="s">
        <v>1557</v>
      </c>
      <c r="H415" s="46"/>
      <c r="I415" s="49"/>
      <c r="J415" s="72"/>
      <c r="K415" s="223"/>
      <c r="L415" s="223"/>
      <c r="M415" s="245"/>
    </row>
    <row r="416">
      <c r="A416" s="33" t="s">
        <v>45</v>
      </c>
      <c r="B416" s="224">
        <v>46095.0</v>
      </c>
      <c r="C416" s="225" t="s">
        <v>53</v>
      </c>
      <c r="D416" s="10" t="s">
        <v>1558</v>
      </c>
      <c r="E416" s="12" t="s">
        <v>1559</v>
      </c>
      <c r="F416" s="226"/>
      <c r="G416" s="199" t="s">
        <v>1560</v>
      </c>
      <c r="H416" s="46"/>
      <c r="I416" s="221" t="s">
        <v>338</v>
      </c>
      <c r="J416" s="222">
        <v>46098.0</v>
      </c>
      <c r="K416" s="223"/>
      <c r="L416" s="223"/>
      <c r="M416" s="185" t="s">
        <v>1561</v>
      </c>
    </row>
    <row r="417">
      <c r="A417" s="33" t="s">
        <v>45</v>
      </c>
      <c r="B417" s="224">
        <v>46095.0</v>
      </c>
      <c r="C417" s="225" t="s">
        <v>53</v>
      </c>
      <c r="D417" s="10" t="s">
        <v>1562</v>
      </c>
      <c r="E417" s="12" t="s">
        <v>1563</v>
      </c>
      <c r="F417" s="226"/>
      <c r="G417" s="259" t="s">
        <v>1564</v>
      </c>
      <c r="H417" s="46"/>
      <c r="I417" s="221" t="s">
        <v>74</v>
      </c>
      <c r="J417" s="222">
        <v>46095.0</v>
      </c>
      <c r="K417" s="224">
        <v>46098.0</v>
      </c>
      <c r="L417" s="228">
        <v>2.0</v>
      </c>
      <c r="M417" s="185" t="s">
        <v>1565</v>
      </c>
    </row>
    <row r="418">
      <c r="A418" s="33" t="s">
        <v>45</v>
      </c>
      <c r="B418" s="224">
        <v>46095.0</v>
      </c>
      <c r="C418" s="225" t="s">
        <v>53</v>
      </c>
      <c r="D418" s="10" t="s">
        <v>1566</v>
      </c>
      <c r="E418" s="12" t="s">
        <v>1567</v>
      </c>
      <c r="F418" s="226"/>
      <c r="G418" s="199" t="s">
        <v>1568</v>
      </c>
      <c r="H418" s="46"/>
      <c r="I418" s="221" t="s">
        <v>74</v>
      </c>
      <c r="J418" s="222">
        <v>46098.0</v>
      </c>
      <c r="K418" s="224">
        <v>46098.0</v>
      </c>
      <c r="L418" s="228">
        <v>2.0</v>
      </c>
      <c r="M418" s="185" t="s">
        <v>1569</v>
      </c>
    </row>
    <row r="419">
      <c r="A419" s="33" t="s">
        <v>45</v>
      </c>
      <c r="B419" s="224">
        <v>46098.0</v>
      </c>
      <c r="C419" s="225" t="s">
        <v>53</v>
      </c>
      <c r="D419" s="10" t="s">
        <v>1570</v>
      </c>
      <c r="E419" s="12" t="s">
        <v>1571</v>
      </c>
      <c r="F419" s="226" t="s">
        <v>338</v>
      </c>
      <c r="G419" s="259" t="s">
        <v>1572</v>
      </c>
      <c r="H419" s="46"/>
      <c r="I419" s="221" t="s">
        <v>74</v>
      </c>
      <c r="J419" s="222">
        <v>46123.0</v>
      </c>
      <c r="K419" s="223"/>
      <c r="L419" s="223"/>
      <c r="M419" s="185" t="s">
        <v>1573</v>
      </c>
    </row>
    <row r="420">
      <c r="A420" s="33" t="s">
        <v>815</v>
      </c>
      <c r="B420" s="224">
        <v>46098.0</v>
      </c>
      <c r="C420" s="225" t="s">
        <v>53</v>
      </c>
      <c r="D420" s="10" t="s">
        <v>1574</v>
      </c>
      <c r="E420" s="12" t="s">
        <v>1575</v>
      </c>
      <c r="F420" s="226" t="s">
        <v>74</v>
      </c>
      <c r="G420" s="36" t="s">
        <v>1576</v>
      </c>
      <c r="H420" s="46"/>
      <c r="I420" s="221" t="s">
        <v>74</v>
      </c>
      <c r="J420" s="222">
        <v>46123.0</v>
      </c>
      <c r="K420" s="223"/>
      <c r="L420" s="223"/>
      <c r="M420" s="185" t="s">
        <v>1577</v>
      </c>
    </row>
    <row r="421">
      <c r="A421" s="33" t="s">
        <v>45</v>
      </c>
      <c r="B421" s="224">
        <v>46098.0</v>
      </c>
      <c r="C421" s="225" t="s">
        <v>53</v>
      </c>
      <c r="D421" s="10" t="s">
        <v>1578</v>
      </c>
      <c r="E421" s="12" t="s">
        <v>1579</v>
      </c>
      <c r="F421" s="226"/>
      <c r="G421" s="199" t="s">
        <v>1580</v>
      </c>
      <c r="H421" s="46"/>
      <c r="I421" s="221" t="s">
        <v>74</v>
      </c>
      <c r="J421" s="222">
        <v>46123.0</v>
      </c>
      <c r="K421" s="224">
        <v>46144.0</v>
      </c>
      <c r="L421" s="228">
        <v>1.0</v>
      </c>
      <c r="M421" s="185" t="s">
        <v>1581</v>
      </c>
    </row>
    <row r="422">
      <c r="A422" s="33" t="s">
        <v>45</v>
      </c>
      <c r="B422" s="224">
        <v>46098.0</v>
      </c>
      <c r="C422" s="225" t="s">
        <v>53</v>
      </c>
      <c r="D422" s="10" t="s">
        <v>1582</v>
      </c>
      <c r="E422" s="12" t="s">
        <v>1583</v>
      </c>
      <c r="F422" s="226"/>
      <c r="G422" s="199" t="s">
        <v>1584</v>
      </c>
      <c r="H422" s="46"/>
      <c r="I422" s="221" t="s">
        <v>74</v>
      </c>
      <c r="J422" s="222">
        <v>46098.0</v>
      </c>
      <c r="K422" s="224">
        <v>46098.0</v>
      </c>
      <c r="L422" s="228">
        <v>2.0</v>
      </c>
      <c r="M422" s="185" t="s">
        <v>1585</v>
      </c>
    </row>
    <row r="423">
      <c r="A423" s="33" t="s">
        <v>45</v>
      </c>
      <c r="B423" s="224">
        <v>46098.0</v>
      </c>
      <c r="C423" s="225" t="s">
        <v>68</v>
      </c>
      <c r="D423" s="10" t="s">
        <v>1586</v>
      </c>
      <c r="E423" s="12" t="s">
        <v>1587</v>
      </c>
      <c r="F423" s="226"/>
      <c r="G423" s="199" t="s">
        <v>1588</v>
      </c>
      <c r="H423" s="46"/>
      <c r="I423" s="221" t="s">
        <v>74</v>
      </c>
      <c r="J423" s="222">
        <v>46098.0</v>
      </c>
      <c r="K423" s="224">
        <v>46098.0</v>
      </c>
      <c r="L423" s="228">
        <v>2.0</v>
      </c>
      <c r="M423" s="185" t="s">
        <v>1589</v>
      </c>
    </row>
    <row r="424">
      <c r="A424" s="33" t="s">
        <v>45</v>
      </c>
      <c r="B424" s="224">
        <v>46098.0</v>
      </c>
      <c r="C424" s="225" t="s">
        <v>53</v>
      </c>
      <c r="D424" s="10" t="s">
        <v>1590</v>
      </c>
      <c r="E424" s="12" t="s">
        <v>1591</v>
      </c>
      <c r="F424" s="226"/>
      <c r="G424" s="184"/>
      <c r="H424" s="46"/>
      <c r="I424" s="221" t="s">
        <v>74</v>
      </c>
      <c r="J424" s="222">
        <v>46106.0</v>
      </c>
      <c r="K424" s="223"/>
      <c r="L424" s="223"/>
      <c r="M424" s="185" t="s">
        <v>1592</v>
      </c>
    </row>
    <row r="425">
      <c r="A425" s="33" t="s">
        <v>45</v>
      </c>
      <c r="B425" s="224">
        <v>46098.0</v>
      </c>
      <c r="C425" s="225" t="s">
        <v>53</v>
      </c>
      <c r="D425" s="10" t="s">
        <v>1593</v>
      </c>
      <c r="E425" s="12" t="s">
        <v>1594</v>
      </c>
      <c r="F425" s="226" t="s">
        <v>338</v>
      </c>
      <c r="G425" s="199" t="s">
        <v>1595</v>
      </c>
      <c r="H425" s="46"/>
      <c r="I425" s="221" t="s">
        <v>74</v>
      </c>
      <c r="J425" s="222">
        <v>46106.0</v>
      </c>
      <c r="K425" s="224">
        <v>46108.0</v>
      </c>
      <c r="L425" s="228">
        <v>2.0</v>
      </c>
      <c r="M425" s="185" t="s">
        <v>1596</v>
      </c>
    </row>
    <row r="426">
      <c r="A426" s="33" t="s">
        <v>45</v>
      </c>
      <c r="B426" s="224">
        <v>46098.0</v>
      </c>
      <c r="C426" s="225" t="s">
        <v>53</v>
      </c>
      <c r="D426" s="10" t="s">
        <v>1597</v>
      </c>
      <c r="E426" s="12" t="s">
        <v>1598</v>
      </c>
      <c r="F426" s="226"/>
      <c r="G426" s="259" t="s">
        <v>1599</v>
      </c>
      <c r="H426" s="46"/>
      <c r="I426" s="221" t="s">
        <v>74</v>
      </c>
      <c r="J426" s="222">
        <v>46106.0</v>
      </c>
      <c r="K426" s="224">
        <v>46108.0</v>
      </c>
      <c r="L426" s="228">
        <v>2.0</v>
      </c>
      <c r="M426" s="185" t="s">
        <v>1600</v>
      </c>
    </row>
    <row r="427">
      <c r="A427" s="33" t="s">
        <v>67</v>
      </c>
      <c r="B427" s="224">
        <v>46098.0</v>
      </c>
      <c r="C427" s="225" t="s">
        <v>53</v>
      </c>
      <c r="D427" s="10" t="s">
        <v>1601</v>
      </c>
      <c r="E427" s="12" t="s">
        <v>1602</v>
      </c>
      <c r="F427" s="226"/>
      <c r="G427" s="259" t="s">
        <v>1603</v>
      </c>
      <c r="H427" s="46"/>
      <c r="I427" s="221" t="s">
        <v>74</v>
      </c>
      <c r="J427" s="222">
        <v>46133.0</v>
      </c>
      <c r="K427" s="223"/>
      <c r="L427" s="223"/>
      <c r="M427" s="185" t="s">
        <v>1604</v>
      </c>
    </row>
    <row r="428">
      <c r="A428" s="33" t="s">
        <v>45</v>
      </c>
      <c r="B428" s="224">
        <v>46098.0</v>
      </c>
      <c r="C428" s="225" t="s">
        <v>53</v>
      </c>
      <c r="D428" s="10" t="s">
        <v>1605</v>
      </c>
      <c r="E428" s="12" t="s">
        <v>1606</v>
      </c>
      <c r="F428" s="226"/>
      <c r="G428" s="259" t="s">
        <v>1607</v>
      </c>
      <c r="H428" s="46"/>
      <c r="I428" s="221" t="s">
        <v>74</v>
      </c>
      <c r="J428" s="222">
        <v>46149.0</v>
      </c>
      <c r="K428" s="224">
        <v>46155.0</v>
      </c>
      <c r="L428" s="228">
        <v>1.0</v>
      </c>
      <c r="M428" s="185" t="s">
        <v>1608</v>
      </c>
    </row>
    <row r="429">
      <c r="A429" s="33" t="s">
        <v>108</v>
      </c>
      <c r="B429" s="224">
        <v>46099.0</v>
      </c>
      <c r="C429" s="225" t="s">
        <v>53</v>
      </c>
      <c r="D429" s="10" t="s">
        <v>1609</v>
      </c>
      <c r="E429" s="12" t="s">
        <v>1610</v>
      </c>
      <c r="F429" s="226"/>
      <c r="G429" s="199" t="s">
        <v>1611</v>
      </c>
      <c r="H429" s="46"/>
      <c r="I429" s="221" t="s">
        <v>74</v>
      </c>
      <c r="J429" s="222">
        <v>46106.0</v>
      </c>
      <c r="K429" s="223"/>
      <c r="L429" s="223"/>
      <c r="M429" s="185" t="s">
        <v>190</v>
      </c>
    </row>
    <row r="430">
      <c r="A430" s="33" t="s">
        <v>108</v>
      </c>
      <c r="B430" s="224">
        <v>46099.0</v>
      </c>
      <c r="C430" s="225" t="s">
        <v>53</v>
      </c>
      <c r="D430" s="10" t="s">
        <v>1612</v>
      </c>
      <c r="E430" s="12" t="s">
        <v>1613</v>
      </c>
      <c r="F430" s="226" t="s">
        <v>83</v>
      </c>
      <c r="G430" s="199" t="s">
        <v>1614</v>
      </c>
      <c r="H430" s="46"/>
      <c r="I430" s="49"/>
      <c r="J430" s="72"/>
      <c r="K430" s="223"/>
      <c r="L430" s="223"/>
      <c r="M430" s="245"/>
    </row>
    <row r="431">
      <c r="A431" s="33" t="s">
        <v>67</v>
      </c>
      <c r="B431" s="224">
        <v>46099.0</v>
      </c>
      <c r="C431" s="225" t="s">
        <v>53</v>
      </c>
      <c r="D431" s="10" t="s">
        <v>1615</v>
      </c>
      <c r="E431" s="12" t="s">
        <v>1616</v>
      </c>
      <c r="F431" s="226" t="s">
        <v>338</v>
      </c>
      <c r="G431" s="199" t="s">
        <v>1617</v>
      </c>
      <c r="H431" s="46"/>
      <c r="I431" s="221" t="s">
        <v>74</v>
      </c>
      <c r="J431" s="222">
        <v>46106.0</v>
      </c>
      <c r="K431" s="224"/>
      <c r="L431" s="228"/>
      <c r="M431" s="185" t="s">
        <v>1618</v>
      </c>
    </row>
    <row r="432">
      <c r="A432" s="33" t="s">
        <v>45</v>
      </c>
      <c r="B432" s="224">
        <v>46099.0</v>
      </c>
      <c r="C432" s="225" t="s">
        <v>68</v>
      </c>
      <c r="D432" s="10" t="s">
        <v>1619</v>
      </c>
      <c r="E432" s="12" t="s">
        <v>1620</v>
      </c>
      <c r="F432" s="226" t="s">
        <v>74</v>
      </c>
      <c r="G432" s="199" t="s">
        <v>1621</v>
      </c>
      <c r="H432" s="55" t="s">
        <v>25</v>
      </c>
      <c r="I432" s="221" t="s">
        <v>74</v>
      </c>
      <c r="J432" s="222">
        <v>46099.0</v>
      </c>
      <c r="K432" s="224"/>
      <c r="L432" s="228"/>
      <c r="M432" s="185" t="s">
        <v>1622</v>
      </c>
    </row>
    <row r="433">
      <c r="A433" s="33" t="s">
        <v>108</v>
      </c>
      <c r="B433" s="224">
        <v>46099.0</v>
      </c>
      <c r="C433" s="225" t="s">
        <v>53</v>
      </c>
      <c r="D433" s="10" t="s">
        <v>1623</v>
      </c>
      <c r="E433" s="12" t="s">
        <v>1624</v>
      </c>
      <c r="F433" s="226"/>
      <c r="G433" s="199" t="s">
        <v>1625</v>
      </c>
      <c r="H433" s="46"/>
      <c r="I433" s="221" t="s">
        <v>74</v>
      </c>
      <c r="J433" s="222">
        <v>46133.0</v>
      </c>
      <c r="K433" s="223"/>
      <c r="L433" s="223"/>
      <c r="M433" s="185" t="s">
        <v>1626</v>
      </c>
    </row>
    <row r="434">
      <c r="A434" s="33" t="s">
        <v>45</v>
      </c>
      <c r="B434" s="224">
        <v>46100.0</v>
      </c>
      <c r="C434" s="225" t="s">
        <v>53</v>
      </c>
      <c r="D434" s="10" t="s">
        <v>1627</v>
      </c>
      <c r="E434" s="12" t="s">
        <v>1628</v>
      </c>
      <c r="F434" s="226"/>
      <c r="G434" s="259" t="s">
        <v>1629</v>
      </c>
      <c r="H434" s="46"/>
      <c r="I434" s="221" t="s">
        <v>338</v>
      </c>
      <c r="J434" s="222">
        <v>46100.0</v>
      </c>
      <c r="K434" s="224">
        <v>46127.0</v>
      </c>
      <c r="L434" s="228">
        <v>3.0</v>
      </c>
      <c r="M434" s="185" t="s">
        <v>1630</v>
      </c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  <c r="AA434" s="262"/>
    </row>
    <row r="435">
      <c r="A435" s="33" t="s">
        <v>1016</v>
      </c>
      <c r="B435" s="224">
        <v>46100.0</v>
      </c>
      <c r="C435" s="225"/>
      <c r="D435" s="10" t="s">
        <v>1631</v>
      </c>
      <c r="E435" s="12"/>
      <c r="F435" s="226"/>
      <c r="G435" s="199" t="s">
        <v>1632</v>
      </c>
      <c r="H435" s="46"/>
      <c r="I435" s="221"/>
      <c r="J435" s="222"/>
      <c r="K435" s="224"/>
      <c r="L435" s="228"/>
      <c r="M435" s="245"/>
    </row>
    <row r="436">
      <c r="A436" s="33" t="s">
        <v>45</v>
      </c>
      <c r="B436" s="224">
        <v>46100.0</v>
      </c>
      <c r="C436" s="225" t="s">
        <v>68</v>
      </c>
      <c r="D436" s="10" t="s">
        <v>1633</v>
      </c>
      <c r="E436" s="12" t="s">
        <v>1634</v>
      </c>
      <c r="F436" s="226"/>
      <c r="G436" s="259" t="s">
        <v>1635</v>
      </c>
      <c r="H436" s="46"/>
      <c r="I436" s="221" t="s">
        <v>74</v>
      </c>
      <c r="J436" s="222">
        <v>46100.0</v>
      </c>
      <c r="K436" s="224">
        <v>46100.0</v>
      </c>
      <c r="L436" s="228">
        <v>1.0</v>
      </c>
      <c r="M436" s="185" t="s">
        <v>1636</v>
      </c>
    </row>
    <row r="437">
      <c r="A437" s="33" t="s">
        <v>45</v>
      </c>
      <c r="B437" s="224">
        <v>46100.0</v>
      </c>
      <c r="C437" s="225" t="s">
        <v>380</v>
      </c>
      <c r="D437" s="10" t="s">
        <v>294</v>
      </c>
      <c r="E437" s="12" t="s">
        <v>1637</v>
      </c>
      <c r="F437" s="226"/>
      <c r="G437" s="36" t="s">
        <v>1638</v>
      </c>
      <c r="H437" s="55" t="s">
        <v>25</v>
      </c>
      <c r="I437" s="221" t="s">
        <v>74</v>
      </c>
      <c r="J437" s="222">
        <v>46100.0</v>
      </c>
      <c r="K437" s="224"/>
      <c r="L437" s="228"/>
      <c r="M437" s="241" t="s">
        <v>1639</v>
      </c>
    </row>
    <row r="438">
      <c r="A438" s="33" t="s">
        <v>45</v>
      </c>
      <c r="B438" s="224">
        <v>46100.0</v>
      </c>
      <c r="C438" s="225" t="s">
        <v>68</v>
      </c>
      <c r="D438" s="10" t="s">
        <v>1640</v>
      </c>
      <c r="E438" s="12" t="s">
        <v>1641</v>
      </c>
      <c r="F438" s="226" t="s">
        <v>74</v>
      </c>
      <c r="G438" s="199" t="s">
        <v>1642</v>
      </c>
      <c r="H438" s="55" t="s">
        <v>25</v>
      </c>
      <c r="I438" s="221" t="s">
        <v>74</v>
      </c>
      <c r="J438" s="222">
        <v>46100.0</v>
      </c>
      <c r="K438" s="224">
        <v>46108.0</v>
      </c>
      <c r="L438" s="228">
        <v>2.0</v>
      </c>
      <c r="M438" s="185" t="s">
        <v>1643</v>
      </c>
    </row>
    <row r="439">
      <c r="A439" s="33" t="s">
        <v>45</v>
      </c>
      <c r="B439" s="224">
        <v>46100.0</v>
      </c>
      <c r="C439" s="225" t="s">
        <v>68</v>
      </c>
      <c r="D439" s="10" t="s">
        <v>1644</v>
      </c>
      <c r="E439" s="12" t="s">
        <v>1645</v>
      </c>
      <c r="F439" s="226" t="s">
        <v>74</v>
      </c>
      <c r="G439" s="199" t="s">
        <v>1646</v>
      </c>
      <c r="H439" s="46"/>
      <c r="I439" s="221" t="s">
        <v>74</v>
      </c>
      <c r="J439" s="222">
        <v>46112.0</v>
      </c>
      <c r="K439" s="224"/>
      <c r="L439" s="228"/>
      <c r="M439" s="228" t="s">
        <v>1647</v>
      </c>
    </row>
    <row r="440">
      <c r="A440" s="33" t="s">
        <v>67</v>
      </c>
      <c r="B440" s="224">
        <v>46100.0</v>
      </c>
      <c r="C440" s="225" t="s">
        <v>53</v>
      </c>
      <c r="D440" s="10" t="s">
        <v>1648</v>
      </c>
      <c r="E440" s="12" t="s">
        <v>1649</v>
      </c>
      <c r="F440" s="226" t="s">
        <v>74</v>
      </c>
      <c r="G440" s="259" t="s">
        <v>1650</v>
      </c>
      <c r="H440" s="46"/>
      <c r="I440" s="221" t="s">
        <v>74</v>
      </c>
      <c r="J440" s="222">
        <v>46133.0</v>
      </c>
      <c r="K440" s="224"/>
      <c r="L440" s="228"/>
      <c r="M440" s="241" t="s">
        <v>1651</v>
      </c>
    </row>
    <row r="441">
      <c r="A441" s="33" t="s">
        <v>45</v>
      </c>
      <c r="B441" s="224">
        <v>46101.0</v>
      </c>
      <c r="C441" s="225" t="s">
        <v>53</v>
      </c>
      <c r="D441" s="10" t="s">
        <v>1652</v>
      </c>
      <c r="E441" s="12" t="s">
        <v>1653</v>
      </c>
      <c r="F441" s="226" t="s">
        <v>74</v>
      </c>
      <c r="G441" s="255" t="s">
        <v>1654</v>
      </c>
      <c r="H441" s="46"/>
      <c r="I441" s="221" t="s">
        <v>74</v>
      </c>
      <c r="J441" s="222">
        <v>46112.0</v>
      </c>
      <c r="K441" s="224"/>
      <c r="L441" s="228"/>
      <c r="M441" s="185" t="s">
        <v>1655</v>
      </c>
    </row>
    <row r="442">
      <c r="A442" s="264" t="s">
        <v>45</v>
      </c>
      <c r="B442" s="265">
        <v>46101.0</v>
      </c>
      <c r="C442" s="225" t="s">
        <v>53</v>
      </c>
      <c r="D442" s="10" t="s">
        <v>1656</v>
      </c>
      <c r="E442" s="266" t="s">
        <v>1657</v>
      </c>
      <c r="F442" s="226"/>
      <c r="G442" s="282" t="s">
        <v>1658</v>
      </c>
      <c r="H442" s="267"/>
      <c r="I442" s="221" t="s">
        <v>83</v>
      </c>
      <c r="J442" s="268">
        <v>46134.0</v>
      </c>
      <c r="K442" s="265"/>
      <c r="L442" s="283"/>
      <c r="M442" s="270" t="s">
        <v>1659</v>
      </c>
    </row>
    <row r="443">
      <c r="A443" s="33" t="s">
        <v>45</v>
      </c>
      <c r="B443" s="224">
        <v>46101.0</v>
      </c>
      <c r="C443" s="225" t="s">
        <v>68</v>
      </c>
      <c r="D443" s="10" t="s">
        <v>1660</v>
      </c>
      <c r="E443" s="12" t="s">
        <v>1661</v>
      </c>
      <c r="F443" s="226" t="s">
        <v>74</v>
      </c>
      <c r="G443" s="199" t="s">
        <v>1662</v>
      </c>
      <c r="H443" s="55" t="s">
        <v>25</v>
      </c>
      <c r="I443" s="221" t="s">
        <v>74</v>
      </c>
      <c r="J443" s="222">
        <v>46101.0</v>
      </c>
      <c r="K443" s="224">
        <v>46123.0</v>
      </c>
      <c r="L443" s="228">
        <v>4.0</v>
      </c>
      <c r="M443" s="185" t="s">
        <v>1663</v>
      </c>
    </row>
    <row r="444">
      <c r="A444" s="33" t="s">
        <v>45</v>
      </c>
      <c r="B444" s="224">
        <v>46101.0</v>
      </c>
      <c r="C444" s="225" t="s">
        <v>53</v>
      </c>
      <c r="D444" s="10" t="s">
        <v>1664</v>
      </c>
      <c r="E444" s="12" t="s">
        <v>1665</v>
      </c>
      <c r="F444" s="226" t="s">
        <v>338</v>
      </c>
      <c r="G444" s="199" t="s">
        <v>1666</v>
      </c>
      <c r="H444" s="46"/>
      <c r="I444" s="221" t="s">
        <v>74</v>
      </c>
      <c r="J444" s="222">
        <v>46105.0</v>
      </c>
      <c r="K444" s="224">
        <v>46122.0</v>
      </c>
      <c r="L444" s="228">
        <v>2.0</v>
      </c>
      <c r="M444" s="185" t="s">
        <v>1667</v>
      </c>
    </row>
    <row r="445">
      <c r="A445" s="33" t="s">
        <v>45</v>
      </c>
      <c r="B445" s="224">
        <v>46102.0</v>
      </c>
      <c r="C445" s="225" t="s">
        <v>1323</v>
      </c>
      <c r="D445" s="10" t="s">
        <v>1668</v>
      </c>
      <c r="E445" s="12" t="s">
        <v>1669</v>
      </c>
      <c r="F445" s="226" t="s">
        <v>74</v>
      </c>
      <c r="G445" s="199" t="s">
        <v>1670</v>
      </c>
      <c r="H445" s="55" t="s">
        <v>25</v>
      </c>
      <c r="I445" s="221" t="s">
        <v>74</v>
      </c>
      <c r="J445" s="222">
        <v>46162.0</v>
      </c>
      <c r="K445" s="224">
        <v>46171.0</v>
      </c>
      <c r="L445" s="228">
        <v>2.0</v>
      </c>
      <c r="M445" s="185" t="s">
        <v>1671</v>
      </c>
    </row>
    <row r="446">
      <c r="A446" s="33" t="s">
        <v>108</v>
      </c>
      <c r="B446" s="224">
        <v>46102.0</v>
      </c>
      <c r="C446" s="225" t="s">
        <v>53</v>
      </c>
      <c r="D446" s="10" t="s">
        <v>1672</v>
      </c>
      <c r="E446" s="12" t="s">
        <v>1673</v>
      </c>
      <c r="F446" s="226" t="s">
        <v>74</v>
      </c>
      <c r="G446" s="199" t="s">
        <v>1674</v>
      </c>
      <c r="H446" s="46"/>
      <c r="I446" s="221" t="s">
        <v>74</v>
      </c>
      <c r="J446" s="222">
        <v>46133.0</v>
      </c>
      <c r="K446" s="223"/>
      <c r="L446" s="223"/>
      <c r="M446" s="185" t="s">
        <v>1675</v>
      </c>
    </row>
    <row r="447">
      <c r="A447" s="33" t="s">
        <v>45</v>
      </c>
      <c r="B447" s="224">
        <v>46102.0</v>
      </c>
      <c r="C447" s="225" t="s">
        <v>68</v>
      </c>
      <c r="D447" s="10" t="s">
        <v>1676</v>
      </c>
      <c r="E447" s="12" t="s">
        <v>1677</v>
      </c>
      <c r="F447" s="226"/>
      <c r="G447" s="199" t="s">
        <v>1678</v>
      </c>
      <c r="H447" s="46"/>
      <c r="I447" s="221" t="s">
        <v>338</v>
      </c>
      <c r="J447" s="222">
        <v>46106.0</v>
      </c>
      <c r="K447" s="224">
        <v>46123.0</v>
      </c>
      <c r="L447" s="228">
        <v>4.0</v>
      </c>
      <c r="M447" s="185" t="s">
        <v>1679</v>
      </c>
    </row>
    <row r="448">
      <c r="A448" s="33" t="s">
        <v>45</v>
      </c>
      <c r="B448" s="224">
        <v>46102.0</v>
      </c>
      <c r="C448" s="225" t="s">
        <v>53</v>
      </c>
      <c r="D448" s="10" t="s">
        <v>1680</v>
      </c>
      <c r="E448" s="12" t="s">
        <v>1681</v>
      </c>
      <c r="F448" s="226" t="s">
        <v>83</v>
      </c>
      <c r="G448" s="199" t="s">
        <v>1682</v>
      </c>
      <c r="H448" s="46"/>
      <c r="I448" s="221" t="s">
        <v>74</v>
      </c>
      <c r="J448" s="222">
        <v>46105.0</v>
      </c>
      <c r="K448" s="224">
        <v>46150.0</v>
      </c>
      <c r="L448" s="228">
        <v>1.0</v>
      </c>
      <c r="M448" s="185" t="s">
        <v>1683</v>
      </c>
    </row>
    <row r="449">
      <c r="A449" s="33" t="s">
        <v>108</v>
      </c>
      <c r="B449" s="224">
        <v>46105.0</v>
      </c>
      <c r="C449" s="284" t="s">
        <v>53</v>
      </c>
      <c r="D449" s="10" t="s">
        <v>840</v>
      </c>
      <c r="E449" s="12" t="s">
        <v>1684</v>
      </c>
      <c r="F449" s="242"/>
      <c r="G449" s="259" t="s">
        <v>1685</v>
      </c>
      <c r="H449" s="46"/>
      <c r="I449" s="285" t="s">
        <v>74</v>
      </c>
      <c r="J449" s="222">
        <v>46112.0</v>
      </c>
      <c r="K449" s="223"/>
      <c r="L449" s="223"/>
      <c r="M449" s="185" t="s">
        <v>1686</v>
      </c>
    </row>
    <row r="450">
      <c r="A450" s="33" t="s">
        <v>45</v>
      </c>
      <c r="B450" s="224">
        <v>46105.0</v>
      </c>
      <c r="C450" s="225" t="s">
        <v>68</v>
      </c>
      <c r="D450" s="10" t="s">
        <v>1687</v>
      </c>
      <c r="E450" s="12" t="s">
        <v>704</v>
      </c>
      <c r="F450" s="226" t="s">
        <v>83</v>
      </c>
      <c r="G450" s="199" t="s">
        <v>1688</v>
      </c>
      <c r="H450" s="46"/>
      <c r="I450" s="221" t="s">
        <v>338</v>
      </c>
      <c r="J450" s="222">
        <v>46105.0</v>
      </c>
      <c r="K450" s="224">
        <v>46120.0</v>
      </c>
      <c r="L450" s="228">
        <v>6.0</v>
      </c>
      <c r="M450" s="245"/>
    </row>
    <row r="451">
      <c r="A451" s="33" t="s">
        <v>108</v>
      </c>
      <c r="B451" s="224">
        <v>46105.0</v>
      </c>
      <c r="C451" s="225" t="s">
        <v>53</v>
      </c>
      <c r="D451" s="10" t="s">
        <v>1689</v>
      </c>
      <c r="E451" s="12" t="s">
        <v>1690</v>
      </c>
      <c r="F451" s="226"/>
      <c r="G451" s="199" t="s">
        <v>1691</v>
      </c>
      <c r="H451" s="46"/>
      <c r="I451" s="221" t="s">
        <v>74</v>
      </c>
      <c r="J451" s="222">
        <v>46157.0</v>
      </c>
      <c r="K451" s="223"/>
      <c r="L451" s="223"/>
      <c r="M451" s="185" t="s">
        <v>1692</v>
      </c>
    </row>
    <row r="452">
      <c r="A452" s="33" t="s">
        <v>67</v>
      </c>
      <c r="B452" s="224">
        <v>46106.0</v>
      </c>
      <c r="C452" s="225" t="s">
        <v>68</v>
      </c>
      <c r="D452" s="10" t="s">
        <v>1693</v>
      </c>
      <c r="E452" s="12" t="s">
        <v>1694</v>
      </c>
      <c r="F452" s="226" t="s">
        <v>338</v>
      </c>
      <c r="G452" s="199" t="s">
        <v>1695</v>
      </c>
      <c r="H452" s="55" t="s">
        <v>25</v>
      </c>
      <c r="I452" s="221" t="s">
        <v>74</v>
      </c>
      <c r="J452" s="222">
        <v>46157.0</v>
      </c>
      <c r="K452" s="224"/>
      <c r="L452" s="228"/>
      <c r="M452" s="185" t="s">
        <v>1696</v>
      </c>
    </row>
    <row r="453">
      <c r="A453" s="33" t="s">
        <v>45</v>
      </c>
      <c r="B453" s="224">
        <v>46106.0</v>
      </c>
      <c r="C453" s="225" t="s">
        <v>53</v>
      </c>
      <c r="D453" s="10" t="s">
        <v>1697</v>
      </c>
      <c r="E453" s="12" t="s">
        <v>1698</v>
      </c>
      <c r="F453" s="226"/>
      <c r="G453" s="199" t="s">
        <v>1699</v>
      </c>
      <c r="H453" s="46"/>
      <c r="I453" s="221" t="s">
        <v>74</v>
      </c>
      <c r="J453" s="222">
        <v>46122.0</v>
      </c>
      <c r="K453" s="224">
        <v>46171.0</v>
      </c>
      <c r="L453" s="228">
        <v>2.0</v>
      </c>
      <c r="M453" s="185" t="s">
        <v>1700</v>
      </c>
    </row>
    <row r="454">
      <c r="A454" s="33" t="s">
        <v>108</v>
      </c>
      <c r="B454" s="224">
        <v>46107.0</v>
      </c>
      <c r="C454" s="225" t="s">
        <v>53</v>
      </c>
      <c r="D454" s="10" t="s">
        <v>1701</v>
      </c>
      <c r="E454" s="12" t="s">
        <v>1702</v>
      </c>
      <c r="F454" s="226" t="s">
        <v>74</v>
      </c>
      <c r="G454" s="199" t="s">
        <v>1703</v>
      </c>
      <c r="H454" s="46"/>
      <c r="I454" s="221" t="s">
        <v>74</v>
      </c>
      <c r="J454" s="222">
        <v>46112.0</v>
      </c>
      <c r="K454" s="224"/>
      <c r="L454" s="228"/>
      <c r="M454" s="185" t="s">
        <v>1704</v>
      </c>
    </row>
    <row r="455">
      <c r="A455" s="33" t="s">
        <v>45</v>
      </c>
      <c r="B455" s="224">
        <v>46107.0</v>
      </c>
      <c r="C455" s="225" t="s">
        <v>53</v>
      </c>
      <c r="D455" s="10" t="s">
        <v>1705</v>
      </c>
      <c r="E455" s="12" t="s">
        <v>1706</v>
      </c>
      <c r="F455" s="226" t="s">
        <v>74</v>
      </c>
      <c r="G455" s="199" t="s">
        <v>1707</v>
      </c>
      <c r="H455" s="46"/>
      <c r="I455" s="221" t="s">
        <v>74</v>
      </c>
      <c r="J455" s="222">
        <v>46112.0</v>
      </c>
      <c r="K455" s="224"/>
      <c r="L455" s="228"/>
      <c r="M455" s="185" t="s">
        <v>1708</v>
      </c>
    </row>
    <row r="456">
      <c r="A456" s="33" t="s">
        <v>45</v>
      </c>
      <c r="B456" s="224">
        <v>46109.0</v>
      </c>
      <c r="C456" s="225" t="s">
        <v>68</v>
      </c>
      <c r="D456" s="10" t="s">
        <v>1709</v>
      </c>
      <c r="E456" s="12" t="s">
        <v>1710</v>
      </c>
      <c r="F456" s="226" t="s">
        <v>74</v>
      </c>
      <c r="G456" s="33" t="s">
        <v>1711</v>
      </c>
      <c r="H456" s="55" t="s">
        <v>25</v>
      </c>
      <c r="I456" s="221" t="s">
        <v>74</v>
      </c>
      <c r="J456" s="222">
        <v>46109.0</v>
      </c>
      <c r="K456" s="224">
        <v>46150.0</v>
      </c>
      <c r="L456" s="228">
        <v>5.0</v>
      </c>
      <c r="M456" s="58" t="s">
        <v>1712</v>
      </c>
    </row>
    <row r="457">
      <c r="A457" s="234" t="s">
        <v>45</v>
      </c>
      <c r="B457" s="224">
        <v>46109.0</v>
      </c>
      <c r="C457" s="225" t="s">
        <v>1323</v>
      </c>
      <c r="D457" s="10" t="s">
        <v>1713</v>
      </c>
      <c r="E457" s="12" t="s">
        <v>1714</v>
      </c>
      <c r="F457" s="226" t="s">
        <v>83</v>
      </c>
      <c r="G457" s="199" t="s">
        <v>1715</v>
      </c>
      <c r="H457" s="46"/>
      <c r="I457" s="221" t="s">
        <v>74</v>
      </c>
      <c r="J457" s="222">
        <v>46112.0</v>
      </c>
      <c r="K457" s="224">
        <v>46151.0</v>
      </c>
      <c r="L457" s="228">
        <v>5.0</v>
      </c>
      <c r="M457" s="185" t="s">
        <v>1716</v>
      </c>
    </row>
    <row r="458">
      <c r="A458" s="234" t="s">
        <v>45</v>
      </c>
      <c r="B458" s="224">
        <v>46109.0</v>
      </c>
      <c r="C458" s="225" t="s">
        <v>1323</v>
      </c>
      <c r="D458" s="10" t="s">
        <v>1717</v>
      </c>
      <c r="E458" s="12" t="s">
        <v>1718</v>
      </c>
      <c r="F458" s="226" t="s">
        <v>83</v>
      </c>
      <c r="G458" s="199" t="s">
        <v>1719</v>
      </c>
      <c r="H458" s="46"/>
      <c r="I458" s="221" t="s">
        <v>74</v>
      </c>
      <c r="J458" s="222">
        <v>46112.0</v>
      </c>
      <c r="K458" s="224"/>
      <c r="L458" s="228"/>
      <c r="M458" s="185" t="s">
        <v>1720</v>
      </c>
    </row>
    <row r="459">
      <c r="A459" s="234" t="s">
        <v>45</v>
      </c>
      <c r="B459" s="224">
        <v>46109.0</v>
      </c>
      <c r="C459" s="225" t="s">
        <v>221</v>
      </c>
      <c r="D459" s="10" t="s">
        <v>1721</v>
      </c>
      <c r="E459" s="12" t="s">
        <v>1722</v>
      </c>
      <c r="F459" s="226" t="s">
        <v>74</v>
      </c>
      <c r="G459" s="233" t="s">
        <v>818</v>
      </c>
      <c r="H459" s="55" t="s">
        <v>25</v>
      </c>
      <c r="I459" s="221" t="s">
        <v>74</v>
      </c>
      <c r="J459" s="222">
        <v>46123.0</v>
      </c>
      <c r="K459" s="223"/>
      <c r="L459" s="223"/>
      <c r="M459" s="58" t="s">
        <v>1723</v>
      </c>
    </row>
    <row r="460">
      <c r="A460" s="234" t="s">
        <v>108</v>
      </c>
      <c r="B460" s="224">
        <v>46112.0</v>
      </c>
      <c r="C460" s="225" t="s">
        <v>68</v>
      </c>
      <c r="D460" s="10" t="s">
        <v>1724</v>
      </c>
      <c r="E460" s="12" t="s">
        <v>1725</v>
      </c>
      <c r="F460" s="226" t="s">
        <v>338</v>
      </c>
      <c r="G460" s="199" t="s">
        <v>1726</v>
      </c>
      <c r="H460" s="55" t="s">
        <v>25</v>
      </c>
      <c r="I460" s="221" t="s">
        <v>83</v>
      </c>
      <c r="J460" s="222">
        <v>46115.0</v>
      </c>
      <c r="K460" s="224"/>
      <c r="L460" s="228"/>
      <c r="M460" s="185" t="s">
        <v>1727</v>
      </c>
    </row>
    <row r="461">
      <c r="A461" s="286" t="s">
        <v>67</v>
      </c>
      <c r="B461" s="224">
        <v>46112.0</v>
      </c>
      <c r="C461" s="284" t="s">
        <v>68</v>
      </c>
      <c r="D461" s="10" t="s">
        <v>1728</v>
      </c>
      <c r="E461" s="12" t="s">
        <v>1729</v>
      </c>
      <c r="F461" s="242" t="s">
        <v>74</v>
      </c>
      <c r="G461" s="234" t="s">
        <v>1730</v>
      </c>
      <c r="H461" s="55" t="s">
        <v>25</v>
      </c>
      <c r="I461" s="285" t="s">
        <v>74</v>
      </c>
      <c r="J461" s="222">
        <v>46119.0</v>
      </c>
      <c r="K461" s="223"/>
      <c r="L461" s="223"/>
      <c r="M461" s="58" t="s">
        <v>1731</v>
      </c>
    </row>
    <row r="462">
      <c r="A462" s="33" t="s">
        <v>45</v>
      </c>
      <c r="B462" s="224">
        <v>46112.0</v>
      </c>
      <c r="C462" s="225" t="s">
        <v>53</v>
      </c>
      <c r="D462" s="10" t="s">
        <v>1732</v>
      </c>
      <c r="E462" s="12" t="s">
        <v>1733</v>
      </c>
      <c r="F462" s="226" t="s">
        <v>74</v>
      </c>
      <c r="G462" s="233" t="s">
        <v>1734</v>
      </c>
      <c r="H462" s="55"/>
      <c r="I462" s="221" t="s">
        <v>74</v>
      </c>
      <c r="J462" s="222">
        <v>46112.0</v>
      </c>
      <c r="K462" s="224">
        <v>46122.0</v>
      </c>
      <c r="L462" s="228">
        <v>1.0</v>
      </c>
      <c r="M462" s="58" t="s">
        <v>1735</v>
      </c>
    </row>
    <row r="463">
      <c r="A463" s="234" t="s">
        <v>45</v>
      </c>
      <c r="B463" s="224">
        <v>46114.0</v>
      </c>
      <c r="C463" s="225" t="s">
        <v>68</v>
      </c>
      <c r="D463" s="10" t="s">
        <v>1736</v>
      </c>
      <c r="E463" s="12" t="s">
        <v>1737</v>
      </c>
      <c r="F463" s="226" t="s">
        <v>338</v>
      </c>
      <c r="G463" s="33" t="s">
        <v>1738</v>
      </c>
      <c r="H463" s="55" t="s">
        <v>25</v>
      </c>
      <c r="I463" s="221" t="s">
        <v>74</v>
      </c>
      <c r="J463" s="222">
        <v>46123.0</v>
      </c>
      <c r="K463" s="223"/>
      <c r="L463" s="223"/>
      <c r="M463" s="58" t="s">
        <v>1739</v>
      </c>
    </row>
    <row r="464">
      <c r="A464" s="234" t="s">
        <v>45</v>
      </c>
      <c r="B464" s="224">
        <v>46114.0</v>
      </c>
      <c r="C464" s="225" t="s">
        <v>68</v>
      </c>
      <c r="D464" s="10" t="s">
        <v>1740</v>
      </c>
      <c r="E464" s="12" t="s">
        <v>1741</v>
      </c>
      <c r="F464" s="226"/>
      <c r="G464" s="33" t="s">
        <v>1742</v>
      </c>
      <c r="H464" s="55" t="s">
        <v>25</v>
      </c>
      <c r="I464" s="221" t="s">
        <v>338</v>
      </c>
      <c r="J464" s="222">
        <v>46114.0</v>
      </c>
      <c r="K464" s="224">
        <v>46122.0</v>
      </c>
      <c r="L464" s="228">
        <v>1.0</v>
      </c>
      <c r="M464" s="58" t="s">
        <v>1743</v>
      </c>
    </row>
    <row r="465">
      <c r="A465" s="234" t="s">
        <v>45</v>
      </c>
      <c r="B465" s="224">
        <v>46115.0</v>
      </c>
      <c r="C465" s="225" t="s">
        <v>380</v>
      </c>
      <c r="D465" s="10" t="s">
        <v>1744</v>
      </c>
      <c r="E465" s="12" t="s">
        <v>1745</v>
      </c>
      <c r="F465" s="226" t="s">
        <v>74</v>
      </c>
      <c r="G465" s="33" t="s">
        <v>1746</v>
      </c>
      <c r="H465" s="55"/>
      <c r="I465" s="221" t="s">
        <v>74</v>
      </c>
      <c r="J465" s="222">
        <v>46119.0</v>
      </c>
      <c r="K465" s="223"/>
      <c r="L465" s="223"/>
      <c r="M465" s="58" t="s">
        <v>1747</v>
      </c>
    </row>
    <row r="466">
      <c r="A466" s="234" t="s">
        <v>45</v>
      </c>
      <c r="B466" s="224">
        <v>46119.0</v>
      </c>
      <c r="C466" s="225" t="s">
        <v>53</v>
      </c>
      <c r="D466" s="10" t="s">
        <v>1748</v>
      </c>
      <c r="E466" s="12" t="s">
        <v>1749</v>
      </c>
      <c r="F466" s="226" t="s">
        <v>83</v>
      </c>
      <c r="G466" s="33" t="s">
        <v>1750</v>
      </c>
      <c r="H466" s="55"/>
      <c r="I466" s="221" t="s">
        <v>83</v>
      </c>
      <c r="J466" s="222">
        <v>46123.0</v>
      </c>
      <c r="K466" s="223"/>
      <c r="L466" s="223"/>
      <c r="M466" s="58" t="s">
        <v>1751</v>
      </c>
    </row>
    <row r="467">
      <c r="A467" s="234" t="s">
        <v>45</v>
      </c>
      <c r="B467" s="224">
        <v>46119.0</v>
      </c>
      <c r="C467" s="284" t="s">
        <v>53</v>
      </c>
      <c r="D467" s="10" t="s">
        <v>1752</v>
      </c>
      <c r="E467" s="12" t="s">
        <v>1753</v>
      </c>
      <c r="F467" s="242" t="s">
        <v>74</v>
      </c>
      <c r="G467" s="33" t="s">
        <v>1754</v>
      </c>
      <c r="H467" s="55"/>
      <c r="I467" s="285" t="s">
        <v>74</v>
      </c>
      <c r="J467" s="222">
        <v>46119.0</v>
      </c>
      <c r="K467" s="223"/>
      <c r="L467" s="223"/>
      <c r="M467" s="58" t="s">
        <v>1755</v>
      </c>
    </row>
    <row r="468">
      <c r="A468" s="234" t="s">
        <v>67</v>
      </c>
      <c r="B468" s="224">
        <v>46119.0</v>
      </c>
      <c r="C468" s="225" t="s">
        <v>53</v>
      </c>
      <c r="D468" s="10" t="s">
        <v>1756</v>
      </c>
      <c r="E468" s="12" t="s">
        <v>1757</v>
      </c>
      <c r="F468" s="226" t="s">
        <v>83</v>
      </c>
      <c r="G468" s="33" t="s">
        <v>1758</v>
      </c>
      <c r="H468" s="55"/>
      <c r="I468" s="221" t="s">
        <v>83</v>
      </c>
      <c r="J468" s="222">
        <v>46120.0</v>
      </c>
      <c r="K468" s="223"/>
      <c r="L468" s="223"/>
      <c r="M468" s="58" t="s">
        <v>1759</v>
      </c>
    </row>
    <row r="469">
      <c r="A469" s="234" t="s">
        <v>45</v>
      </c>
      <c r="B469" s="224">
        <v>46119.0</v>
      </c>
      <c r="C469" s="225" t="s">
        <v>53</v>
      </c>
      <c r="D469" s="10" t="s">
        <v>1760</v>
      </c>
      <c r="E469" s="12" t="s">
        <v>1761</v>
      </c>
      <c r="F469" s="226" t="s">
        <v>74</v>
      </c>
      <c r="G469" s="33" t="s">
        <v>1762</v>
      </c>
      <c r="H469" s="55"/>
      <c r="I469" s="221" t="s">
        <v>74</v>
      </c>
      <c r="J469" s="222">
        <v>46123.0</v>
      </c>
      <c r="K469" s="223"/>
      <c r="L469" s="223"/>
      <c r="M469" s="228" t="s">
        <v>1763</v>
      </c>
    </row>
    <row r="470">
      <c r="A470" s="286" t="s">
        <v>67</v>
      </c>
      <c r="B470" s="224">
        <v>46119.0</v>
      </c>
      <c r="C470" s="284" t="s">
        <v>916</v>
      </c>
      <c r="D470" s="10" t="s">
        <v>1764</v>
      </c>
      <c r="E470" s="12" t="s">
        <v>1765</v>
      </c>
      <c r="F470" s="242" t="s">
        <v>74</v>
      </c>
      <c r="G470" s="33" t="s">
        <v>1766</v>
      </c>
      <c r="H470" s="55" t="s">
        <v>25</v>
      </c>
      <c r="I470" s="285" t="s">
        <v>74</v>
      </c>
      <c r="J470" s="222">
        <v>46121.0</v>
      </c>
      <c r="K470" s="223"/>
      <c r="L470" s="228">
        <v>2.0</v>
      </c>
      <c r="M470" s="228" t="s">
        <v>1767</v>
      </c>
    </row>
    <row r="471">
      <c r="A471" s="286" t="s">
        <v>45</v>
      </c>
      <c r="B471" s="224">
        <v>46119.0</v>
      </c>
      <c r="C471" s="284" t="s">
        <v>68</v>
      </c>
      <c r="D471" s="10" t="s">
        <v>1768</v>
      </c>
      <c r="E471" s="12" t="s">
        <v>1769</v>
      </c>
      <c r="F471" s="242" t="s">
        <v>74</v>
      </c>
      <c r="G471" s="33" t="s">
        <v>1770</v>
      </c>
      <c r="H471" s="55" t="s">
        <v>25</v>
      </c>
      <c r="I471" s="285" t="s">
        <v>74</v>
      </c>
      <c r="J471" s="222">
        <v>46154.0</v>
      </c>
      <c r="K471" s="223"/>
      <c r="L471" s="223"/>
      <c r="M471" s="58" t="s">
        <v>1771</v>
      </c>
    </row>
    <row r="472">
      <c r="A472" s="234" t="s">
        <v>45</v>
      </c>
      <c r="B472" s="224">
        <v>46119.0</v>
      </c>
      <c r="C472" s="225" t="s">
        <v>53</v>
      </c>
      <c r="D472" s="10" t="s">
        <v>1772</v>
      </c>
      <c r="E472" s="12" t="s">
        <v>1773</v>
      </c>
      <c r="F472" s="226" t="s">
        <v>74</v>
      </c>
      <c r="G472" s="199" t="s">
        <v>1774</v>
      </c>
      <c r="H472" s="55"/>
      <c r="I472" s="221" t="s">
        <v>83</v>
      </c>
      <c r="J472" s="222">
        <v>46120.0</v>
      </c>
      <c r="K472" s="224">
        <v>46127.0</v>
      </c>
      <c r="L472" s="228">
        <v>2.0</v>
      </c>
      <c r="M472" s="228" t="s">
        <v>1775</v>
      </c>
    </row>
    <row r="473">
      <c r="A473" s="234" t="s">
        <v>45</v>
      </c>
      <c r="B473" s="224">
        <v>46120.0</v>
      </c>
      <c r="C473" s="225" t="s">
        <v>53</v>
      </c>
      <c r="D473" s="10" t="s">
        <v>1776</v>
      </c>
      <c r="E473" s="12" t="s">
        <v>1777</v>
      </c>
      <c r="F473" s="226" t="s">
        <v>83</v>
      </c>
      <c r="G473" s="33" t="s">
        <v>1778</v>
      </c>
      <c r="H473" s="55"/>
      <c r="I473" s="221" t="s">
        <v>83</v>
      </c>
      <c r="J473" s="222">
        <v>46120.0</v>
      </c>
      <c r="K473" s="224">
        <v>46127.0</v>
      </c>
      <c r="L473" s="228">
        <v>1.0</v>
      </c>
      <c r="M473" s="199" t="s">
        <v>1779</v>
      </c>
    </row>
    <row r="474">
      <c r="A474" s="234" t="s">
        <v>45</v>
      </c>
      <c r="B474" s="224">
        <v>46121.0</v>
      </c>
      <c r="C474" s="225" t="s">
        <v>53</v>
      </c>
      <c r="D474" s="10" t="s">
        <v>1780</v>
      </c>
      <c r="E474" s="12" t="s">
        <v>1781</v>
      </c>
      <c r="F474" s="226" t="s">
        <v>74</v>
      </c>
      <c r="G474" s="33" t="s">
        <v>1782</v>
      </c>
      <c r="H474" s="55"/>
      <c r="I474" s="221" t="s">
        <v>74</v>
      </c>
      <c r="J474" s="222">
        <v>46121.0</v>
      </c>
      <c r="K474" s="224">
        <v>46122.0</v>
      </c>
      <c r="L474" s="228" t="s">
        <v>1783</v>
      </c>
      <c r="M474" s="228" t="s">
        <v>1784</v>
      </c>
    </row>
    <row r="475">
      <c r="A475" s="234" t="s">
        <v>45</v>
      </c>
      <c r="B475" s="224">
        <v>46121.0</v>
      </c>
      <c r="C475" s="225" t="s">
        <v>68</v>
      </c>
      <c r="D475" s="10" t="s">
        <v>1785</v>
      </c>
      <c r="E475" s="12" t="s">
        <v>1786</v>
      </c>
      <c r="F475" s="146" t="s">
        <v>58</v>
      </c>
      <c r="G475" s="287" t="s">
        <v>1787</v>
      </c>
      <c r="H475" s="288" t="s">
        <v>25</v>
      </c>
      <c r="I475" s="289" t="s">
        <v>74</v>
      </c>
      <c r="J475" s="290">
        <v>46133.0</v>
      </c>
      <c r="K475" s="53">
        <v>46150.0</v>
      </c>
      <c r="L475" s="55">
        <v>2.0</v>
      </c>
      <c r="M475" s="233" t="s">
        <v>1788</v>
      </c>
    </row>
    <row r="476">
      <c r="A476" s="33" t="s">
        <v>45</v>
      </c>
      <c r="B476" s="224">
        <v>46122.0</v>
      </c>
      <c r="C476" s="225" t="s">
        <v>53</v>
      </c>
      <c r="D476" s="10" t="s">
        <v>1789</v>
      </c>
      <c r="E476" s="12" t="s">
        <v>1790</v>
      </c>
      <c r="F476" s="226" t="s">
        <v>74</v>
      </c>
      <c r="G476" s="33" t="s">
        <v>1791</v>
      </c>
      <c r="H476" s="55"/>
      <c r="I476" s="221" t="s">
        <v>74</v>
      </c>
      <c r="J476" s="222">
        <v>46122.0</v>
      </c>
      <c r="K476" s="224">
        <v>46130.0</v>
      </c>
      <c r="L476" s="228">
        <v>3.0</v>
      </c>
      <c r="M476" s="228" t="s">
        <v>1792</v>
      </c>
    </row>
    <row r="477">
      <c r="A477" s="33" t="s">
        <v>45</v>
      </c>
      <c r="B477" s="224">
        <v>46122.0</v>
      </c>
      <c r="C477" s="225" t="s">
        <v>68</v>
      </c>
      <c r="D477" s="10" t="s">
        <v>1793</v>
      </c>
      <c r="E477" s="12" t="s">
        <v>1794</v>
      </c>
      <c r="F477" s="226" t="s">
        <v>74</v>
      </c>
      <c r="G477" s="233" t="s">
        <v>1795</v>
      </c>
      <c r="H477" s="55" t="s">
        <v>25</v>
      </c>
      <c r="I477" s="221" t="s">
        <v>74</v>
      </c>
      <c r="J477" s="222">
        <v>46123.0</v>
      </c>
      <c r="K477" s="223"/>
      <c r="L477" s="223"/>
      <c r="M477" s="228" t="s">
        <v>1796</v>
      </c>
    </row>
    <row r="478">
      <c r="A478" s="234" t="s">
        <v>45</v>
      </c>
      <c r="B478" s="224">
        <v>46122.0</v>
      </c>
      <c r="C478" s="225" t="s">
        <v>68</v>
      </c>
      <c r="D478" s="10" t="s">
        <v>1797</v>
      </c>
      <c r="E478" s="12" t="s">
        <v>1798</v>
      </c>
      <c r="F478" s="226" t="s">
        <v>338</v>
      </c>
      <c r="G478" s="33" t="s">
        <v>1799</v>
      </c>
      <c r="H478" s="55" t="s">
        <v>25</v>
      </c>
      <c r="I478" s="221" t="s">
        <v>74</v>
      </c>
      <c r="J478" s="222">
        <v>46123.0</v>
      </c>
      <c r="K478" s="224">
        <v>46155.0</v>
      </c>
      <c r="L478" s="228">
        <v>2.0</v>
      </c>
      <c r="M478" s="228" t="s">
        <v>1800</v>
      </c>
    </row>
    <row r="479">
      <c r="A479" s="33" t="s">
        <v>45</v>
      </c>
      <c r="B479" s="224">
        <v>46122.0</v>
      </c>
      <c r="C479" s="284" t="s">
        <v>68</v>
      </c>
      <c r="D479" s="10" t="s">
        <v>1801</v>
      </c>
      <c r="E479" s="12" t="s">
        <v>1802</v>
      </c>
      <c r="F479" s="242" t="s">
        <v>338</v>
      </c>
      <c r="G479" s="33">
        <v>4.0</v>
      </c>
      <c r="H479" s="55" t="s">
        <v>25</v>
      </c>
      <c r="I479" s="285" t="s">
        <v>83</v>
      </c>
      <c r="J479" s="222">
        <v>46129.0</v>
      </c>
      <c r="K479" s="223"/>
      <c r="L479" s="223"/>
      <c r="M479" s="199" t="s">
        <v>1803</v>
      </c>
    </row>
    <row r="480">
      <c r="A480" s="33" t="s">
        <v>45</v>
      </c>
      <c r="B480" s="224">
        <v>46126.0</v>
      </c>
      <c r="C480" s="225" t="s">
        <v>68</v>
      </c>
      <c r="D480" s="10" t="s">
        <v>1804</v>
      </c>
      <c r="E480" s="12" t="s">
        <v>1805</v>
      </c>
      <c r="F480" s="226" t="s">
        <v>83</v>
      </c>
      <c r="G480" s="33" t="s">
        <v>1806</v>
      </c>
      <c r="H480" s="55"/>
      <c r="I480" s="221" t="s">
        <v>74</v>
      </c>
      <c r="J480" s="222">
        <v>46129.0</v>
      </c>
      <c r="K480" s="224">
        <v>46136.0</v>
      </c>
      <c r="L480" s="228">
        <v>2.0</v>
      </c>
      <c r="M480" s="199" t="s">
        <v>1807</v>
      </c>
    </row>
    <row r="481">
      <c r="A481" s="33" t="s">
        <v>45</v>
      </c>
      <c r="B481" s="224">
        <v>46126.0</v>
      </c>
      <c r="C481" s="225" t="s">
        <v>439</v>
      </c>
      <c r="D481" s="10" t="s">
        <v>88</v>
      </c>
      <c r="E481" s="12" t="s">
        <v>1808</v>
      </c>
      <c r="F481" s="226" t="s">
        <v>74</v>
      </c>
      <c r="G481" s="33" t="s">
        <v>1809</v>
      </c>
      <c r="H481" s="55"/>
      <c r="I481" s="221" t="s">
        <v>74</v>
      </c>
      <c r="J481" s="222">
        <v>46126.0</v>
      </c>
      <c r="K481" s="224">
        <v>46127.0</v>
      </c>
      <c r="L481" s="228">
        <v>2.0</v>
      </c>
      <c r="M481" s="228" t="s">
        <v>1810</v>
      </c>
    </row>
    <row r="482">
      <c r="A482" s="33" t="s">
        <v>45</v>
      </c>
      <c r="B482" s="224">
        <v>46127.0</v>
      </c>
      <c r="C482" s="225" t="s">
        <v>68</v>
      </c>
      <c r="D482" s="10" t="s">
        <v>88</v>
      </c>
      <c r="E482" s="12" t="s">
        <v>1811</v>
      </c>
      <c r="F482" s="226" t="s">
        <v>83</v>
      </c>
      <c r="G482" s="33" t="s">
        <v>1812</v>
      </c>
      <c r="H482" s="55" t="s">
        <v>25</v>
      </c>
      <c r="I482" s="221" t="s">
        <v>74</v>
      </c>
      <c r="J482" s="222">
        <v>46128.0</v>
      </c>
      <c r="K482" s="223"/>
      <c r="L482" s="223"/>
      <c r="M482" s="228" t="s">
        <v>1813</v>
      </c>
    </row>
    <row r="483">
      <c r="A483" s="33" t="s">
        <v>45</v>
      </c>
      <c r="B483" s="224">
        <v>46128.0</v>
      </c>
      <c r="C483" s="225" t="s">
        <v>221</v>
      </c>
      <c r="D483" s="10" t="s">
        <v>1814</v>
      </c>
      <c r="E483" s="12" t="s">
        <v>1815</v>
      </c>
      <c r="F483" s="226" t="s">
        <v>74</v>
      </c>
      <c r="G483" s="33" t="s">
        <v>1816</v>
      </c>
      <c r="H483" s="55" t="s">
        <v>25</v>
      </c>
      <c r="I483" s="221" t="s">
        <v>74</v>
      </c>
      <c r="J483" s="222">
        <v>46128.0</v>
      </c>
      <c r="K483" s="224">
        <v>46158.0</v>
      </c>
      <c r="L483" s="228">
        <v>2.0</v>
      </c>
      <c r="M483" s="228" t="s">
        <v>1817</v>
      </c>
    </row>
    <row r="484">
      <c r="A484" s="33" t="s">
        <v>67</v>
      </c>
      <c r="B484" s="224">
        <v>46128.0</v>
      </c>
      <c r="C484" s="225" t="s">
        <v>68</v>
      </c>
      <c r="D484" s="10" t="s">
        <v>1818</v>
      </c>
      <c r="E484" s="12" t="s">
        <v>1819</v>
      </c>
      <c r="F484" s="226" t="s">
        <v>83</v>
      </c>
      <c r="G484" s="33" t="s">
        <v>1820</v>
      </c>
      <c r="H484" s="55" t="s">
        <v>25</v>
      </c>
      <c r="I484" s="221" t="s">
        <v>74</v>
      </c>
      <c r="J484" s="222">
        <v>46129.0</v>
      </c>
      <c r="K484" s="223"/>
      <c r="L484" s="223"/>
      <c r="M484" s="199" t="s">
        <v>1821</v>
      </c>
    </row>
    <row r="485">
      <c r="A485" s="234" t="s">
        <v>108</v>
      </c>
      <c r="B485" s="224">
        <v>46128.0</v>
      </c>
      <c r="C485" s="225" t="s">
        <v>68</v>
      </c>
      <c r="D485" s="10" t="s">
        <v>1822</v>
      </c>
      <c r="E485" s="12" t="s">
        <v>1823</v>
      </c>
      <c r="F485" s="226"/>
      <c r="G485" s="33" t="s">
        <v>1824</v>
      </c>
      <c r="H485" s="55"/>
      <c r="I485" s="221" t="s">
        <v>74</v>
      </c>
      <c r="J485" s="222">
        <v>46129.0</v>
      </c>
      <c r="K485" s="223"/>
      <c r="L485" s="223"/>
      <c r="M485" s="199" t="s">
        <v>1825</v>
      </c>
    </row>
    <row r="486">
      <c r="A486" s="234" t="s">
        <v>45</v>
      </c>
      <c r="B486" s="224">
        <v>46128.0</v>
      </c>
      <c r="C486" s="225" t="s">
        <v>68</v>
      </c>
      <c r="D486" s="10" t="s">
        <v>1826</v>
      </c>
      <c r="E486" s="12" t="s">
        <v>1827</v>
      </c>
      <c r="F486" s="226"/>
      <c r="G486" s="33" t="s">
        <v>1523</v>
      </c>
      <c r="H486" s="55"/>
      <c r="I486" s="221" t="s">
        <v>74</v>
      </c>
      <c r="J486" s="222">
        <v>46129.0</v>
      </c>
      <c r="K486" s="223"/>
      <c r="L486" s="223"/>
      <c r="M486" s="228" t="s">
        <v>1828</v>
      </c>
    </row>
    <row r="487">
      <c r="A487" s="33" t="s">
        <v>815</v>
      </c>
      <c r="B487" s="224">
        <v>46130.0</v>
      </c>
      <c r="C487" s="225" t="s">
        <v>53</v>
      </c>
      <c r="D487" s="10" t="s">
        <v>1829</v>
      </c>
      <c r="E487" s="12" t="s">
        <v>1830</v>
      </c>
      <c r="F487" s="226" t="s">
        <v>74</v>
      </c>
      <c r="G487" s="33" t="s">
        <v>1831</v>
      </c>
      <c r="H487" s="55"/>
      <c r="I487" s="221" t="s">
        <v>83</v>
      </c>
      <c r="J487" s="222">
        <v>46130.0</v>
      </c>
      <c r="K487" s="223"/>
      <c r="L487" s="223"/>
      <c r="M487" s="228" t="s">
        <v>190</v>
      </c>
    </row>
    <row r="488">
      <c r="A488" s="234" t="s">
        <v>45</v>
      </c>
      <c r="B488" s="224">
        <v>46134.0</v>
      </c>
      <c r="C488" s="225" t="s">
        <v>68</v>
      </c>
      <c r="D488" s="10" t="s">
        <v>1832</v>
      </c>
      <c r="E488" s="12" t="s">
        <v>1833</v>
      </c>
      <c r="F488" s="226"/>
      <c r="G488" s="233" t="s">
        <v>1834</v>
      </c>
      <c r="H488" s="55" t="s">
        <v>25</v>
      </c>
      <c r="I488" s="221" t="s">
        <v>74</v>
      </c>
      <c r="J488" s="222">
        <v>46135.0</v>
      </c>
      <c r="K488" s="223"/>
      <c r="L488" s="223"/>
      <c r="M488" s="228" t="s">
        <v>1835</v>
      </c>
    </row>
    <row r="489">
      <c r="A489" s="234" t="s">
        <v>108</v>
      </c>
      <c r="B489" s="224">
        <v>46134.0</v>
      </c>
      <c r="C489" s="225" t="s">
        <v>68</v>
      </c>
      <c r="D489" s="10" t="s">
        <v>1836</v>
      </c>
      <c r="E489" s="12" t="s">
        <v>1837</v>
      </c>
      <c r="F489" s="226"/>
      <c r="G489" s="33" t="s">
        <v>1838</v>
      </c>
      <c r="H489" s="55" t="s">
        <v>25</v>
      </c>
      <c r="I489" s="221" t="s">
        <v>74</v>
      </c>
      <c r="J489" s="222">
        <v>46134.0</v>
      </c>
      <c r="K489" s="223"/>
      <c r="L489" s="223"/>
      <c r="M489" s="228" t="s">
        <v>1839</v>
      </c>
    </row>
    <row r="490">
      <c r="A490" s="234" t="s">
        <v>815</v>
      </c>
      <c r="B490" s="224">
        <v>46135.0</v>
      </c>
      <c r="C490" s="225" t="s">
        <v>148</v>
      </c>
      <c r="D490" s="10" t="s">
        <v>1840</v>
      </c>
      <c r="E490" s="12" t="s">
        <v>1841</v>
      </c>
      <c r="F490" s="226"/>
      <c r="G490" s="33" t="s">
        <v>1842</v>
      </c>
      <c r="H490" s="55" t="s">
        <v>25</v>
      </c>
      <c r="I490" s="221" t="s">
        <v>74</v>
      </c>
      <c r="J490" s="222">
        <v>46150.0</v>
      </c>
      <c r="K490" s="223"/>
      <c r="L490" s="223"/>
      <c r="M490" s="228" t="s">
        <v>190</v>
      </c>
    </row>
    <row r="491">
      <c r="A491" s="234" t="s">
        <v>815</v>
      </c>
      <c r="B491" s="224">
        <v>46135.0</v>
      </c>
      <c r="C491" s="225" t="s">
        <v>148</v>
      </c>
      <c r="D491" s="10" t="s">
        <v>1843</v>
      </c>
      <c r="E491" s="12" t="s">
        <v>1844</v>
      </c>
      <c r="F491" s="226"/>
      <c r="G491" s="33" t="s">
        <v>1845</v>
      </c>
      <c r="H491" s="55" t="s">
        <v>25</v>
      </c>
      <c r="I491" s="221" t="s">
        <v>74</v>
      </c>
      <c r="J491" s="222">
        <v>46150.0</v>
      </c>
      <c r="K491" s="223"/>
      <c r="L491" s="223"/>
      <c r="M491" s="228" t="s">
        <v>190</v>
      </c>
    </row>
    <row r="492">
      <c r="A492" s="234" t="s">
        <v>45</v>
      </c>
      <c r="B492" s="224">
        <v>46135.0</v>
      </c>
      <c r="C492" s="225" t="s">
        <v>68</v>
      </c>
      <c r="D492" s="10" t="s">
        <v>1846</v>
      </c>
      <c r="E492" s="12" t="s">
        <v>1847</v>
      </c>
      <c r="F492" s="226"/>
      <c r="G492" s="33" t="s">
        <v>1848</v>
      </c>
      <c r="H492" s="55" t="s">
        <v>25</v>
      </c>
      <c r="I492" s="221" t="s">
        <v>74</v>
      </c>
      <c r="J492" s="222">
        <v>46136.0</v>
      </c>
      <c r="K492" s="223"/>
      <c r="L492" s="223"/>
      <c r="M492" s="228" t="s">
        <v>1849</v>
      </c>
    </row>
    <row r="493">
      <c r="A493" s="234" t="s">
        <v>108</v>
      </c>
      <c r="B493" s="224">
        <v>46137.0</v>
      </c>
      <c r="C493" s="225" t="s">
        <v>916</v>
      </c>
      <c r="D493" s="10" t="s">
        <v>1850</v>
      </c>
      <c r="E493" s="12" t="s">
        <v>1851</v>
      </c>
      <c r="F493" s="226"/>
      <c r="G493" s="33"/>
      <c r="H493" s="55"/>
      <c r="I493" s="221" t="s">
        <v>83</v>
      </c>
      <c r="J493" s="222">
        <v>46137.0</v>
      </c>
      <c r="K493" s="223"/>
      <c r="L493" s="223"/>
      <c r="M493" s="228" t="s">
        <v>1852</v>
      </c>
    </row>
    <row r="494">
      <c r="A494" s="234" t="s">
        <v>45</v>
      </c>
      <c r="B494" s="224">
        <v>46137.0</v>
      </c>
      <c r="C494" s="225" t="s">
        <v>53</v>
      </c>
      <c r="D494" s="10" t="s">
        <v>1853</v>
      </c>
      <c r="E494" s="12" t="s">
        <v>1854</v>
      </c>
      <c r="F494" s="226"/>
      <c r="G494" s="33"/>
      <c r="H494" s="55"/>
      <c r="I494" s="221" t="s">
        <v>83</v>
      </c>
      <c r="J494" s="222">
        <v>46137.0</v>
      </c>
      <c r="K494" s="223"/>
      <c r="L494" s="223"/>
      <c r="M494" s="199" t="s">
        <v>1855</v>
      </c>
    </row>
    <row r="495">
      <c r="A495" s="234" t="s">
        <v>67</v>
      </c>
      <c r="B495" s="224">
        <v>46137.0</v>
      </c>
      <c r="C495" s="225" t="s">
        <v>68</v>
      </c>
      <c r="D495" s="10" t="s">
        <v>1856</v>
      </c>
      <c r="E495" s="12" t="s">
        <v>1857</v>
      </c>
      <c r="F495" s="226"/>
      <c r="G495" s="33" t="str">
        <f>M494</f>
        <v>主要的決策者是媽媽，周先生在台中工作，只有周一二方便，媽媽先來參訪
下周二4/28 早上0900-0930先撥給媽媽預約(約的時間較彈性)
人數：2位</v>
      </c>
      <c r="H495" s="55" t="s">
        <v>25</v>
      </c>
      <c r="I495" s="221" t="s">
        <v>74</v>
      </c>
      <c r="J495" s="222">
        <v>46140.0</v>
      </c>
      <c r="K495" s="223"/>
      <c r="L495" s="223"/>
      <c r="M495" s="199" t="s">
        <v>1858</v>
      </c>
    </row>
    <row r="496">
      <c r="A496" s="234" t="s">
        <v>45</v>
      </c>
      <c r="B496" s="224">
        <v>46140.0</v>
      </c>
      <c r="C496" s="225" t="s">
        <v>439</v>
      </c>
      <c r="D496" s="10" t="s">
        <v>1859</v>
      </c>
      <c r="E496" s="12" t="s">
        <v>1860</v>
      </c>
      <c r="F496" s="226"/>
      <c r="G496" s="33" t="s">
        <v>1861</v>
      </c>
      <c r="H496" s="55" t="s">
        <v>25</v>
      </c>
      <c r="I496" s="221" t="s">
        <v>74</v>
      </c>
      <c r="J496" s="222">
        <v>46140.0</v>
      </c>
      <c r="K496" s="224"/>
      <c r="L496" s="228"/>
      <c r="M496" s="228" t="s">
        <v>1862</v>
      </c>
    </row>
    <row r="497">
      <c r="A497" s="234" t="s">
        <v>45</v>
      </c>
      <c r="B497" s="224">
        <v>46140.0</v>
      </c>
      <c r="C497" s="225" t="s">
        <v>439</v>
      </c>
      <c r="D497" s="10" t="s">
        <v>1863</v>
      </c>
      <c r="E497" s="12" t="s">
        <v>1864</v>
      </c>
      <c r="F497" s="226"/>
      <c r="G497" s="33" t="s">
        <v>1865</v>
      </c>
      <c r="H497" s="55" t="s">
        <v>25</v>
      </c>
      <c r="I497" s="221" t="s">
        <v>74</v>
      </c>
      <c r="J497" s="222">
        <v>46140.0</v>
      </c>
      <c r="K497" s="224">
        <v>46144.0</v>
      </c>
      <c r="L497" s="228">
        <v>2.0</v>
      </c>
      <c r="M497" s="228" t="s">
        <v>1866</v>
      </c>
      <c r="N497" s="291"/>
      <c r="O497" s="291"/>
      <c r="P497" s="291"/>
      <c r="Q497" s="291"/>
      <c r="R497" s="291"/>
      <c r="S497" s="291"/>
      <c r="T497" s="291"/>
      <c r="U497" s="291"/>
      <c r="V497" s="291"/>
      <c r="W497" s="291"/>
      <c r="X497" s="291"/>
      <c r="Y497" s="291"/>
      <c r="Z497" s="291"/>
      <c r="AA497" s="291"/>
    </row>
    <row r="498">
      <c r="A498" s="234" t="s">
        <v>108</v>
      </c>
      <c r="B498" s="224">
        <v>46140.0</v>
      </c>
      <c r="C498" s="225" t="s">
        <v>148</v>
      </c>
      <c r="D498" s="10" t="s">
        <v>1867</v>
      </c>
      <c r="E498" s="12" t="s">
        <v>1868</v>
      </c>
      <c r="F498" s="226"/>
      <c r="G498" s="33" t="s">
        <v>1869</v>
      </c>
      <c r="H498" s="55" t="s">
        <v>25</v>
      </c>
      <c r="I498" s="221" t="s">
        <v>74</v>
      </c>
      <c r="J498" s="222">
        <v>46141.0</v>
      </c>
      <c r="K498" s="223"/>
      <c r="L498" s="223"/>
      <c r="M498" s="292" t="s">
        <v>1870</v>
      </c>
    </row>
    <row r="499">
      <c r="A499" s="286" t="s">
        <v>67</v>
      </c>
      <c r="B499" s="293">
        <v>46140.0</v>
      </c>
      <c r="C499" s="294" t="s">
        <v>53</v>
      </c>
      <c r="D499" s="10" t="s">
        <v>1871</v>
      </c>
      <c r="E499" s="295" t="s">
        <v>1872</v>
      </c>
      <c r="F499" s="296"/>
      <c r="G499" s="297" t="s">
        <v>1873</v>
      </c>
      <c r="H499" s="298"/>
      <c r="I499" s="299" t="s">
        <v>74</v>
      </c>
      <c r="J499" s="300">
        <v>46143.0</v>
      </c>
      <c r="K499" s="301"/>
      <c r="L499" s="301"/>
      <c r="M499" s="292" t="s">
        <v>1874</v>
      </c>
    </row>
    <row r="500">
      <c r="A500" s="234" t="s">
        <v>815</v>
      </c>
      <c r="B500" s="224">
        <v>46140.0</v>
      </c>
      <c r="C500" s="225" t="s">
        <v>53</v>
      </c>
      <c r="D500" s="10" t="s">
        <v>1875</v>
      </c>
      <c r="E500" s="12" t="s">
        <v>1876</v>
      </c>
      <c r="F500" s="226"/>
      <c r="G500" s="33" t="s">
        <v>1877</v>
      </c>
      <c r="H500" s="55"/>
      <c r="I500" s="221"/>
      <c r="J500" s="222"/>
      <c r="K500" s="223"/>
      <c r="L500" s="223"/>
      <c r="M500" s="223"/>
    </row>
    <row r="501">
      <c r="A501" s="234" t="s">
        <v>45</v>
      </c>
      <c r="B501" s="224">
        <v>46140.0</v>
      </c>
      <c r="C501" s="225" t="s">
        <v>380</v>
      </c>
      <c r="D501" s="10" t="s">
        <v>1878</v>
      </c>
      <c r="E501" s="12" t="s">
        <v>1879</v>
      </c>
      <c r="F501" s="226"/>
      <c r="G501" s="33" t="s">
        <v>1880</v>
      </c>
      <c r="H501" s="55"/>
      <c r="I501" s="221" t="s">
        <v>74</v>
      </c>
      <c r="J501" s="222">
        <v>46140.0</v>
      </c>
      <c r="K501" s="223"/>
      <c r="L501" s="223"/>
      <c r="M501" s="228" t="s">
        <v>1881</v>
      </c>
    </row>
    <row r="502">
      <c r="A502" s="234" t="s">
        <v>45</v>
      </c>
      <c r="B502" s="224">
        <v>46140.0</v>
      </c>
      <c r="C502" s="225" t="s">
        <v>68</v>
      </c>
      <c r="D502" s="10" t="s">
        <v>1882</v>
      </c>
      <c r="E502" s="12" t="s">
        <v>1883</v>
      </c>
      <c r="F502" s="226" t="s">
        <v>74</v>
      </c>
      <c r="G502" s="33" t="s">
        <v>1884</v>
      </c>
      <c r="H502" s="55" t="s">
        <v>25</v>
      </c>
      <c r="I502" s="221" t="s">
        <v>74</v>
      </c>
      <c r="J502" s="222">
        <v>46141.0</v>
      </c>
      <c r="K502" s="223"/>
      <c r="L502" s="223"/>
      <c r="M502" s="228" t="s">
        <v>1885</v>
      </c>
    </row>
    <row r="503">
      <c r="A503" s="234" t="s">
        <v>67</v>
      </c>
      <c r="B503" s="224">
        <v>46140.0</v>
      </c>
      <c r="C503" s="225" t="s">
        <v>53</v>
      </c>
      <c r="D503" s="10" t="s">
        <v>1886</v>
      </c>
      <c r="E503" s="12" t="s">
        <v>1887</v>
      </c>
      <c r="F503" s="226" t="s">
        <v>74</v>
      </c>
      <c r="G503" s="33" t="s">
        <v>1888</v>
      </c>
      <c r="H503" s="55"/>
      <c r="I503" s="221" t="s">
        <v>74</v>
      </c>
      <c r="J503" s="222">
        <v>46141.0</v>
      </c>
      <c r="K503" s="224"/>
      <c r="L503" s="228"/>
      <c r="M503" s="199" t="s">
        <v>1889</v>
      </c>
    </row>
    <row r="504">
      <c r="A504" s="234" t="s">
        <v>45</v>
      </c>
      <c r="B504" s="224">
        <v>46141.0</v>
      </c>
      <c r="C504" s="225" t="s">
        <v>439</v>
      </c>
      <c r="D504" s="10" t="s">
        <v>1890</v>
      </c>
      <c r="E504" s="12" t="s">
        <v>1891</v>
      </c>
      <c r="F504" s="226" t="s">
        <v>74</v>
      </c>
      <c r="G504" s="33" t="s">
        <v>1892</v>
      </c>
      <c r="H504" s="55" t="s">
        <v>25</v>
      </c>
      <c r="I504" s="221" t="s">
        <v>74</v>
      </c>
      <c r="J504" s="222">
        <v>46141.0</v>
      </c>
      <c r="K504" s="224"/>
      <c r="L504" s="228">
        <v>2.0</v>
      </c>
      <c r="M504" s="228" t="s">
        <v>1893</v>
      </c>
    </row>
    <row r="505">
      <c r="A505" s="234" t="s">
        <v>108</v>
      </c>
      <c r="B505" s="224">
        <v>46142.0</v>
      </c>
      <c r="C505" s="225" t="s">
        <v>148</v>
      </c>
      <c r="D505" s="10" t="s">
        <v>1894</v>
      </c>
      <c r="E505" s="12" t="s">
        <v>1895</v>
      </c>
      <c r="F505" s="226" t="s">
        <v>74</v>
      </c>
      <c r="G505" s="33" t="s">
        <v>1896</v>
      </c>
      <c r="H505" s="55" t="s">
        <v>25</v>
      </c>
      <c r="I505" s="221" t="s">
        <v>74</v>
      </c>
      <c r="J505" s="222">
        <v>46150.0</v>
      </c>
      <c r="K505" s="223"/>
      <c r="L505" s="223"/>
      <c r="M505" s="228" t="s">
        <v>1897</v>
      </c>
    </row>
    <row r="506">
      <c r="A506" s="234" t="s">
        <v>67</v>
      </c>
      <c r="B506" s="224">
        <v>46142.0</v>
      </c>
      <c r="C506" s="225" t="s">
        <v>148</v>
      </c>
      <c r="D506" s="10" t="s">
        <v>1898</v>
      </c>
      <c r="E506" s="12" t="s">
        <v>1899</v>
      </c>
      <c r="F506" s="226" t="s">
        <v>74</v>
      </c>
      <c r="G506" s="33" t="s">
        <v>1900</v>
      </c>
      <c r="H506" s="55" t="s">
        <v>25</v>
      </c>
      <c r="I506" s="221" t="s">
        <v>74</v>
      </c>
      <c r="J506" s="222">
        <v>46148.0</v>
      </c>
      <c r="K506" s="223"/>
      <c r="L506" s="223"/>
      <c r="M506" s="228" t="s">
        <v>1901</v>
      </c>
    </row>
    <row r="507">
      <c r="A507" s="234" t="s">
        <v>45</v>
      </c>
      <c r="B507" s="224">
        <v>46142.0</v>
      </c>
      <c r="C507" s="225" t="s">
        <v>148</v>
      </c>
      <c r="D507" s="10" t="s">
        <v>1902</v>
      </c>
      <c r="E507" s="12" t="s">
        <v>1903</v>
      </c>
      <c r="F507" s="226" t="s">
        <v>74</v>
      </c>
      <c r="G507" s="33" t="s">
        <v>1904</v>
      </c>
      <c r="H507" s="55" t="s">
        <v>25</v>
      </c>
      <c r="I507" s="221" t="s">
        <v>74</v>
      </c>
      <c r="J507" s="222">
        <v>46142.0</v>
      </c>
      <c r="K507" s="223"/>
      <c r="L507" s="223"/>
      <c r="M507" s="228" t="s">
        <v>1905</v>
      </c>
    </row>
    <row r="508">
      <c r="A508" s="234" t="s">
        <v>45</v>
      </c>
      <c r="B508" s="224">
        <v>46142.0</v>
      </c>
      <c r="C508" s="225" t="s">
        <v>53</v>
      </c>
      <c r="D508" s="10" t="s">
        <v>1906</v>
      </c>
      <c r="E508" s="12" t="s">
        <v>1907</v>
      </c>
      <c r="F508" s="226" t="s">
        <v>83</v>
      </c>
      <c r="G508" s="33" t="s">
        <v>1908</v>
      </c>
      <c r="H508" s="55"/>
      <c r="I508" s="221" t="s">
        <v>74</v>
      </c>
      <c r="J508" s="222">
        <v>46142.0</v>
      </c>
      <c r="K508" s="223"/>
      <c r="L508" s="223"/>
      <c r="M508" s="228" t="s">
        <v>1909</v>
      </c>
    </row>
    <row r="509">
      <c r="A509" s="234" t="s">
        <v>45</v>
      </c>
      <c r="B509" s="224">
        <v>46143.0</v>
      </c>
      <c r="C509" s="225" t="s">
        <v>53</v>
      </c>
      <c r="D509" s="10" t="s">
        <v>1910</v>
      </c>
      <c r="E509" s="12" t="s">
        <v>1911</v>
      </c>
      <c r="F509" s="226" t="s">
        <v>74</v>
      </c>
      <c r="G509" s="33" t="s">
        <v>1912</v>
      </c>
      <c r="H509" s="55"/>
      <c r="I509" s="221" t="s">
        <v>74</v>
      </c>
      <c r="J509" s="222">
        <v>46143.0</v>
      </c>
      <c r="K509" s="224"/>
      <c r="L509" s="228"/>
      <c r="M509" s="228" t="s">
        <v>1913</v>
      </c>
    </row>
    <row r="510">
      <c r="A510" s="33" t="s">
        <v>815</v>
      </c>
      <c r="B510" s="224">
        <v>46143.0</v>
      </c>
      <c r="C510" s="225" t="s">
        <v>53</v>
      </c>
      <c r="D510" s="10" t="s">
        <v>1914</v>
      </c>
      <c r="E510" s="12" t="s">
        <v>1915</v>
      </c>
      <c r="F510" s="226" t="s">
        <v>74</v>
      </c>
      <c r="G510" s="33" t="s">
        <v>1916</v>
      </c>
      <c r="H510" s="55" t="s">
        <v>25</v>
      </c>
      <c r="I510" s="221" t="s">
        <v>74</v>
      </c>
      <c r="J510" s="222">
        <v>46144.0</v>
      </c>
      <c r="K510" s="223"/>
      <c r="L510" s="223"/>
      <c r="M510" s="228" t="s">
        <v>1917</v>
      </c>
    </row>
    <row r="511">
      <c r="A511" s="234" t="s">
        <v>108</v>
      </c>
      <c r="B511" s="224">
        <v>46143.0</v>
      </c>
      <c r="C511" s="225" t="s">
        <v>53</v>
      </c>
      <c r="D511" s="10" t="s">
        <v>1918</v>
      </c>
      <c r="E511" s="12" t="s">
        <v>1919</v>
      </c>
      <c r="F511" s="226" t="s">
        <v>74</v>
      </c>
      <c r="G511" s="33" t="s">
        <v>1920</v>
      </c>
      <c r="H511" s="55"/>
      <c r="I511" s="221" t="s">
        <v>74</v>
      </c>
      <c r="J511" s="222">
        <v>46143.0</v>
      </c>
      <c r="K511" s="223"/>
      <c r="L511" s="223"/>
      <c r="M511" s="228" t="s">
        <v>1921</v>
      </c>
    </row>
    <row r="512">
      <c r="A512" s="234" t="s">
        <v>45</v>
      </c>
      <c r="B512" s="224">
        <v>46144.0</v>
      </c>
      <c r="C512" s="225" t="s">
        <v>53</v>
      </c>
      <c r="D512" s="10" t="s">
        <v>1922</v>
      </c>
      <c r="E512" s="12" t="s">
        <v>1923</v>
      </c>
      <c r="F512" s="226" t="s">
        <v>74</v>
      </c>
      <c r="G512" s="33" t="s">
        <v>1924</v>
      </c>
      <c r="H512" s="55"/>
      <c r="I512" s="221" t="s">
        <v>74</v>
      </c>
      <c r="J512" s="222">
        <v>46150.0</v>
      </c>
      <c r="K512" s="223"/>
      <c r="L512" s="223"/>
      <c r="M512" s="228" t="s">
        <v>1925</v>
      </c>
    </row>
    <row r="513">
      <c r="A513" s="234" t="s">
        <v>45</v>
      </c>
      <c r="B513" s="224">
        <v>46147.0</v>
      </c>
      <c r="C513" s="225" t="s">
        <v>148</v>
      </c>
      <c r="D513" s="10" t="s">
        <v>1926</v>
      </c>
      <c r="E513" s="12" t="s">
        <v>1927</v>
      </c>
      <c r="F513" s="226" t="s">
        <v>74</v>
      </c>
      <c r="G513" s="33" t="s">
        <v>1928</v>
      </c>
      <c r="H513" s="55" t="s">
        <v>25</v>
      </c>
      <c r="I513" s="221" t="s">
        <v>74</v>
      </c>
      <c r="J513" s="222">
        <v>46147.0</v>
      </c>
      <c r="K513" s="224"/>
      <c r="L513" s="228">
        <v>1.0</v>
      </c>
      <c r="M513" s="228" t="s">
        <v>1929</v>
      </c>
    </row>
    <row r="514">
      <c r="A514" s="234" t="s">
        <v>108</v>
      </c>
      <c r="B514" s="224">
        <v>46147.0</v>
      </c>
      <c r="C514" s="225" t="s">
        <v>148</v>
      </c>
      <c r="D514" s="10" t="s">
        <v>1930</v>
      </c>
      <c r="E514" s="12" t="s">
        <v>1931</v>
      </c>
      <c r="F514" s="226" t="s">
        <v>74</v>
      </c>
      <c r="G514" s="33" t="s">
        <v>1932</v>
      </c>
      <c r="H514" s="55" t="s">
        <v>25</v>
      </c>
      <c r="I514" s="221" t="s">
        <v>74</v>
      </c>
      <c r="J514" s="222">
        <v>46150.0</v>
      </c>
      <c r="K514" s="223"/>
      <c r="L514" s="223"/>
      <c r="M514" s="228" t="s">
        <v>1933</v>
      </c>
    </row>
    <row r="515">
      <c r="A515" s="234" t="s">
        <v>45</v>
      </c>
      <c r="B515" s="224">
        <v>46147.0</v>
      </c>
      <c r="C515" s="225" t="s">
        <v>148</v>
      </c>
      <c r="D515" s="10" t="s">
        <v>1934</v>
      </c>
      <c r="E515" s="12" t="s">
        <v>1935</v>
      </c>
      <c r="F515" s="226" t="s">
        <v>74</v>
      </c>
      <c r="G515" s="33" t="s">
        <v>1936</v>
      </c>
      <c r="H515" s="55" t="s">
        <v>25</v>
      </c>
      <c r="I515" s="221" t="s">
        <v>74</v>
      </c>
      <c r="J515" s="222">
        <v>46150.0</v>
      </c>
      <c r="K515" s="223"/>
      <c r="L515" s="223"/>
      <c r="M515" s="228" t="s">
        <v>1937</v>
      </c>
    </row>
    <row r="516">
      <c r="A516" s="234" t="s">
        <v>45</v>
      </c>
      <c r="B516" s="224">
        <v>46147.0</v>
      </c>
      <c r="C516" s="225" t="s">
        <v>148</v>
      </c>
      <c r="D516" s="10" t="s">
        <v>1938</v>
      </c>
      <c r="E516" s="12" t="s">
        <v>1939</v>
      </c>
      <c r="F516" s="226" t="s">
        <v>74</v>
      </c>
      <c r="G516" s="33" t="s">
        <v>1940</v>
      </c>
      <c r="H516" s="55" t="s">
        <v>25</v>
      </c>
      <c r="I516" s="221" t="s">
        <v>74</v>
      </c>
      <c r="J516" s="222">
        <v>46147.0</v>
      </c>
      <c r="K516" s="223"/>
      <c r="L516" s="223"/>
      <c r="M516" s="228" t="s">
        <v>1941</v>
      </c>
    </row>
    <row r="517">
      <c r="A517" s="234" t="s">
        <v>45</v>
      </c>
      <c r="B517" s="224">
        <v>46147.0</v>
      </c>
      <c r="C517" s="225" t="s">
        <v>148</v>
      </c>
      <c r="D517" s="10" t="s">
        <v>1942</v>
      </c>
      <c r="E517" s="12" t="s">
        <v>1943</v>
      </c>
      <c r="F517" s="226" t="s">
        <v>74</v>
      </c>
      <c r="G517" s="33" t="s">
        <v>1944</v>
      </c>
      <c r="H517" s="55" t="s">
        <v>25</v>
      </c>
      <c r="I517" s="221" t="s">
        <v>74</v>
      </c>
      <c r="J517" s="222">
        <v>46148.0</v>
      </c>
      <c r="K517" s="223"/>
      <c r="L517" s="223"/>
      <c r="M517" s="228" t="s">
        <v>1945</v>
      </c>
    </row>
    <row r="518">
      <c r="A518" s="234" t="s">
        <v>45</v>
      </c>
      <c r="B518" s="224">
        <v>46147.0</v>
      </c>
      <c r="C518" s="225" t="s">
        <v>53</v>
      </c>
      <c r="D518" s="10" t="s">
        <v>1946</v>
      </c>
      <c r="E518" s="12" t="s">
        <v>1947</v>
      </c>
      <c r="F518" s="226" t="s">
        <v>74</v>
      </c>
      <c r="G518" s="33" t="s">
        <v>1948</v>
      </c>
      <c r="H518" s="55"/>
      <c r="I518" s="221" t="s">
        <v>74</v>
      </c>
      <c r="J518" s="222">
        <v>46147.0</v>
      </c>
      <c r="K518" s="223"/>
      <c r="L518" s="223"/>
      <c r="M518" s="228" t="s">
        <v>1949</v>
      </c>
    </row>
    <row r="519">
      <c r="A519" s="234" t="s">
        <v>45</v>
      </c>
      <c r="B519" s="224">
        <v>46147.0</v>
      </c>
      <c r="C519" s="225" t="s">
        <v>195</v>
      </c>
      <c r="D519" s="10" t="s">
        <v>1950</v>
      </c>
      <c r="E519" s="12" t="s">
        <v>1951</v>
      </c>
      <c r="F519" s="226" t="s">
        <v>74</v>
      </c>
      <c r="G519" s="33" t="s">
        <v>1952</v>
      </c>
      <c r="H519" s="55"/>
      <c r="I519" s="221" t="s">
        <v>74</v>
      </c>
      <c r="J519" s="222">
        <v>46147.0</v>
      </c>
      <c r="K519" s="224">
        <v>46151.0</v>
      </c>
      <c r="L519" s="228">
        <v>1.0</v>
      </c>
      <c r="M519" s="228" t="s">
        <v>1953</v>
      </c>
    </row>
    <row r="520">
      <c r="A520" s="234" t="s">
        <v>45</v>
      </c>
      <c r="B520" s="224">
        <v>46147.0</v>
      </c>
      <c r="C520" s="225" t="s">
        <v>221</v>
      </c>
      <c r="D520" s="10" t="s">
        <v>1954</v>
      </c>
      <c r="E520" s="12" t="s">
        <v>1955</v>
      </c>
      <c r="F520" s="226" t="s">
        <v>74</v>
      </c>
      <c r="G520" s="33" t="s">
        <v>1956</v>
      </c>
      <c r="H520" s="55" t="s">
        <v>25</v>
      </c>
      <c r="I520" s="221" t="s">
        <v>74</v>
      </c>
      <c r="J520" s="222">
        <v>46148.0</v>
      </c>
      <c r="K520" s="224"/>
      <c r="L520" s="228">
        <v>3.0</v>
      </c>
      <c r="M520" s="228" t="s">
        <v>1957</v>
      </c>
    </row>
    <row r="521">
      <c r="A521" s="234" t="s">
        <v>45</v>
      </c>
      <c r="B521" s="224">
        <v>46147.0</v>
      </c>
      <c r="C521" s="225" t="s">
        <v>221</v>
      </c>
      <c r="D521" s="10" t="s">
        <v>1958</v>
      </c>
      <c r="E521" s="12" t="s">
        <v>1959</v>
      </c>
      <c r="F521" s="226" t="s">
        <v>74</v>
      </c>
      <c r="G521" s="33" t="s">
        <v>1960</v>
      </c>
      <c r="H521" s="55" t="s">
        <v>25</v>
      </c>
      <c r="I521" s="221" t="s">
        <v>74</v>
      </c>
      <c r="J521" s="222">
        <v>46148.0</v>
      </c>
      <c r="K521" s="223"/>
      <c r="L521" s="223"/>
      <c r="M521" s="228" t="s">
        <v>1961</v>
      </c>
    </row>
    <row r="522">
      <c r="A522" s="33" t="s">
        <v>108</v>
      </c>
      <c r="B522" s="224">
        <v>46147.0</v>
      </c>
      <c r="C522" s="225" t="s">
        <v>53</v>
      </c>
      <c r="D522" s="10" t="s">
        <v>779</v>
      </c>
      <c r="E522" s="12" t="s">
        <v>1962</v>
      </c>
      <c r="F522" s="226" t="s">
        <v>74</v>
      </c>
      <c r="G522" s="233" t="s">
        <v>1963</v>
      </c>
      <c r="H522" s="55"/>
      <c r="I522" s="221" t="s">
        <v>74</v>
      </c>
      <c r="J522" s="222">
        <v>46149.0</v>
      </c>
      <c r="K522" s="223"/>
      <c r="L522" s="223"/>
      <c r="M522" s="228" t="s">
        <v>1964</v>
      </c>
    </row>
    <row r="523">
      <c r="A523" s="234" t="s">
        <v>45</v>
      </c>
      <c r="B523" s="224">
        <v>46147.0</v>
      </c>
      <c r="C523" s="225" t="s">
        <v>68</v>
      </c>
      <c r="D523" s="10" t="s">
        <v>1965</v>
      </c>
      <c r="E523" s="12" t="s">
        <v>1966</v>
      </c>
      <c r="F523" s="226" t="s">
        <v>338</v>
      </c>
      <c r="G523" s="33" t="s">
        <v>1967</v>
      </c>
      <c r="H523" s="55"/>
      <c r="I523" s="221" t="s">
        <v>74</v>
      </c>
      <c r="J523" s="222">
        <v>46149.0</v>
      </c>
      <c r="K523" s="224">
        <v>46151.0</v>
      </c>
      <c r="L523" s="228">
        <v>2.0</v>
      </c>
      <c r="M523" s="228" t="s">
        <v>1968</v>
      </c>
    </row>
    <row r="524">
      <c r="A524" s="234" t="s">
        <v>45</v>
      </c>
      <c r="B524" s="224">
        <v>46148.0</v>
      </c>
      <c r="C524" s="225" t="s">
        <v>148</v>
      </c>
      <c r="D524" s="10" t="s">
        <v>1969</v>
      </c>
      <c r="E524" s="12" t="s">
        <v>1970</v>
      </c>
      <c r="F524" s="226"/>
      <c r="G524" s="33" t="s">
        <v>1971</v>
      </c>
      <c r="H524" s="55" t="s">
        <v>25</v>
      </c>
      <c r="I524" s="221" t="s">
        <v>74</v>
      </c>
      <c r="J524" s="222">
        <v>46148.0</v>
      </c>
      <c r="K524" s="223"/>
      <c r="L524" s="223"/>
      <c r="M524" s="228" t="s">
        <v>1972</v>
      </c>
    </row>
    <row r="525">
      <c r="A525" s="234" t="s">
        <v>45</v>
      </c>
      <c r="B525" s="224">
        <v>46148.0</v>
      </c>
      <c r="C525" s="225" t="s">
        <v>148</v>
      </c>
      <c r="D525" s="10" t="s">
        <v>1973</v>
      </c>
      <c r="E525" s="12" t="s">
        <v>1974</v>
      </c>
      <c r="F525" s="226"/>
      <c r="G525" s="33" t="s">
        <v>1975</v>
      </c>
      <c r="H525" s="55" t="s">
        <v>25</v>
      </c>
      <c r="I525" s="221" t="s">
        <v>74</v>
      </c>
      <c r="J525" s="222">
        <v>46148.0</v>
      </c>
      <c r="K525" s="223"/>
      <c r="L525" s="223"/>
      <c r="M525" s="228" t="s">
        <v>1976</v>
      </c>
    </row>
    <row r="526">
      <c r="A526" s="234" t="s">
        <v>108</v>
      </c>
      <c r="B526" s="224">
        <v>46148.0</v>
      </c>
      <c r="C526" s="225" t="s">
        <v>53</v>
      </c>
      <c r="D526" s="10" t="s">
        <v>1977</v>
      </c>
      <c r="E526" s="12" t="s">
        <v>1978</v>
      </c>
      <c r="F526" s="226"/>
      <c r="G526" s="233" t="s">
        <v>1979</v>
      </c>
      <c r="H526" s="55"/>
      <c r="I526" s="221" t="s">
        <v>74</v>
      </c>
      <c r="J526" s="222">
        <v>46148.0</v>
      </c>
      <c r="K526" s="223"/>
      <c r="L526" s="223"/>
      <c r="M526" s="228" t="s">
        <v>1980</v>
      </c>
    </row>
    <row r="527">
      <c r="A527" s="234" t="s">
        <v>108</v>
      </c>
      <c r="B527" s="224">
        <v>46149.0</v>
      </c>
      <c r="C527" s="225" t="s">
        <v>148</v>
      </c>
      <c r="D527" s="10" t="s">
        <v>1981</v>
      </c>
      <c r="E527" s="12" t="s">
        <v>1982</v>
      </c>
      <c r="F527" s="226"/>
      <c r="G527" s="33" t="s">
        <v>1983</v>
      </c>
      <c r="H527" s="55" t="s">
        <v>25</v>
      </c>
      <c r="I527" s="221" t="s">
        <v>74</v>
      </c>
      <c r="J527" s="222">
        <v>46162.0</v>
      </c>
      <c r="K527" s="223"/>
      <c r="L527" s="223"/>
      <c r="M527" s="228" t="s">
        <v>1984</v>
      </c>
    </row>
    <row r="528">
      <c r="A528" s="33" t="s">
        <v>45</v>
      </c>
      <c r="B528" s="224">
        <v>46149.0</v>
      </c>
      <c r="C528" s="225" t="s">
        <v>53</v>
      </c>
      <c r="D528" s="10" t="s">
        <v>1985</v>
      </c>
      <c r="E528" s="12" t="s">
        <v>1986</v>
      </c>
      <c r="F528" s="226" t="s">
        <v>74</v>
      </c>
      <c r="G528" s="33" t="s">
        <v>1987</v>
      </c>
      <c r="H528" s="55"/>
      <c r="I528" s="221" t="s">
        <v>338</v>
      </c>
      <c r="J528" s="222">
        <v>46149.0</v>
      </c>
      <c r="K528" s="224">
        <v>46171.0</v>
      </c>
      <c r="L528" s="228">
        <v>1.0</v>
      </c>
      <c r="M528" s="228" t="s">
        <v>1988</v>
      </c>
      <c r="N528" s="19" t="s">
        <v>1989</v>
      </c>
    </row>
    <row r="529">
      <c r="A529" s="234" t="s">
        <v>67</v>
      </c>
      <c r="B529" s="224">
        <v>46150.0</v>
      </c>
      <c r="C529" s="225" t="s">
        <v>148</v>
      </c>
      <c r="D529" s="10" t="s">
        <v>249</v>
      </c>
      <c r="E529" s="12" t="s">
        <v>251</v>
      </c>
      <c r="F529" s="226"/>
      <c r="G529" s="33" t="s">
        <v>1990</v>
      </c>
      <c r="H529" s="55" t="s">
        <v>25</v>
      </c>
      <c r="I529" s="221" t="s">
        <v>338</v>
      </c>
      <c r="J529" s="222">
        <v>46150.0</v>
      </c>
      <c r="K529" s="223"/>
      <c r="L529" s="223"/>
      <c r="M529" s="228" t="s">
        <v>34</v>
      </c>
    </row>
    <row r="530">
      <c r="A530" s="234" t="s">
        <v>108</v>
      </c>
      <c r="B530" s="224">
        <v>46150.0</v>
      </c>
      <c r="C530" s="225" t="s">
        <v>68</v>
      </c>
      <c r="D530" s="10" t="s">
        <v>1324</v>
      </c>
      <c r="E530" s="12" t="s">
        <v>1991</v>
      </c>
      <c r="F530" s="226"/>
      <c r="G530" s="33" t="s">
        <v>1992</v>
      </c>
      <c r="H530" s="55" t="s">
        <v>25</v>
      </c>
      <c r="I530" s="221" t="s">
        <v>74</v>
      </c>
      <c r="J530" s="222">
        <v>46150.0</v>
      </c>
      <c r="K530" s="223"/>
      <c r="L530" s="223"/>
      <c r="M530" s="228" t="s">
        <v>1993</v>
      </c>
    </row>
    <row r="531">
      <c r="A531" s="234" t="s">
        <v>45</v>
      </c>
      <c r="B531" s="224">
        <v>46150.0</v>
      </c>
      <c r="C531" s="225" t="s">
        <v>53</v>
      </c>
      <c r="D531" s="10" t="s">
        <v>1994</v>
      </c>
      <c r="E531" s="12" t="s">
        <v>1995</v>
      </c>
      <c r="F531" s="226"/>
      <c r="G531" s="33" t="s">
        <v>1996</v>
      </c>
      <c r="H531" s="55"/>
      <c r="I531" s="221" t="s">
        <v>338</v>
      </c>
      <c r="J531" s="222">
        <v>46150.0</v>
      </c>
      <c r="K531" s="224"/>
      <c r="L531" s="228">
        <v>1.0</v>
      </c>
      <c r="M531" s="228" t="s">
        <v>1997</v>
      </c>
    </row>
    <row r="532">
      <c r="A532" s="234" t="s">
        <v>815</v>
      </c>
      <c r="B532" s="224">
        <v>46151.0</v>
      </c>
      <c r="C532" s="225" t="s">
        <v>148</v>
      </c>
      <c r="D532" s="10" t="s">
        <v>1998</v>
      </c>
      <c r="E532" s="12" t="s">
        <v>1999</v>
      </c>
      <c r="F532" s="226"/>
      <c r="G532" s="33" t="s">
        <v>1983</v>
      </c>
      <c r="H532" s="55" t="s">
        <v>25</v>
      </c>
      <c r="I532" s="221" t="s">
        <v>74</v>
      </c>
      <c r="J532" s="222">
        <v>46154.0</v>
      </c>
      <c r="K532" s="223"/>
      <c r="L532" s="223"/>
      <c r="M532" s="228" t="s">
        <v>2000</v>
      </c>
    </row>
    <row r="533">
      <c r="A533" s="59" t="s">
        <v>45</v>
      </c>
      <c r="B533" s="60">
        <v>46025.0</v>
      </c>
      <c r="C533" s="61" t="s">
        <v>148</v>
      </c>
      <c r="D533" s="10" t="s">
        <v>2001</v>
      </c>
      <c r="E533" s="12" t="s">
        <v>2002</v>
      </c>
      <c r="F533" s="62" t="s">
        <v>58</v>
      </c>
      <c r="G533" s="302" t="s">
        <v>160</v>
      </c>
      <c r="H533" s="64" t="s">
        <v>25</v>
      </c>
      <c r="I533" s="65" t="s">
        <v>83</v>
      </c>
      <c r="J533" s="66">
        <v>46029.0</v>
      </c>
      <c r="K533" s="67"/>
      <c r="L533" s="68"/>
      <c r="M533" s="70" t="s">
        <v>2003</v>
      </c>
    </row>
    <row r="534">
      <c r="A534" s="234" t="s">
        <v>815</v>
      </c>
      <c r="B534" s="224">
        <v>46151.0</v>
      </c>
      <c r="C534" s="225" t="s">
        <v>148</v>
      </c>
      <c r="D534" s="10" t="s">
        <v>2001</v>
      </c>
      <c r="E534" s="12" t="s">
        <v>2002</v>
      </c>
      <c r="F534" s="226"/>
      <c r="G534" s="33" t="s">
        <v>2004</v>
      </c>
      <c r="H534" s="55" t="s">
        <v>25</v>
      </c>
      <c r="I534" s="221" t="s">
        <v>74</v>
      </c>
      <c r="J534" s="222">
        <v>46154.0</v>
      </c>
      <c r="K534" s="223"/>
      <c r="L534" s="223"/>
      <c r="M534" s="228" t="s">
        <v>190</v>
      </c>
    </row>
    <row r="535">
      <c r="A535" s="234" t="s">
        <v>45</v>
      </c>
      <c r="B535" s="224">
        <v>46151.0</v>
      </c>
      <c r="C535" s="225" t="s">
        <v>68</v>
      </c>
      <c r="D535" s="10" t="s">
        <v>2005</v>
      </c>
      <c r="E535" s="12" t="s">
        <v>2006</v>
      </c>
      <c r="F535" s="226"/>
      <c r="G535" s="33"/>
      <c r="H535" s="55" t="s">
        <v>25</v>
      </c>
      <c r="I535" s="221" t="s">
        <v>74</v>
      </c>
      <c r="J535" s="222">
        <v>46154.0</v>
      </c>
      <c r="K535" s="223"/>
      <c r="L535" s="223"/>
      <c r="M535" s="228" t="s">
        <v>2007</v>
      </c>
    </row>
    <row r="536">
      <c r="A536" s="234" t="s">
        <v>108</v>
      </c>
      <c r="B536" s="224">
        <v>46154.0</v>
      </c>
      <c r="C536" s="225" t="s">
        <v>53</v>
      </c>
      <c r="D536" s="10" t="s">
        <v>2008</v>
      </c>
      <c r="E536" s="12" t="s">
        <v>2009</v>
      </c>
      <c r="F536" s="226"/>
      <c r="G536" s="33" t="s">
        <v>2010</v>
      </c>
      <c r="H536" s="55"/>
      <c r="I536" s="221" t="s">
        <v>74</v>
      </c>
      <c r="J536" s="222">
        <v>46154.0</v>
      </c>
      <c r="K536" s="223"/>
      <c r="L536" s="223"/>
      <c r="M536" s="228" t="s">
        <v>2011</v>
      </c>
    </row>
    <row r="537">
      <c r="A537" s="234" t="s">
        <v>45</v>
      </c>
      <c r="B537" s="224">
        <v>46154.0</v>
      </c>
      <c r="C537" s="225" t="s">
        <v>148</v>
      </c>
      <c r="D537" s="10" t="s">
        <v>2012</v>
      </c>
      <c r="E537" s="12" t="s">
        <v>2013</v>
      </c>
      <c r="F537" s="226"/>
      <c r="G537" s="33" t="s">
        <v>2014</v>
      </c>
      <c r="H537" s="55" t="s">
        <v>25</v>
      </c>
      <c r="I537" s="221" t="s">
        <v>74</v>
      </c>
      <c r="J537" s="222">
        <v>46154.0</v>
      </c>
      <c r="K537" s="224">
        <v>46155.0</v>
      </c>
      <c r="L537" s="228">
        <v>1.0</v>
      </c>
      <c r="M537" s="228" t="s">
        <v>2015</v>
      </c>
    </row>
    <row r="538">
      <c r="A538" s="234" t="s">
        <v>108</v>
      </c>
      <c r="B538" s="224">
        <v>46154.0</v>
      </c>
      <c r="C538" s="225" t="s">
        <v>148</v>
      </c>
      <c r="D538" s="10" t="s">
        <v>2016</v>
      </c>
      <c r="E538" s="12" t="s">
        <v>2017</v>
      </c>
      <c r="F538" s="226"/>
      <c r="G538" s="33" t="s">
        <v>2018</v>
      </c>
      <c r="H538" s="55" t="s">
        <v>25</v>
      </c>
      <c r="I538" s="221" t="s">
        <v>74</v>
      </c>
      <c r="J538" s="222">
        <v>46154.0</v>
      </c>
      <c r="K538" s="223"/>
      <c r="L538" s="223"/>
      <c r="M538" s="228" t="s">
        <v>2019</v>
      </c>
    </row>
    <row r="539">
      <c r="A539" s="234" t="s">
        <v>108</v>
      </c>
      <c r="B539" s="224">
        <v>46154.0</v>
      </c>
      <c r="C539" s="225" t="s">
        <v>148</v>
      </c>
      <c r="D539" s="10" t="s">
        <v>2020</v>
      </c>
      <c r="E539" s="12" t="s">
        <v>2021</v>
      </c>
      <c r="F539" s="226"/>
      <c r="G539" s="33" t="s">
        <v>2022</v>
      </c>
      <c r="H539" s="55" t="s">
        <v>25</v>
      </c>
      <c r="I539" s="221" t="s">
        <v>74</v>
      </c>
      <c r="J539" s="222">
        <v>46154.0</v>
      </c>
      <c r="K539" s="223"/>
      <c r="L539" s="223"/>
      <c r="M539" s="228" t="s">
        <v>2023</v>
      </c>
    </row>
    <row r="540">
      <c r="A540" s="234" t="s">
        <v>45</v>
      </c>
      <c r="B540" s="224">
        <v>46154.0</v>
      </c>
      <c r="C540" s="225" t="s">
        <v>148</v>
      </c>
      <c r="D540" s="10" t="s">
        <v>2024</v>
      </c>
      <c r="E540" s="12" t="s">
        <v>2025</v>
      </c>
      <c r="F540" s="226"/>
      <c r="G540" s="33" t="s">
        <v>2026</v>
      </c>
      <c r="H540" s="55" t="s">
        <v>25</v>
      </c>
      <c r="I540" s="221" t="s">
        <v>74</v>
      </c>
      <c r="J540" s="222">
        <v>46154.0</v>
      </c>
      <c r="K540" s="224">
        <v>46158.0</v>
      </c>
      <c r="L540" s="228">
        <v>2.0</v>
      </c>
      <c r="M540" s="228" t="s">
        <v>2027</v>
      </c>
    </row>
    <row r="542">
      <c r="A542" s="234" t="s">
        <v>45</v>
      </c>
      <c r="B542" s="224">
        <v>46156.0</v>
      </c>
      <c r="C542" s="225" t="s">
        <v>148</v>
      </c>
      <c r="D542" s="10" t="s">
        <v>2028</v>
      </c>
      <c r="E542" s="12" t="s">
        <v>2029</v>
      </c>
      <c r="F542" s="226"/>
      <c r="G542" s="33" t="s">
        <v>2030</v>
      </c>
      <c r="H542" s="55" t="s">
        <v>25</v>
      </c>
      <c r="I542" s="221" t="s">
        <v>74</v>
      </c>
      <c r="J542" s="222">
        <v>46156.0</v>
      </c>
      <c r="K542" s="223"/>
      <c r="L542" s="223"/>
      <c r="M542" s="228" t="s">
        <v>2031</v>
      </c>
    </row>
    <row r="543">
      <c r="A543" s="234" t="s">
        <v>45</v>
      </c>
      <c r="B543" s="224">
        <v>46157.0</v>
      </c>
      <c r="C543" s="225" t="s">
        <v>53</v>
      </c>
      <c r="D543" s="10" t="s">
        <v>2032</v>
      </c>
      <c r="E543" s="12" t="s">
        <v>2033</v>
      </c>
      <c r="F543" s="226"/>
      <c r="G543" s="33" t="s">
        <v>2034</v>
      </c>
      <c r="H543" s="55"/>
      <c r="I543" s="221" t="s">
        <v>74</v>
      </c>
      <c r="J543" s="222">
        <v>46154.0</v>
      </c>
      <c r="K543" s="224">
        <v>46165.0</v>
      </c>
      <c r="L543" s="228">
        <v>2.0</v>
      </c>
      <c r="M543" s="228" t="s">
        <v>2035</v>
      </c>
    </row>
    <row r="544">
      <c r="A544" s="234" t="s">
        <v>67</v>
      </c>
      <c r="B544" s="224">
        <v>46154.0</v>
      </c>
      <c r="C544" s="225" t="s">
        <v>68</v>
      </c>
      <c r="D544" s="10" t="s">
        <v>1804</v>
      </c>
      <c r="E544" s="12" t="s">
        <v>2036</v>
      </c>
      <c r="F544" s="226"/>
      <c r="G544" s="33" t="s">
        <v>2037</v>
      </c>
      <c r="H544" s="55"/>
      <c r="I544" s="221" t="s">
        <v>74</v>
      </c>
      <c r="J544" s="222">
        <v>46157.0</v>
      </c>
      <c r="K544" s="223"/>
      <c r="L544" s="223"/>
      <c r="M544" s="228" t="s">
        <v>2038</v>
      </c>
    </row>
    <row r="545">
      <c r="A545" s="234" t="s">
        <v>45</v>
      </c>
      <c r="B545" s="224">
        <v>46154.0</v>
      </c>
      <c r="C545" s="225" t="s">
        <v>68</v>
      </c>
      <c r="D545" s="10" t="s">
        <v>2039</v>
      </c>
      <c r="E545" s="303" t="s">
        <v>2040</v>
      </c>
      <c r="F545" s="226"/>
      <c r="G545" s="33" t="s">
        <v>2041</v>
      </c>
      <c r="H545" s="55" t="s">
        <v>25</v>
      </c>
      <c r="I545" s="221" t="s">
        <v>83</v>
      </c>
      <c r="J545" s="222">
        <v>46161.0</v>
      </c>
      <c r="K545" s="224">
        <v>46171.0</v>
      </c>
      <c r="L545" s="228">
        <v>2.0</v>
      </c>
      <c r="M545" s="228" t="s">
        <v>2042</v>
      </c>
    </row>
    <row r="546">
      <c r="A546" s="234" t="s">
        <v>45</v>
      </c>
      <c r="B546" s="224">
        <v>46154.0</v>
      </c>
      <c r="C546" s="225" t="s">
        <v>53</v>
      </c>
      <c r="D546" s="10" t="s">
        <v>2043</v>
      </c>
      <c r="E546" s="12" t="s">
        <v>2044</v>
      </c>
      <c r="F546" s="226"/>
      <c r="G546" s="33" t="s">
        <v>2045</v>
      </c>
      <c r="H546" s="55"/>
      <c r="I546" s="221" t="s">
        <v>74</v>
      </c>
      <c r="J546" s="222">
        <v>46154.0</v>
      </c>
      <c r="K546" s="224">
        <v>46199.0</v>
      </c>
      <c r="L546" s="228">
        <v>1.0</v>
      </c>
      <c r="M546" s="228" t="s">
        <v>2046</v>
      </c>
    </row>
    <row r="547">
      <c r="A547" s="234" t="s">
        <v>108</v>
      </c>
      <c r="B547" s="224">
        <v>46154.0</v>
      </c>
      <c r="C547" s="225" t="s">
        <v>68</v>
      </c>
      <c r="D547" s="10" t="s">
        <v>2047</v>
      </c>
      <c r="E547" s="12" t="s">
        <v>2048</v>
      </c>
      <c r="F547" s="226"/>
      <c r="G547" s="36" t="s">
        <v>2049</v>
      </c>
      <c r="H547" s="55" t="s">
        <v>25</v>
      </c>
      <c r="I547" s="221" t="s">
        <v>74</v>
      </c>
      <c r="J547" s="222">
        <v>46154.0</v>
      </c>
      <c r="K547" s="199"/>
      <c r="L547" s="228">
        <v>2.0</v>
      </c>
      <c r="M547" s="228" t="s">
        <v>2050</v>
      </c>
    </row>
    <row r="548">
      <c r="A548" s="234" t="s">
        <v>45</v>
      </c>
      <c r="B548" s="224">
        <v>46154.0</v>
      </c>
      <c r="C548" s="225" t="s">
        <v>68</v>
      </c>
      <c r="D548" s="10" t="s">
        <v>2051</v>
      </c>
      <c r="E548" s="12" t="s">
        <v>2052</v>
      </c>
      <c r="F548" s="226"/>
      <c r="G548" s="33" t="s">
        <v>2053</v>
      </c>
      <c r="H548" s="55" t="s">
        <v>25</v>
      </c>
      <c r="I548" s="221" t="s">
        <v>74</v>
      </c>
      <c r="J548" s="222">
        <v>46154.0</v>
      </c>
      <c r="K548" s="224">
        <v>46158.0</v>
      </c>
      <c r="L548" s="228">
        <v>1.0</v>
      </c>
      <c r="M548" s="228" t="s">
        <v>2054</v>
      </c>
    </row>
    <row r="549">
      <c r="A549" s="234" t="s">
        <v>45</v>
      </c>
      <c r="B549" s="224">
        <v>46154.0</v>
      </c>
      <c r="C549" s="225" t="s">
        <v>148</v>
      </c>
      <c r="D549" s="10" t="s">
        <v>2055</v>
      </c>
      <c r="E549" s="12" t="s">
        <v>2013</v>
      </c>
      <c r="F549" s="226"/>
      <c r="G549" s="33" t="s">
        <v>2056</v>
      </c>
      <c r="H549" s="55" t="s">
        <v>25</v>
      </c>
      <c r="I549" s="221" t="s">
        <v>74</v>
      </c>
      <c r="J549" s="222">
        <v>46154.0</v>
      </c>
      <c r="K549" s="224">
        <v>46155.0</v>
      </c>
      <c r="L549" s="228">
        <v>1.0</v>
      </c>
      <c r="M549" s="228" t="s">
        <v>2057</v>
      </c>
    </row>
    <row r="550">
      <c r="A550" s="234" t="s">
        <v>815</v>
      </c>
      <c r="B550" s="224">
        <v>46154.0</v>
      </c>
      <c r="C550" s="225" t="s">
        <v>148</v>
      </c>
      <c r="D550" s="10" t="s">
        <v>2058</v>
      </c>
      <c r="E550" s="12" t="s">
        <v>2059</v>
      </c>
      <c r="F550" s="226"/>
      <c r="G550" s="33" t="s">
        <v>2060</v>
      </c>
      <c r="H550" s="55" t="s">
        <v>25</v>
      </c>
      <c r="I550" s="221" t="s">
        <v>74</v>
      </c>
      <c r="J550" s="222">
        <v>46162.0</v>
      </c>
      <c r="K550" s="223"/>
      <c r="L550" s="223"/>
      <c r="M550" s="228" t="s">
        <v>2061</v>
      </c>
    </row>
    <row r="551">
      <c r="A551" s="234" t="s">
        <v>45</v>
      </c>
      <c r="B551" s="224">
        <v>46154.0</v>
      </c>
      <c r="C551" s="225" t="s">
        <v>148</v>
      </c>
      <c r="D551" s="10" t="s">
        <v>2062</v>
      </c>
      <c r="E551" s="12" t="s">
        <v>2063</v>
      </c>
      <c r="F551" s="226"/>
      <c r="G551" s="33" t="s">
        <v>2064</v>
      </c>
      <c r="H551" s="55"/>
      <c r="I551" s="221" t="s">
        <v>74</v>
      </c>
      <c r="J551" s="222">
        <v>46154.0</v>
      </c>
      <c r="K551" s="223"/>
      <c r="L551" s="223"/>
      <c r="M551" s="228" t="s">
        <v>2065</v>
      </c>
    </row>
    <row r="552">
      <c r="A552" s="234" t="s">
        <v>45</v>
      </c>
      <c r="B552" s="224">
        <v>46155.0</v>
      </c>
      <c r="C552" s="225" t="s">
        <v>68</v>
      </c>
      <c r="D552" s="10" t="s">
        <v>2066</v>
      </c>
      <c r="E552" s="12" t="s">
        <v>2067</v>
      </c>
      <c r="F552" s="226" t="s">
        <v>338</v>
      </c>
      <c r="G552" s="33"/>
      <c r="H552" s="55" t="s">
        <v>25</v>
      </c>
      <c r="I552" s="221"/>
      <c r="J552" s="222"/>
      <c r="K552" s="224">
        <v>46155.0</v>
      </c>
      <c r="L552" s="228">
        <v>1.0</v>
      </c>
      <c r="M552" s="33" t="s">
        <v>2053</v>
      </c>
    </row>
    <row r="553">
      <c r="A553" s="234" t="s">
        <v>45</v>
      </c>
      <c r="B553" s="224">
        <v>46155.0</v>
      </c>
      <c r="C553" s="225" t="s">
        <v>68</v>
      </c>
      <c r="D553" s="10" t="s">
        <v>2068</v>
      </c>
      <c r="E553" s="12" t="s">
        <v>2069</v>
      </c>
      <c r="F553" s="226" t="s">
        <v>338</v>
      </c>
      <c r="G553" s="33" t="s">
        <v>2070</v>
      </c>
      <c r="H553" s="55" t="s">
        <v>25</v>
      </c>
      <c r="I553" s="221" t="s">
        <v>74</v>
      </c>
      <c r="J553" s="222">
        <v>46157.0</v>
      </c>
      <c r="K553" s="224">
        <v>46179.0</v>
      </c>
      <c r="L553" s="228">
        <v>4.0</v>
      </c>
      <c r="M553" s="228" t="s">
        <v>2071</v>
      </c>
    </row>
    <row r="554">
      <c r="A554" s="234" t="s">
        <v>67</v>
      </c>
      <c r="B554" s="224">
        <v>46156.0</v>
      </c>
      <c r="C554" s="225" t="s">
        <v>148</v>
      </c>
      <c r="D554" s="10" t="s">
        <v>2072</v>
      </c>
      <c r="E554" s="12" t="s">
        <v>2073</v>
      </c>
      <c r="F554" s="226"/>
      <c r="G554" s="33" t="s">
        <v>2074</v>
      </c>
      <c r="H554" s="55" t="s">
        <v>25</v>
      </c>
      <c r="I554" s="221" t="s">
        <v>338</v>
      </c>
      <c r="J554" s="222">
        <v>46156.0</v>
      </c>
      <c r="K554" s="223"/>
      <c r="L554" s="223"/>
      <c r="M554" s="228" t="s">
        <v>2075</v>
      </c>
    </row>
    <row r="555">
      <c r="A555" s="234" t="s">
        <v>108</v>
      </c>
      <c r="B555" s="224">
        <v>46156.0</v>
      </c>
      <c r="C555" s="225" t="s">
        <v>148</v>
      </c>
      <c r="D555" s="10" t="s">
        <v>2076</v>
      </c>
      <c r="E555" s="12" t="s">
        <v>2077</v>
      </c>
      <c r="F555" s="226"/>
      <c r="G555" s="33" t="s">
        <v>2078</v>
      </c>
      <c r="H555" s="55" t="s">
        <v>25</v>
      </c>
      <c r="I555" s="221" t="s">
        <v>338</v>
      </c>
      <c r="J555" s="222">
        <v>46156.0</v>
      </c>
      <c r="K555" s="224"/>
      <c r="L555" s="223"/>
      <c r="M555" s="228" t="s">
        <v>2079</v>
      </c>
    </row>
    <row r="556">
      <c r="A556" s="234" t="s">
        <v>815</v>
      </c>
      <c r="B556" s="224">
        <v>46156.0</v>
      </c>
      <c r="C556" s="225" t="s">
        <v>148</v>
      </c>
      <c r="D556" s="10" t="s">
        <v>2080</v>
      </c>
      <c r="E556" s="12" t="s">
        <v>2081</v>
      </c>
      <c r="F556" s="226"/>
      <c r="G556" s="33" t="s">
        <v>2082</v>
      </c>
      <c r="H556" s="55" t="s">
        <v>25</v>
      </c>
      <c r="I556" s="221" t="s">
        <v>74</v>
      </c>
      <c r="J556" s="222">
        <v>46162.0</v>
      </c>
      <c r="K556" s="223"/>
      <c r="L556" s="223"/>
      <c r="M556" s="228" t="s">
        <v>2083</v>
      </c>
    </row>
    <row r="557">
      <c r="A557" s="234" t="s">
        <v>815</v>
      </c>
      <c r="B557" s="224">
        <v>46156.0</v>
      </c>
      <c r="C557" s="225" t="s">
        <v>148</v>
      </c>
      <c r="D557" s="10" t="s">
        <v>2084</v>
      </c>
      <c r="E557" s="12" t="s">
        <v>2085</v>
      </c>
      <c r="F557" s="226"/>
      <c r="G557" s="33" t="s">
        <v>2086</v>
      </c>
      <c r="H557" s="55" t="s">
        <v>25</v>
      </c>
      <c r="I557" s="221" t="s">
        <v>74</v>
      </c>
      <c r="J557" s="222">
        <v>46157.0</v>
      </c>
      <c r="K557" s="223"/>
      <c r="L557" s="223"/>
      <c r="M557" s="228" t="s">
        <v>2083</v>
      </c>
    </row>
    <row r="558">
      <c r="A558" s="234" t="s">
        <v>67</v>
      </c>
      <c r="B558" s="224">
        <v>46156.0</v>
      </c>
      <c r="C558" s="225" t="s">
        <v>148</v>
      </c>
      <c r="D558" s="10" t="s">
        <v>2087</v>
      </c>
      <c r="E558" s="12" t="s">
        <v>2088</v>
      </c>
      <c r="F558" s="226"/>
      <c r="G558" s="33" t="s">
        <v>2089</v>
      </c>
      <c r="H558" s="55" t="s">
        <v>25</v>
      </c>
      <c r="I558" s="221" t="s">
        <v>338</v>
      </c>
      <c r="J558" s="222">
        <v>46156.0</v>
      </c>
      <c r="K558" s="223"/>
      <c r="L558" s="223"/>
      <c r="M558" s="228" t="s">
        <v>2090</v>
      </c>
    </row>
    <row r="559">
      <c r="A559" s="234" t="s">
        <v>108</v>
      </c>
      <c r="B559" s="224">
        <v>46157.0</v>
      </c>
      <c r="C559" s="225" t="s">
        <v>148</v>
      </c>
      <c r="D559" s="10" t="s">
        <v>2091</v>
      </c>
      <c r="E559" s="12" t="s">
        <v>2092</v>
      </c>
      <c r="F559" s="226"/>
      <c r="G559" s="33" t="s">
        <v>2093</v>
      </c>
      <c r="H559" s="55" t="s">
        <v>25</v>
      </c>
      <c r="I559" s="221" t="s">
        <v>74</v>
      </c>
      <c r="J559" s="222">
        <v>46171.0</v>
      </c>
      <c r="K559" s="223"/>
      <c r="L559" s="223"/>
      <c r="M559" s="228" t="s">
        <v>2094</v>
      </c>
    </row>
    <row r="560">
      <c r="A560" s="234" t="s">
        <v>45</v>
      </c>
      <c r="B560" s="224">
        <v>46157.0</v>
      </c>
      <c r="C560" s="225" t="s">
        <v>148</v>
      </c>
      <c r="D560" s="10" t="s">
        <v>1121</v>
      </c>
      <c r="E560" s="12" t="s">
        <v>1122</v>
      </c>
      <c r="F560" s="226"/>
      <c r="G560" s="33" t="s">
        <v>2095</v>
      </c>
      <c r="H560" s="55" t="s">
        <v>25</v>
      </c>
      <c r="I560" s="221" t="s">
        <v>74</v>
      </c>
      <c r="J560" s="222">
        <v>46157.0</v>
      </c>
      <c r="K560" s="224">
        <v>46176.0</v>
      </c>
      <c r="L560" s="228">
        <v>1.0</v>
      </c>
      <c r="M560" s="228" t="s">
        <v>2096</v>
      </c>
    </row>
    <row r="561">
      <c r="A561" s="234" t="s">
        <v>67</v>
      </c>
      <c r="B561" s="224">
        <v>46157.0</v>
      </c>
      <c r="C561" s="225" t="s">
        <v>68</v>
      </c>
      <c r="D561" s="10" t="s">
        <v>2097</v>
      </c>
      <c r="E561" s="12" t="s">
        <v>2098</v>
      </c>
      <c r="F561" s="226"/>
      <c r="G561" s="33" t="s">
        <v>2099</v>
      </c>
      <c r="H561" s="55" t="s">
        <v>25</v>
      </c>
      <c r="I561" s="221" t="s">
        <v>74</v>
      </c>
      <c r="J561" s="222">
        <v>46157.0</v>
      </c>
      <c r="K561" s="223"/>
      <c r="L561" s="223"/>
      <c r="M561" s="228" t="s">
        <v>2100</v>
      </c>
    </row>
    <row r="562">
      <c r="A562" s="234" t="s">
        <v>45</v>
      </c>
      <c r="B562" s="53">
        <v>46157.0</v>
      </c>
      <c r="C562" s="304" t="s">
        <v>68</v>
      </c>
      <c r="D562" s="10" t="s">
        <v>2101</v>
      </c>
      <c r="E562" s="12" t="s">
        <v>2102</v>
      </c>
      <c r="F562" s="221" t="s">
        <v>338</v>
      </c>
      <c r="G562" s="305"/>
      <c r="H562" s="55" t="s">
        <v>25</v>
      </c>
      <c r="I562" s="221" t="s">
        <v>74</v>
      </c>
      <c r="J562" s="53">
        <v>46162.0</v>
      </c>
      <c r="K562" s="46"/>
      <c r="L562" s="46"/>
      <c r="M562" s="55" t="s">
        <v>2103</v>
      </c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>
      <c r="A563" s="234" t="s">
        <v>45</v>
      </c>
      <c r="B563" s="224">
        <v>46157.0</v>
      </c>
      <c r="C563" s="225" t="s">
        <v>53</v>
      </c>
      <c r="D563" s="10" t="s">
        <v>2104</v>
      </c>
      <c r="E563" s="12" t="s">
        <v>2105</v>
      </c>
      <c r="F563" s="226"/>
      <c r="G563" s="33" t="s">
        <v>2106</v>
      </c>
      <c r="H563" s="55"/>
      <c r="I563" s="221" t="s">
        <v>74</v>
      </c>
      <c r="J563" s="222">
        <v>46157.0</v>
      </c>
      <c r="K563" s="224">
        <v>46165.0</v>
      </c>
      <c r="L563" s="228">
        <v>3.0</v>
      </c>
      <c r="M563" s="228" t="s">
        <v>2107</v>
      </c>
    </row>
    <row r="564">
      <c r="A564" s="234" t="s">
        <v>815</v>
      </c>
      <c r="B564" s="224">
        <v>46157.0</v>
      </c>
      <c r="C564" s="225" t="s">
        <v>68</v>
      </c>
      <c r="D564" s="10" t="s">
        <v>2108</v>
      </c>
      <c r="E564" s="12" t="s">
        <v>2109</v>
      </c>
      <c r="F564" s="226" t="s">
        <v>338</v>
      </c>
      <c r="G564" s="33" t="s">
        <v>2110</v>
      </c>
      <c r="H564" s="55" t="s">
        <v>25</v>
      </c>
      <c r="I564" s="221" t="s">
        <v>74</v>
      </c>
      <c r="J564" s="222">
        <v>46171.0</v>
      </c>
      <c r="K564" s="223"/>
      <c r="L564" s="223"/>
      <c r="M564" s="228" t="s">
        <v>190</v>
      </c>
    </row>
    <row r="565">
      <c r="A565" s="234" t="s">
        <v>67</v>
      </c>
      <c r="B565" s="224">
        <v>46158.0</v>
      </c>
      <c r="C565" s="225" t="s">
        <v>148</v>
      </c>
      <c r="D565" s="10" t="s">
        <v>2111</v>
      </c>
      <c r="E565" s="12" t="s">
        <v>2112</v>
      </c>
      <c r="F565" s="226"/>
      <c r="G565" s="33" t="s">
        <v>2113</v>
      </c>
      <c r="H565" s="55" t="s">
        <v>25</v>
      </c>
      <c r="I565" s="221" t="s">
        <v>83</v>
      </c>
      <c r="J565" s="222">
        <v>46162.0</v>
      </c>
      <c r="K565" s="223"/>
      <c r="L565" s="223"/>
      <c r="M565" s="261" t="s">
        <v>2114</v>
      </c>
    </row>
    <row r="566">
      <c r="A566" s="234" t="s">
        <v>67</v>
      </c>
      <c r="B566" s="224">
        <v>46158.0</v>
      </c>
      <c r="C566" s="225" t="s">
        <v>148</v>
      </c>
      <c r="D566" s="10" t="s">
        <v>2115</v>
      </c>
      <c r="E566" s="12" t="s">
        <v>2116</v>
      </c>
      <c r="F566" s="226"/>
      <c r="G566" s="33" t="s">
        <v>2117</v>
      </c>
      <c r="H566" s="55" t="s">
        <v>25</v>
      </c>
      <c r="I566" s="221" t="s">
        <v>74</v>
      </c>
      <c r="J566" s="222">
        <v>46158.0</v>
      </c>
      <c r="K566" s="223"/>
      <c r="L566" s="223"/>
      <c r="M566" s="228" t="s">
        <v>2118</v>
      </c>
    </row>
    <row r="567">
      <c r="A567" s="234" t="s">
        <v>45</v>
      </c>
      <c r="B567" s="224">
        <v>46158.0</v>
      </c>
      <c r="C567" s="225" t="s">
        <v>148</v>
      </c>
      <c r="D567" s="213" t="s">
        <v>2119</v>
      </c>
      <c r="E567" s="12" t="s">
        <v>2120</v>
      </c>
      <c r="F567" s="226"/>
      <c r="G567" s="33" t="s">
        <v>2121</v>
      </c>
      <c r="H567" s="55" t="s">
        <v>25</v>
      </c>
      <c r="I567" s="221" t="s">
        <v>83</v>
      </c>
      <c r="J567" s="222">
        <v>46162.0</v>
      </c>
      <c r="K567" s="223"/>
      <c r="L567" s="223"/>
      <c r="M567" s="228" t="s">
        <v>2122</v>
      </c>
    </row>
    <row r="568">
      <c r="A568" s="234" t="s">
        <v>108</v>
      </c>
      <c r="B568" s="224">
        <v>46158.0</v>
      </c>
      <c r="C568" s="225" t="s">
        <v>148</v>
      </c>
      <c r="D568" s="10" t="s">
        <v>944</v>
      </c>
      <c r="E568" s="12" t="s">
        <v>2123</v>
      </c>
      <c r="F568" s="226"/>
      <c r="G568" s="33" t="s">
        <v>2124</v>
      </c>
      <c r="H568" s="55" t="s">
        <v>25</v>
      </c>
      <c r="I568" s="221" t="s">
        <v>83</v>
      </c>
      <c r="J568" s="222">
        <v>46161.0</v>
      </c>
      <c r="K568" s="223"/>
      <c r="L568" s="223"/>
      <c r="M568" s="306" t="s">
        <v>2125</v>
      </c>
    </row>
    <row r="569">
      <c r="A569" s="234" t="s">
        <v>45</v>
      </c>
      <c r="B569" s="224">
        <v>46161.0</v>
      </c>
      <c r="C569" s="225" t="s">
        <v>53</v>
      </c>
      <c r="D569" s="10" t="s">
        <v>2126</v>
      </c>
      <c r="E569" s="12" t="s">
        <v>2127</v>
      </c>
      <c r="F569" s="226" t="s">
        <v>83</v>
      </c>
      <c r="G569" s="33"/>
      <c r="H569" s="55"/>
      <c r="I569" s="221" t="s">
        <v>83</v>
      </c>
      <c r="J569" s="222">
        <v>46161.0</v>
      </c>
      <c r="K569" s="224">
        <v>46165.0</v>
      </c>
      <c r="L569" s="228">
        <v>4.0</v>
      </c>
      <c r="M569" s="199" t="s">
        <v>2128</v>
      </c>
    </row>
    <row r="570">
      <c r="A570" s="234" t="s">
        <v>45</v>
      </c>
      <c r="B570" s="224">
        <v>46161.0</v>
      </c>
      <c r="C570" s="225" t="s">
        <v>148</v>
      </c>
      <c r="D570" s="213" t="s">
        <v>2129</v>
      </c>
      <c r="E570" s="12" t="s">
        <v>2130</v>
      </c>
      <c r="F570" s="226"/>
      <c r="G570" s="33" t="s">
        <v>2131</v>
      </c>
      <c r="H570" s="55" t="s">
        <v>25</v>
      </c>
      <c r="I570" s="221" t="s">
        <v>83</v>
      </c>
      <c r="J570" s="222">
        <v>46161.0</v>
      </c>
      <c r="K570" s="223"/>
      <c r="L570" s="223"/>
      <c r="M570" s="307" t="s">
        <v>2132</v>
      </c>
    </row>
    <row r="571">
      <c r="A571" s="234" t="s">
        <v>45</v>
      </c>
      <c r="B571" s="224">
        <v>46161.0</v>
      </c>
      <c r="C571" s="225" t="s">
        <v>148</v>
      </c>
      <c r="D571" s="10" t="s">
        <v>2133</v>
      </c>
      <c r="E571" s="12" t="s">
        <v>2134</v>
      </c>
      <c r="F571" s="226"/>
      <c r="G571" s="33" t="s">
        <v>2135</v>
      </c>
      <c r="H571" s="55" t="s">
        <v>25</v>
      </c>
      <c r="I571" s="221" t="s">
        <v>83</v>
      </c>
      <c r="J571" s="222">
        <v>46161.0</v>
      </c>
      <c r="K571" s="223"/>
      <c r="L571" s="223"/>
      <c r="M571" s="228" t="s">
        <v>2136</v>
      </c>
    </row>
    <row r="572">
      <c r="A572" s="234" t="s">
        <v>67</v>
      </c>
      <c r="B572" s="224">
        <v>46161.0</v>
      </c>
      <c r="C572" s="225" t="s">
        <v>148</v>
      </c>
      <c r="D572" s="213" t="s">
        <v>2137</v>
      </c>
      <c r="E572" s="12" t="s">
        <v>2138</v>
      </c>
      <c r="F572" s="226"/>
      <c r="G572" s="33" t="s">
        <v>2139</v>
      </c>
      <c r="H572" s="55"/>
      <c r="I572" s="221" t="s">
        <v>83</v>
      </c>
      <c r="J572" s="222">
        <v>46161.0</v>
      </c>
      <c r="K572" s="224"/>
      <c r="L572" s="228">
        <v>1.0</v>
      </c>
      <c r="M572" s="228" t="s">
        <v>2140</v>
      </c>
    </row>
    <row r="573">
      <c r="A573" s="234" t="s">
        <v>45</v>
      </c>
      <c r="B573" s="224">
        <v>46161.0</v>
      </c>
      <c r="C573" s="225" t="s">
        <v>148</v>
      </c>
      <c r="D573" s="10" t="s">
        <v>2141</v>
      </c>
      <c r="E573" s="308" t="s">
        <v>2142</v>
      </c>
      <c r="F573" s="226"/>
      <c r="G573" s="33" t="s">
        <v>2143</v>
      </c>
      <c r="H573" s="55" t="s">
        <v>25</v>
      </c>
      <c r="I573" s="221" t="s">
        <v>83</v>
      </c>
      <c r="J573" s="222">
        <v>46161.0</v>
      </c>
      <c r="K573" s="223"/>
      <c r="L573" s="223"/>
      <c r="M573" s="228" t="s">
        <v>2144</v>
      </c>
    </row>
    <row r="574">
      <c r="A574" s="234" t="s">
        <v>108</v>
      </c>
      <c r="B574" s="224">
        <v>46161.0</v>
      </c>
      <c r="C574" s="225" t="s">
        <v>68</v>
      </c>
      <c r="D574" s="10" t="s">
        <v>2145</v>
      </c>
      <c r="E574" s="12" t="s">
        <v>2146</v>
      </c>
      <c r="F574" s="226"/>
      <c r="G574" s="188" t="s">
        <v>2147</v>
      </c>
      <c r="H574" s="55"/>
      <c r="I574" s="221" t="s">
        <v>74</v>
      </c>
      <c r="J574" s="222">
        <v>46171.0</v>
      </c>
      <c r="K574" s="223"/>
      <c r="L574" s="223"/>
      <c r="M574" s="228" t="s">
        <v>2148</v>
      </c>
    </row>
    <row r="575">
      <c r="A575" s="234" t="s">
        <v>45</v>
      </c>
      <c r="B575" s="224">
        <v>46162.0</v>
      </c>
      <c r="C575" s="225" t="s">
        <v>221</v>
      </c>
      <c r="D575" s="10" t="s">
        <v>2149</v>
      </c>
      <c r="E575" s="12" t="s">
        <v>2150</v>
      </c>
      <c r="F575" s="226"/>
      <c r="G575" s="33" t="s">
        <v>2151</v>
      </c>
      <c r="H575" s="55" t="s">
        <v>25</v>
      </c>
      <c r="I575" s="221" t="s">
        <v>74</v>
      </c>
      <c r="J575" s="222">
        <v>46162.0</v>
      </c>
      <c r="K575" s="223"/>
      <c r="L575" s="223"/>
      <c r="M575" s="228" t="s">
        <v>2152</v>
      </c>
    </row>
    <row r="576">
      <c r="A576" s="234" t="s">
        <v>45</v>
      </c>
      <c r="B576" s="224">
        <v>46162.0</v>
      </c>
      <c r="C576" s="225" t="s">
        <v>148</v>
      </c>
      <c r="D576" s="213" t="s">
        <v>2153</v>
      </c>
      <c r="E576" s="12" t="s">
        <v>2154</v>
      </c>
      <c r="F576" s="226"/>
      <c r="G576" s="33" t="s">
        <v>2155</v>
      </c>
      <c r="H576" s="55" t="s">
        <v>25</v>
      </c>
      <c r="I576" s="221" t="s">
        <v>83</v>
      </c>
      <c r="J576" s="222">
        <v>46168.0</v>
      </c>
      <c r="K576" s="224"/>
      <c r="L576" s="228"/>
      <c r="M576" s="307" t="s">
        <v>2156</v>
      </c>
    </row>
    <row r="577">
      <c r="A577" s="234" t="s">
        <v>108</v>
      </c>
      <c r="B577" s="224">
        <v>46162.0</v>
      </c>
      <c r="C577" s="225" t="s">
        <v>916</v>
      </c>
      <c r="D577" s="213" t="s">
        <v>2157</v>
      </c>
      <c r="E577" s="12" t="s">
        <v>2158</v>
      </c>
      <c r="F577" s="226"/>
      <c r="G577" s="33" t="s">
        <v>2159</v>
      </c>
      <c r="H577" s="55" t="s">
        <v>25</v>
      </c>
      <c r="I577" s="221" t="s">
        <v>74</v>
      </c>
      <c r="J577" s="222">
        <v>46162.0</v>
      </c>
      <c r="K577" s="223"/>
      <c r="L577" s="223"/>
      <c r="M577" s="228" t="s">
        <v>2160</v>
      </c>
    </row>
    <row r="578">
      <c r="A578" s="234" t="s">
        <v>45</v>
      </c>
      <c r="B578" s="224">
        <v>46163.0</v>
      </c>
      <c r="C578" s="225" t="s">
        <v>53</v>
      </c>
      <c r="D578" s="213" t="s">
        <v>2161</v>
      </c>
      <c r="E578" s="12" t="s">
        <v>2162</v>
      </c>
      <c r="F578" s="226"/>
      <c r="G578" s="33" t="s">
        <v>2163</v>
      </c>
      <c r="H578" s="55"/>
      <c r="I578" s="221" t="s">
        <v>83</v>
      </c>
      <c r="J578" s="222">
        <v>46163.0</v>
      </c>
      <c r="K578" s="224">
        <v>46165.0</v>
      </c>
      <c r="L578" s="228">
        <v>2.0</v>
      </c>
      <c r="M578" s="199" t="s">
        <v>2164</v>
      </c>
    </row>
    <row r="579">
      <c r="A579" s="234" t="s">
        <v>108</v>
      </c>
      <c r="B579" s="224">
        <v>46164.0</v>
      </c>
      <c r="C579" s="225" t="s">
        <v>148</v>
      </c>
      <c r="D579" s="213" t="s">
        <v>2165</v>
      </c>
      <c r="E579" s="12" t="s">
        <v>2166</v>
      </c>
      <c r="F579" s="226"/>
      <c r="G579" s="33" t="s">
        <v>2167</v>
      </c>
      <c r="H579" s="55" t="s">
        <v>25</v>
      </c>
      <c r="I579" s="221" t="s">
        <v>83</v>
      </c>
      <c r="J579" s="222">
        <v>46164.0</v>
      </c>
      <c r="K579" s="223"/>
      <c r="L579" s="223"/>
      <c r="M579" s="199" t="s">
        <v>2168</v>
      </c>
    </row>
    <row r="580">
      <c r="A580" s="234" t="s">
        <v>45</v>
      </c>
      <c r="B580" s="224">
        <v>46164.0</v>
      </c>
      <c r="C580" s="225" t="s">
        <v>148</v>
      </c>
      <c r="D580" s="213" t="s">
        <v>2169</v>
      </c>
      <c r="E580" s="12" t="s">
        <v>2170</v>
      </c>
      <c r="F580" s="226"/>
      <c r="G580" s="33" t="s">
        <v>2171</v>
      </c>
      <c r="H580" s="55" t="s">
        <v>25</v>
      </c>
      <c r="I580" s="221" t="s">
        <v>83</v>
      </c>
      <c r="J580" s="222">
        <v>46164.0</v>
      </c>
      <c r="K580" s="224">
        <v>46176.0</v>
      </c>
      <c r="L580" s="228">
        <v>2.0</v>
      </c>
      <c r="M580" s="228" t="s">
        <v>2172</v>
      </c>
    </row>
    <row r="581">
      <c r="A581" s="234" t="s">
        <v>108</v>
      </c>
      <c r="B581" s="224">
        <v>46164.0</v>
      </c>
      <c r="C581" s="225" t="s">
        <v>148</v>
      </c>
      <c r="D581" s="213" t="s">
        <v>2173</v>
      </c>
      <c r="E581" s="12" t="s">
        <v>2174</v>
      </c>
      <c r="F581" s="226"/>
      <c r="G581" s="188" t="s">
        <v>2175</v>
      </c>
      <c r="H581" s="55" t="s">
        <v>25</v>
      </c>
      <c r="I581" s="221" t="s">
        <v>74</v>
      </c>
      <c r="J581" s="222">
        <v>46165.0</v>
      </c>
      <c r="K581" s="223"/>
      <c r="L581" s="223"/>
      <c r="M581" s="228" t="s">
        <v>2176</v>
      </c>
    </row>
    <row r="582">
      <c r="A582" s="234" t="s">
        <v>815</v>
      </c>
      <c r="B582" s="224">
        <v>46165.0</v>
      </c>
      <c r="C582" s="225" t="s">
        <v>68</v>
      </c>
      <c r="D582" s="213" t="s">
        <v>478</v>
      </c>
      <c r="E582" s="12" t="s">
        <v>2177</v>
      </c>
      <c r="F582" s="226"/>
      <c r="G582" s="33" t="s">
        <v>2178</v>
      </c>
      <c r="H582" s="55" t="s">
        <v>25</v>
      </c>
      <c r="I582" s="221" t="s">
        <v>74</v>
      </c>
      <c r="J582" s="222">
        <v>46165.0</v>
      </c>
      <c r="K582" s="223"/>
      <c r="L582" s="223"/>
      <c r="M582" s="228" t="s">
        <v>190</v>
      </c>
    </row>
    <row r="583">
      <c r="A583" s="234" t="s">
        <v>108</v>
      </c>
      <c r="B583" s="224">
        <v>46165.0</v>
      </c>
      <c r="C583" s="225" t="s">
        <v>148</v>
      </c>
      <c r="D583" s="213" t="s">
        <v>2179</v>
      </c>
      <c r="E583" s="12" t="s">
        <v>2180</v>
      </c>
      <c r="F583" s="226"/>
      <c r="G583" s="33" t="s">
        <v>2181</v>
      </c>
      <c r="H583" s="55" t="s">
        <v>25</v>
      </c>
      <c r="I583" s="221" t="s">
        <v>74</v>
      </c>
      <c r="J583" s="222">
        <v>46165.0</v>
      </c>
      <c r="K583" s="223"/>
      <c r="L583" s="223"/>
      <c r="M583" s="228" t="s">
        <v>2182</v>
      </c>
    </row>
    <row r="584">
      <c r="A584" s="234" t="s">
        <v>108</v>
      </c>
      <c r="B584" s="224">
        <v>46165.0</v>
      </c>
      <c r="C584" s="225" t="s">
        <v>148</v>
      </c>
      <c r="D584" s="213" t="s">
        <v>2183</v>
      </c>
      <c r="E584" s="12" t="s">
        <v>2184</v>
      </c>
      <c r="F584" s="226"/>
      <c r="G584" s="33" t="s">
        <v>2185</v>
      </c>
      <c r="H584" s="55" t="s">
        <v>25</v>
      </c>
      <c r="I584" s="221" t="s">
        <v>74</v>
      </c>
      <c r="J584" s="222">
        <v>46165.0</v>
      </c>
      <c r="K584" s="223"/>
      <c r="L584" s="223"/>
      <c r="M584" s="228" t="s">
        <v>2186</v>
      </c>
    </row>
    <row r="585">
      <c r="A585" s="234" t="s">
        <v>45</v>
      </c>
      <c r="B585" s="224">
        <v>46165.0</v>
      </c>
      <c r="C585" s="225" t="s">
        <v>148</v>
      </c>
      <c r="D585" s="213" t="s">
        <v>2187</v>
      </c>
      <c r="E585" s="12" t="s">
        <v>2188</v>
      </c>
      <c r="F585" s="226"/>
      <c r="G585" s="33" t="s">
        <v>2189</v>
      </c>
      <c r="H585" s="55" t="s">
        <v>25</v>
      </c>
      <c r="I585" s="221" t="s">
        <v>74</v>
      </c>
      <c r="J585" s="222">
        <v>46165.0</v>
      </c>
      <c r="K585" s="223"/>
      <c r="L585" s="223"/>
      <c r="M585" s="228" t="s">
        <v>2190</v>
      </c>
    </row>
    <row r="586">
      <c r="A586" s="234" t="s">
        <v>45</v>
      </c>
      <c r="B586" s="224">
        <v>46165.0</v>
      </c>
      <c r="C586" s="225" t="s">
        <v>53</v>
      </c>
      <c r="D586" s="213" t="s">
        <v>1804</v>
      </c>
      <c r="E586" s="12" t="s">
        <v>2191</v>
      </c>
      <c r="F586" s="226" t="s">
        <v>74</v>
      </c>
      <c r="G586" s="33" t="s">
        <v>2192</v>
      </c>
      <c r="H586" s="55"/>
      <c r="I586" s="221" t="s">
        <v>83</v>
      </c>
      <c r="J586" s="222">
        <v>46168.0</v>
      </c>
      <c r="K586" s="223"/>
      <c r="L586" s="223"/>
      <c r="M586" s="228" t="s">
        <v>2193</v>
      </c>
    </row>
    <row r="587">
      <c r="A587" s="234" t="s">
        <v>45</v>
      </c>
      <c r="B587" s="224">
        <v>46168.0</v>
      </c>
      <c r="C587" s="225" t="s">
        <v>221</v>
      </c>
      <c r="D587" s="213" t="s">
        <v>2194</v>
      </c>
      <c r="E587" s="12" t="s">
        <v>2195</v>
      </c>
      <c r="F587" s="226"/>
      <c r="G587" s="33" t="s">
        <v>2196</v>
      </c>
      <c r="H587" s="55" t="s">
        <v>25</v>
      </c>
      <c r="I587" s="221" t="s">
        <v>83</v>
      </c>
      <c r="J587" s="222">
        <v>46172.0</v>
      </c>
      <c r="K587" s="224">
        <v>46200.0</v>
      </c>
      <c r="L587" s="228">
        <v>1.0</v>
      </c>
      <c r="M587" s="199" t="s">
        <v>2197</v>
      </c>
    </row>
    <row r="588">
      <c r="A588" s="234" t="s">
        <v>67</v>
      </c>
      <c r="B588" s="224">
        <v>46168.0</v>
      </c>
      <c r="C588" s="225" t="s">
        <v>148</v>
      </c>
      <c r="D588" s="213" t="s">
        <v>2198</v>
      </c>
      <c r="E588" s="12" t="s">
        <v>2199</v>
      </c>
      <c r="F588" s="226"/>
      <c r="G588" s="33" t="s">
        <v>2200</v>
      </c>
      <c r="H588" s="55" t="s">
        <v>25</v>
      </c>
      <c r="I588" s="221" t="s">
        <v>83</v>
      </c>
      <c r="J588" s="222">
        <v>46168.0</v>
      </c>
      <c r="K588" s="223"/>
      <c r="L588" s="223"/>
      <c r="M588" s="228" t="s">
        <v>2201</v>
      </c>
    </row>
    <row r="589">
      <c r="A589" s="234" t="s">
        <v>108</v>
      </c>
      <c r="B589" s="224">
        <v>46168.0</v>
      </c>
      <c r="C589" s="225" t="s">
        <v>148</v>
      </c>
      <c r="D589" s="213" t="s">
        <v>2202</v>
      </c>
      <c r="E589" s="12" t="s">
        <v>2203</v>
      </c>
      <c r="F589" s="226"/>
      <c r="G589" s="33" t="s">
        <v>2204</v>
      </c>
      <c r="H589" s="55" t="s">
        <v>25</v>
      </c>
      <c r="I589" s="221" t="s">
        <v>74</v>
      </c>
      <c r="J589" s="222">
        <v>46171.0</v>
      </c>
      <c r="K589" s="223"/>
      <c r="L589" s="223"/>
      <c r="M589" s="307" t="s">
        <v>2205</v>
      </c>
    </row>
    <row r="590">
      <c r="A590" s="234" t="s">
        <v>108</v>
      </c>
      <c r="B590" s="224">
        <v>46168.0</v>
      </c>
      <c r="C590" s="225" t="s">
        <v>148</v>
      </c>
      <c r="D590" s="213" t="s">
        <v>2206</v>
      </c>
      <c r="E590" s="12" t="s">
        <v>2207</v>
      </c>
      <c r="F590" s="226"/>
      <c r="G590" s="33" t="s">
        <v>2208</v>
      </c>
      <c r="H590" s="55" t="s">
        <v>25</v>
      </c>
      <c r="I590" s="221" t="s">
        <v>74</v>
      </c>
      <c r="J590" s="222">
        <v>46171.0</v>
      </c>
      <c r="K590" s="223"/>
      <c r="L590" s="223"/>
      <c r="M590" s="292" t="s">
        <v>2209</v>
      </c>
    </row>
    <row r="591">
      <c r="A591" s="234" t="s">
        <v>108</v>
      </c>
      <c r="B591" s="224">
        <v>46168.0</v>
      </c>
      <c r="C591" s="225" t="s">
        <v>148</v>
      </c>
      <c r="D591" s="213" t="s">
        <v>1118</v>
      </c>
      <c r="E591" s="12" t="s">
        <v>2210</v>
      </c>
      <c r="F591" s="226"/>
      <c r="G591" s="33" t="s">
        <v>2211</v>
      </c>
      <c r="H591" s="55" t="s">
        <v>25</v>
      </c>
      <c r="I591" s="221" t="s">
        <v>74</v>
      </c>
      <c r="J591" s="222">
        <v>46171.0</v>
      </c>
      <c r="K591" s="223"/>
      <c r="L591" s="223"/>
      <c r="M591" s="292" t="s">
        <v>2212</v>
      </c>
    </row>
    <row r="592">
      <c r="A592" s="234" t="s">
        <v>815</v>
      </c>
      <c r="B592" s="224">
        <v>46168.0</v>
      </c>
      <c r="C592" s="225" t="s">
        <v>148</v>
      </c>
      <c r="D592" s="213" t="s">
        <v>2213</v>
      </c>
      <c r="E592" s="12" t="s">
        <v>2214</v>
      </c>
      <c r="F592" s="226"/>
      <c r="G592" s="33" t="s">
        <v>2215</v>
      </c>
      <c r="H592" s="55" t="s">
        <v>25</v>
      </c>
      <c r="I592" s="221" t="s">
        <v>83</v>
      </c>
      <c r="J592" s="222">
        <v>46168.0</v>
      </c>
      <c r="K592" s="223"/>
      <c r="L592" s="223"/>
      <c r="M592" s="309" t="s">
        <v>2216</v>
      </c>
    </row>
    <row r="593">
      <c r="A593" s="234" t="s">
        <v>815</v>
      </c>
      <c r="B593" s="224">
        <v>46168.0</v>
      </c>
      <c r="C593" s="225" t="s">
        <v>148</v>
      </c>
      <c r="D593" s="213" t="s">
        <v>2217</v>
      </c>
      <c r="E593" s="12" t="s">
        <v>2218</v>
      </c>
      <c r="F593" s="226"/>
      <c r="G593" s="33" t="s">
        <v>2219</v>
      </c>
      <c r="H593" s="55" t="s">
        <v>25</v>
      </c>
      <c r="I593" s="221" t="s">
        <v>74</v>
      </c>
      <c r="J593" s="222">
        <v>46168.0</v>
      </c>
      <c r="K593" s="223"/>
      <c r="L593" s="223"/>
      <c r="M593" s="228" t="s">
        <v>2220</v>
      </c>
    </row>
    <row r="594">
      <c r="A594" s="234" t="s">
        <v>45</v>
      </c>
      <c r="B594" s="224">
        <v>46168.0</v>
      </c>
      <c r="C594" s="225" t="s">
        <v>148</v>
      </c>
      <c r="D594" s="213" t="s">
        <v>2221</v>
      </c>
      <c r="E594" s="12" t="s">
        <v>2222</v>
      </c>
      <c r="F594" s="226"/>
      <c r="G594" s="33" t="s">
        <v>2223</v>
      </c>
      <c r="H594" s="55" t="s">
        <v>25</v>
      </c>
      <c r="I594" s="221" t="s">
        <v>74</v>
      </c>
      <c r="J594" s="222">
        <v>46168.0</v>
      </c>
      <c r="K594" s="224">
        <v>46227.0</v>
      </c>
      <c r="L594" s="228">
        <v>1.0</v>
      </c>
      <c r="M594" s="228" t="s">
        <v>2224</v>
      </c>
    </row>
    <row r="595">
      <c r="A595" s="234" t="s">
        <v>108</v>
      </c>
      <c r="B595" s="224">
        <v>46167.0</v>
      </c>
      <c r="C595" s="225" t="s">
        <v>68</v>
      </c>
      <c r="D595" s="213" t="s">
        <v>779</v>
      </c>
      <c r="E595" s="12" t="s">
        <v>2225</v>
      </c>
      <c r="F595" s="226" t="s">
        <v>74</v>
      </c>
      <c r="G595" s="33" t="s">
        <v>2226</v>
      </c>
      <c r="H595" s="55" t="s">
        <v>25</v>
      </c>
      <c r="I595" s="221" t="s">
        <v>74</v>
      </c>
      <c r="J595" s="222">
        <v>46171.0</v>
      </c>
      <c r="K595" s="223"/>
      <c r="L595" s="223"/>
      <c r="M595" s="228" t="s">
        <v>2227</v>
      </c>
    </row>
    <row r="596">
      <c r="A596" s="234" t="s">
        <v>67</v>
      </c>
      <c r="B596" s="224">
        <v>46168.0</v>
      </c>
      <c r="C596" s="225" t="s">
        <v>68</v>
      </c>
      <c r="D596" s="213" t="s">
        <v>2228</v>
      </c>
      <c r="E596" s="12" t="s">
        <v>2229</v>
      </c>
      <c r="F596" s="226" t="s">
        <v>74</v>
      </c>
      <c r="G596" s="33" t="s">
        <v>2230</v>
      </c>
      <c r="H596" s="55" t="s">
        <v>25</v>
      </c>
      <c r="I596" s="221" t="s">
        <v>74</v>
      </c>
      <c r="J596" s="222">
        <v>46168.0</v>
      </c>
      <c r="K596" s="224"/>
      <c r="L596" s="228"/>
      <c r="M596" s="228" t="s">
        <v>2231</v>
      </c>
    </row>
    <row r="597">
      <c r="A597" s="234" t="s">
        <v>815</v>
      </c>
      <c r="B597" s="224">
        <v>46169.0</v>
      </c>
      <c r="C597" s="225" t="s">
        <v>148</v>
      </c>
      <c r="D597" s="213" t="s">
        <v>2232</v>
      </c>
      <c r="E597" s="12" t="s">
        <v>2233</v>
      </c>
      <c r="F597" s="226"/>
      <c r="G597" s="33" t="s">
        <v>2234</v>
      </c>
      <c r="H597" s="55" t="s">
        <v>25</v>
      </c>
      <c r="I597" s="221" t="s">
        <v>74</v>
      </c>
      <c r="J597" s="222">
        <v>46170.0</v>
      </c>
      <c r="K597" s="223"/>
      <c r="L597" s="223"/>
      <c r="M597" s="307" t="s">
        <v>2235</v>
      </c>
    </row>
    <row r="598">
      <c r="A598" s="234" t="s">
        <v>45</v>
      </c>
      <c r="B598" s="224">
        <v>46169.0</v>
      </c>
      <c r="C598" s="225" t="s">
        <v>53</v>
      </c>
      <c r="D598" s="213" t="s">
        <v>2236</v>
      </c>
      <c r="E598" s="12" t="s">
        <v>2237</v>
      </c>
      <c r="F598" s="226"/>
      <c r="G598" s="33" t="s">
        <v>2238</v>
      </c>
      <c r="H598" s="55"/>
      <c r="I598" s="221" t="s">
        <v>83</v>
      </c>
      <c r="J598" s="222">
        <v>46169.0</v>
      </c>
      <c r="K598" s="224">
        <v>46179.0</v>
      </c>
      <c r="L598" s="228">
        <v>3.0</v>
      </c>
      <c r="M598" s="307" t="s">
        <v>2239</v>
      </c>
    </row>
    <row r="599">
      <c r="A599" s="234" t="s">
        <v>67</v>
      </c>
      <c r="B599" s="224">
        <v>46169.0</v>
      </c>
      <c r="C599" s="225" t="s">
        <v>68</v>
      </c>
      <c r="D599" s="213" t="s">
        <v>2240</v>
      </c>
      <c r="E599" s="12" t="s">
        <v>2241</v>
      </c>
      <c r="F599" s="226" t="s">
        <v>338</v>
      </c>
      <c r="G599" s="188" t="s">
        <v>2242</v>
      </c>
      <c r="H599" s="55" t="s">
        <v>25</v>
      </c>
      <c r="I599" s="221" t="s">
        <v>83</v>
      </c>
      <c r="J599" s="222">
        <v>46169.0</v>
      </c>
      <c r="K599" s="223"/>
      <c r="L599" s="223"/>
      <c r="M599" s="228" t="s">
        <v>2243</v>
      </c>
    </row>
    <row r="600">
      <c r="A600" s="234" t="s">
        <v>45</v>
      </c>
      <c r="B600" s="224">
        <v>46169.0</v>
      </c>
      <c r="C600" s="225" t="s">
        <v>53</v>
      </c>
      <c r="D600" s="213" t="s">
        <v>2244</v>
      </c>
      <c r="E600" s="12" t="s">
        <v>2245</v>
      </c>
      <c r="F600" s="226" t="s">
        <v>74</v>
      </c>
      <c r="G600" s="33" t="s">
        <v>1952</v>
      </c>
      <c r="H600" s="55"/>
      <c r="I600" s="221" t="s">
        <v>74</v>
      </c>
      <c r="J600" s="222">
        <v>46169.0</v>
      </c>
      <c r="K600" s="224">
        <v>46185.0</v>
      </c>
      <c r="L600" s="228">
        <v>5.0</v>
      </c>
      <c r="M600" s="228" t="s">
        <v>2246</v>
      </c>
    </row>
    <row r="601">
      <c r="A601" s="234" t="s">
        <v>108</v>
      </c>
      <c r="B601" s="224">
        <v>46168.0</v>
      </c>
      <c r="C601" s="225" t="s">
        <v>148</v>
      </c>
      <c r="D601" s="213" t="s">
        <v>2247</v>
      </c>
      <c r="E601" s="12" t="s">
        <v>2248</v>
      </c>
      <c r="F601" s="226"/>
      <c r="G601" s="188" t="s">
        <v>2249</v>
      </c>
      <c r="H601" s="55" t="s">
        <v>25</v>
      </c>
      <c r="I601" s="221" t="s">
        <v>74</v>
      </c>
      <c r="J601" s="222">
        <v>46171.0</v>
      </c>
      <c r="K601" s="223"/>
      <c r="L601" s="223"/>
      <c r="M601" s="228" t="s">
        <v>2250</v>
      </c>
    </row>
    <row r="602">
      <c r="A602" s="234" t="s">
        <v>815</v>
      </c>
      <c r="B602" s="224">
        <v>46170.0</v>
      </c>
      <c r="C602" s="225" t="s">
        <v>53</v>
      </c>
      <c r="D602" s="213" t="s">
        <v>2251</v>
      </c>
      <c r="E602" s="12" t="s">
        <v>2252</v>
      </c>
      <c r="F602" s="226"/>
      <c r="G602" s="33" t="s">
        <v>2253</v>
      </c>
      <c r="H602" s="55"/>
      <c r="I602" s="221"/>
      <c r="J602" s="222"/>
      <c r="K602" s="223"/>
      <c r="L602" s="223"/>
      <c r="M602" s="223"/>
    </row>
    <row r="603">
      <c r="A603" s="234" t="s">
        <v>45</v>
      </c>
      <c r="B603" s="224">
        <v>46170.0</v>
      </c>
      <c r="C603" s="225" t="s">
        <v>53</v>
      </c>
      <c r="D603" s="213" t="s">
        <v>2254</v>
      </c>
      <c r="E603" s="12" t="s">
        <v>2255</v>
      </c>
      <c r="F603" s="226" t="s">
        <v>74</v>
      </c>
      <c r="G603" s="33" t="s">
        <v>2256</v>
      </c>
      <c r="H603" s="55" t="s">
        <v>25</v>
      </c>
      <c r="I603" s="221" t="s">
        <v>74</v>
      </c>
      <c r="J603" s="222">
        <v>46170.0</v>
      </c>
      <c r="K603" s="224">
        <v>46176.0</v>
      </c>
      <c r="L603" s="228">
        <v>2.0</v>
      </c>
      <c r="M603" s="228" t="s">
        <v>2257</v>
      </c>
    </row>
    <row r="604">
      <c r="A604" s="234" t="s">
        <v>45</v>
      </c>
      <c r="B604" s="224">
        <v>46171.0</v>
      </c>
      <c r="C604" s="225" t="s">
        <v>148</v>
      </c>
      <c r="D604" s="213" t="s">
        <v>2258</v>
      </c>
      <c r="E604" s="12" t="s">
        <v>2259</v>
      </c>
      <c r="F604" s="226" t="s">
        <v>74</v>
      </c>
      <c r="G604" s="33" t="s">
        <v>2260</v>
      </c>
      <c r="H604" s="55" t="s">
        <v>25</v>
      </c>
      <c r="I604" s="221" t="s">
        <v>74</v>
      </c>
      <c r="J604" s="222">
        <v>46171.0</v>
      </c>
      <c r="K604" s="224">
        <v>46190.0</v>
      </c>
      <c r="L604" s="228">
        <v>1.0</v>
      </c>
      <c r="M604" s="228" t="s">
        <v>2261</v>
      </c>
    </row>
    <row r="605">
      <c r="A605" s="234" t="s">
        <v>815</v>
      </c>
      <c r="B605" s="224">
        <v>46171.0</v>
      </c>
      <c r="C605" s="225" t="s">
        <v>68</v>
      </c>
      <c r="D605" s="213" t="s">
        <v>88</v>
      </c>
      <c r="E605" s="12" t="s">
        <v>2262</v>
      </c>
      <c r="F605" s="226" t="s">
        <v>83</v>
      </c>
      <c r="G605" s="33" t="s">
        <v>2263</v>
      </c>
      <c r="H605" s="55" t="s">
        <v>25</v>
      </c>
      <c r="I605" s="221"/>
      <c r="J605" s="222"/>
      <c r="K605" s="223"/>
      <c r="L605" s="223"/>
      <c r="M605" s="199" t="s">
        <v>2264</v>
      </c>
    </row>
    <row r="606">
      <c r="A606" s="234" t="s">
        <v>45</v>
      </c>
      <c r="B606" s="224">
        <v>46171.0</v>
      </c>
      <c r="C606" s="284" t="s">
        <v>53</v>
      </c>
      <c r="D606" s="213" t="s">
        <v>2265</v>
      </c>
      <c r="E606" s="12" t="s">
        <v>2266</v>
      </c>
      <c r="F606" s="242" t="s">
        <v>74</v>
      </c>
      <c r="G606" s="33" t="s">
        <v>2267</v>
      </c>
      <c r="H606" s="55" t="s">
        <v>25</v>
      </c>
      <c r="I606" s="285" t="s">
        <v>83</v>
      </c>
      <c r="J606" s="222">
        <v>46172.0</v>
      </c>
      <c r="K606" s="224">
        <v>46192.0</v>
      </c>
      <c r="L606" s="228">
        <v>2.0</v>
      </c>
      <c r="M606" s="199" t="s">
        <v>2268</v>
      </c>
    </row>
    <row r="607">
      <c r="A607" s="234" t="s">
        <v>108</v>
      </c>
      <c r="B607" s="224">
        <v>46172.0</v>
      </c>
      <c r="C607" s="225" t="s">
        <v>221</v>
      </c>
      <c r="D607" s="213" t="s">
        <v>2269</v>
      </c>
      <c r="E607" s="12" t="s">
        <v>2270</v>
      </c>
      <c r="F607" s="226" t="s">
        <v>83</v>
      </c>
      <c r="G607" s="33" t="s">
        <v>2271</v>
      </c>
      <c r="H607" s="55" t="s">
        <v>25</v>
      </c>
      <c r="I607" s="221" t="s">
        <v>338</v>
      </c>
      <c r="J607" s="222">
        <v>46175.0</v>
      </c>
      <c r="K607" s="223"/>
      <c r="L607" s="223"/>
      <c r="M607" s="307" t="s">
        <v>2272</v>
      </c>
    </row>
    <row r="608">
      <c r="A608" s="234" t="s">
        <v>45</v>
      </c>
      <c r="B608" s="224">
        <v>46175.0</v>
      </c>
      <c r="C608" s="225" t="s">
        <v>148</v>
      </c>
      <c r="D608" s="213" t="s">
        <v>2273</v>
      </c>
      <c r="E608" s="12" t="s">
        <v>2274</v>
      </c>
      <c r="F608" s="226" t="s">
        <v>74</v>
      </c>
      <c r="G608" s="33" t="s">
        <v>2275</v>
      </c>
      <c r="H608" s="55" t="s">
        <v>25</v>
      </c>
      <c r="I608" s="221" t="s">
        <v>338</v>
      </c>
      <c r="J608" s="222">
        <v>46175.0</v>
      </c>
      <c r="K608" s="224">
        <v>46192.0</v>
      </c>
      <c r="L608" s="228">
        <v>2.0</v>
      </c>
      <c r="M608" s="228" t="s">
        <v>2276</v>
      </c>
    </row>
    <row r="609">
      <c r="A609" s="234" t="s">
        <v>108</v>
      </c>
      <c r="B609" s="224">
        <v>46175.0</v>
      </c>
      <c r="C609" s="225" t="s">
        <v>148</v>
      </c>
      <c r="D609" s="213" t="s">
        <v>2277</v>
      </c>
      <c r="E609" s="12" t="s">
        <v>2278</v>
      </c>
      <c r="F609" s="226" t="s">
        <v>74</v>
      </c>
      <c r="G609" s="33" t="s">
        <v>2279</v>
      </c>
      <c r="H609" s="55" t="s">
        <v>25</v>
      </c>
      <c r="I609" s="221" t="s">
        <v>338</v>
      </c>
      <c r="J609" s="222">
        <v>46175.0</v>
      </c>
      <c r="K609" s="223"/>
      <c r="L609" s="223"/>
      <c r="M609" s="228" t="s">
        <v>2280</v>
      </c>
    </row>
    <row r="610">
      <c r="A610" s="234" t="s">
        <v>67</v>
      </c>
      <c r="B610" s="224">
        <v>46175.0</v>
      </c>
      <c r="C610" s="225" t="s">
        <v>148</v>
      </c>
      <c r="D610" s="213" t="s">
        <v>2281</v>
      </c>
      <c r="E610" s="12" t="s">
        <v>2282</v>
      </c>
      <c r="F610" s="226" t="s">
        <v>74</v>
      </c>
      <c r="G610" s="33" t="s">
        <v>2283</v>
      </c>
      <c r="H610" s="55" t="s">
        <v>25</v>
      </c>
      <c r="I610" s="221" t="s">
        <v>338</v>
      </c>
      <c r="J610" s="222">
        <v>46175.0</v>
      </c>
      <c r="K610" s="223"/>
      <c r="L610" s="228">
        <v>3.0</v>
      </c>
      <c r="M610" s="228" t="s">
        <v>2284</v>
      </c>
    </row>
    <row r="611">
      <c r="A611" s="234" t="s">
        <v>108</v>
      </c>
      <c r="B611" s="224">
        <v>46175.0</v>
      </c>
      <c r="C611" s="225" t="s">
        <v>148</v>
      </c>
      <c r="D611" s="213" t="s">
        <v>1840</v>
      </c>
      <c r="E611" s="12" t="s">
        <v>1841</v>
      </c>
      <c r="F611" s="226" t="s">
        <v>74</v>
      </c>
      <c r="G611" s="33" t="s">
        <v>2285</v>
      </c>
      <c r="H611" s="55" t="s">
        <v>25</v>
      </c>
      <c r="I611" s="221" t="s">
        <v>74</v>
      </c>
      <c r="J611" s="222">
        <v>46179.0</v>
      </c>
      <c r="K611" s="223"/>
      <c r="L611" s="223"/>
      <c r="M611" s="228" t="s">
        <v>2286</v>
      </c>
    </row>
    <row r="612">
      <c r="A612" s="234" t="s">
        <v>1016</v>
      </c>
      <c r="B612" s="224">
        <v>46175.0</v>
      </c>
      <c r="C612" s="225" t="s">
        <v>148</v>
      </c>
      <c r="D612" s="213" t="s">
        <v>2287</v>
      </c>
      <c r="E612" s="12" t="s">
        <v>2288</v>
      </c>
      <c r="F612" s="226" t="s">
        <v>74</v>
      </c>
      <c r="G612" s="33" t="s">
        <v>2289</v>
      </c>
      <c r="H612" s="55" t="s">
        <v>25</v>
      </c>
      <c r="I612" s="221" t="s">
        <v>74</v>
      </c>
      <c r="J612" s="222">
        <v>46175.0</v>
      </c>
      <c r="K612" s="223"/>
      <c r="L612" s="223"/>
      <c r="M612" s="228" t="s">
        <v>2290</v>
      </c>
    </row>
    <row r="613">
      <c r="A613" s="234" t="s">
        <v>108</v>
      </c>
      <c r="B613" s="224">
        <v>46175.0</v>
      </c>
      <c r="C613" s="225" t="s">
        <v>148</v>
      </c>
      <c r="D613" s="213" t="s">
        <v>2291</v>
      </c>
      <c r="E613" s="12" t="s">
        <v>2292</v>
      </c>
      <c r="F613" s="226" t="s">
        <v>74</v>
      </c>
      <c r="G613" s="33" t="s">
        <v>2293</v>
      </c>
      <c r="H613" s="55" t="s">
        <v>25</v>
      </c>
      <c r="I613" s="221" t="s">
        <v>74</v>
      </c>
      <c r="J613" s="222">
        <v>46179.0</v>
      </c>
      <c r="K613" s="223"/>
      <c r="L613" s="223"/>
      <c r="M613" s="228" t="s">
        <v>2294</v>
      </c>
    </row>
    <row r="614">
      <c r="A614" s="234" t="s">
        <v>108</v>
      </c>
      <c r="B614" s="224">
        <v>46175.0</v>
      </c>
      <c r="C614" s="225" t="s">
        <v>148</v>
      </c>
      <c r="D614" s="213" t="s">
        <v>2295</v>
      </c>
      <c r="E614" s="12" t="s">
        <v>691</v>
      </c>
      <c r="F614" s="226" t="s">
        <v>74</v>
      </c>
      <c r="G614" s="33" t="s">
        <v>2296</v>
      </c>
      <c r="H614" s="55" t="s">
        <v>25</v>
      </c>
      <c r="I614" s="221" t="s">
        <v>338</v>
      </c>
      <c r="J614" s="222">
        <v>46175.0</v>
      </c>
      <c r="K614" s="223"/>
      <c r="L614" s="223"/>
      <c r="M614" s="228" t="s">
        <v>2297</v>
      </c>
    </row>
    <row r="615">
      <c r="A615" s="234" t="s">
        <v>108</v>
      </c>
      <c r="B615" s="224">
        <v>46175.0</v>
      </c>
      <c r="C615" s="225" t="s">
        <v>148</v>
      </c>
      <c r="D615" s="213" t="s">
        <v>837</v>
      </c>
      <c r="E615" s="12" t="s">
        <v>838</v>
      </c>
      <c r="F615" s="226" t="s">
        <v>74</v>
      </c>
      <c r="G615" s="33" t="s">
        <v>2298</v>
      </c>
      <c r="H615" s="55" t="s">
        <v>25</v>
      </c>
      <c r="I615" s="221" t="s">
        <v>74</v>
      </c>
      <c r="J615" s="222">
        <v>46175.0</v>
      </c>
      <c r="K615" s="223"/>
      <c r="L615" s="223"/>
      <c r="M615" s="228" t="s">
        <v>2299</v>
      </c>
    </row>
    <row r="616">
      <c r="A616" s="234" t="s">
        <v>108</v>
      </c>
      <c r="B616" s="224">
        <v>46175.0</v>
      </c>
      <c r="C616" s="225" t="s">
        <v>148</v>
      </c>
      <c r="D616" s="213" t="s">
        <v>2300</v>
      </c>
      <c r="E616" s="12" t="s">
        <v>2301</v>
      </c>
      <c r="F616" s="226" t="s">
        <v>74</v>
      </c>
      <c r="G616" s="33" t="s">
        <v>2302</v>
      </c>
      <c r="H616" s="55" t="s">
        <v>25</v>
      </c>
      <c r="I616" s="221" t="s">
        <v>74</v>
      </c>
      <c r="J616" s="222">
        <v>46175.0</v>
      </c>
      <c r="K616" s="223"/>
      <c r="L616" s="223"/>
      <c r="M616" s="228" t="s">
        <v>2303</v>
      </c>
    </row>
    <row r="617">
      <c r="A617" s="234" t="s">
        <v>67</v>
      </c>
      <c r="B617" s="224">
        <v>46175.0</v>
      </c>
      <c r="C617" s="225" t="s">
        <v>148</v>
      </c>
      <c r="D617" s="213" t="s">
        <v>2304</v>
      </c>
      <c r="E617" s="12" t="s">
        <v>2305</v>
      </c>
      <c r="F617" s="226" t="s">
        <v>74</v>
      </c>
      <c r="G617" s="33" t="s">
        <v>2306</v>
      </c>
      <c r="H617" s="55" t="s">
        <v>25</v>
      </c>
      <c r="I617" s="221" t="s">
        <v>74</v>
      </c>
      <c r="J617" s="222">
        <v>46175.0</v>
      </c>
      <c r="K617" s="223"/>
      <c r="L617" s="223"/>
      <c r="M617" s="228" t="s">
        <v>2307</v>
      </c>
    </row>
    <row r="618">
      <c r="A618" s="234" t="s">
        <v>45</v>
      </c>
      <c r="B618" s="224">
        <v>46175.0</v>
      </c>
      <c r="C618" s="225" t="s">
        <v>148</v>
      </c>
      <c r="D618" s="213" t="s">
        <v>2308</v>
      </c>
      <c r="E618" s="12" t="s">
        <v>2309</v>
      </c>
      <c r="F618" s="226" t="s">
        <v>74</v>
      </c>
      <c r="G618" s="33" t="s">
        <v>2310</v>
      </c>
      <c r="H618" s="55" t="s">
        <v>25</v>
      </c>
      <c r="I618" s="221" t="s">
        <v>74</v>
      </c>
      <c r="J618" s="222">
        <v>46175.0</v>
      </c>
      <c r="K618" s="224">
        <v>46192.0</v>
      </c>
      <c r="L618" s="228">
        <v>2.0</v>
      </c>
      <c r="M618" s="228" t="s">
        <v>2311</v>
      </c>
    </row>
    <row r="619">
      <c r="A619" s="234" t="s">
        <v>108</v>
      </c>
      <c r="B619" s="224">
        <v>46175.0</v>
      </c>
      <c r="C619" s="225" t="s">
        <v>148</v>
      </c>
      <c r="D619" s="213" t="s">
        <v>2312</v>
      </c>
      <c r="E619" s="12" t="s">
        <v>2313</v>
      </c>
      <c r="F619" s="226" t="s">
        <v>74</v>
      </c>
      <c r="G619" s="33" t="s">
        <v>2314</v>
      </c>
      <c r="H619" s="55" t="s">
        <v>25</v>
      </c>
      <c r="I619" s="221" t="s">
        <v>74</v>
      </c>
      <c r="J619" s="222">
        <v>46175.0</v>
      </c>
      <c r="K619" s="223"/>
      <c r="L619" s="223"/>
      <c r="M619" s="228" t="s">
        <v>2315</v>
      </c>
    </row>
    <row r="620">
      <c r="A620" s="234" t="s">
        <v>45</v>
      </c>
      <c r="B620" s="224">
        <v>46175.0</v>
      </c>
      <c r="C620" s="225" t="s">
        <v>148</v>
      </c>
      <c r="D620" s="213" t="s">
        <v>2316</v>
      </c>
      <c r="E620" s="12" t="s">
        <v>2317</v>
      </c>
      <c r="F620" s="226" t="s">
        <v>74</v>
      </c>
      <c r="G620" s="33" t="s">
        <v>2318</v>
      </c>
      <c r="H620" s="55" t="s">
        <v>25</v>
      </c>
      <c r="I620" s="221" t="s">
        <v>74</v>
      </c>
      <c r="J620" s="222">
        <v>46177.0</v>
      </c>
      <c r="K620" s="224">
        <v>46200.0</v>
      </c>
      <c r="L620" s="228">
        <v>2.0</v>
      </c>
      <c r="M620" s="228" t="s">
        <v>2319</v>
      </c>
    </row>
    <row r="621">
      <c r="A621" s="234" t="s">
        <v>108</v>
      </c>
      <c r="B621" s="224">
        <v>46175.0</v>
      </c>
      <c r="C621" s="225" t="s">
        <v>148</v>
      </c>
      <c r="D621" s="213" t="s">
        <v>2320</v>
      </c>
      <c r="E621" s="12" t="s">
        <v>2321</v>
      </c>
      <c r="F621" s="226" t="s">
        <v>74</v>
      </c>
      <c r="G621" s="33" t="s">
        <v>2322</v>
      </c>
      <c r="H621" s="55" t="s">
        <v>25</v>
      </c>
      <c r="I621" s="221" t="s">
        <v>74</v>
      </c>
      <c r="J621" s="222">
        <v>46175.0</v>
      </c>
      <c r="K621" s="223"/>
      <c r="L621" s="223"/>
      <c r="M621" s="228" t="s">
        <v>2323</v>
      </c>
    </row>
    <row r="622">
      <c r="A622" s="234" t="s">
        <v>815</v>
      </c>
      <c r="B622" s="224">
        <v>46175.0</v>
      </c>
      <c r="C622" s="225" t="s">
        <v>148</v>
      </c>
      <c r="D622" s="213" t="s">
        <v>1068</v>
      </c>
      <c r="E622" s="12" t="s">
        <v>1069</v>
      </c>
      <c r="F622" s="226" t="s">
        <v>74</v>
      </c>
      <c r="G622" s="33" t="s">
        <v>2324</v>
      </c>
      <c r="H622" s="55" t="s">
        <v>25</v>
      </c>
      <c r="I622" s="221" t="s">
        <v>74</v>
      </c>
      <c r="J622" s="222">
        <v>46179.0</v>
      </c>
      <c r="K622" s="223"/>
      <c r="L622" s="223"/>
      <c r="M622" s="228" t="s">
        <v>190</v>
      </c>
    </row>
    <row r="623">
      <c r="A623" s="234" t="s">
        <v>108</v>
      </c>
      <c r="B623" s="224">
        <v>46175.0</v>
      </c>
      <c r="C623" s="225" t="s">
        <v>148</v>
      </c>
      <c r="D623" s="213" t="s">
        <v>2325</v>
      </c>
      <c r="E623" s="12" t="s">
        <v>2326</v>
      </c>
      <c r="F623" s="226" t="s">
        <v>74</v>
      </c>
      <c r="G623" s="33" t="s">
        <v>2327</v>
      </c>
      <c r="H623" s="55" t="s">
        <v>25</v>
      </c>
      <c r="I623" s="221" t="s">
        <v>74</v>
      </c>
      <c r="J623" s="222">
        <v>46175.0</v>
      </c>
      <c r="K623" s="223"/>
      <c r="L623" s="223"/>
      <c r="M623" s="228" t="s">
        <v>2328</v>
      </c>
    </row>
    <row r="624">
      <c r="A624" s="234" t="s">
        <v>45</v>
      </c>
      <c r="B624" s="224">
        <v>46175.0</v>
      </c>
      <c r="C624" s="225" t="s">
        <v>221</v>
      </c>
      <c r="D624" s="213" t="s">
        <v>2329</v>
      </c>
      <c r="E624" s="12" t="s">
        <v>2330</v>
      </c>
      <c r="F624" s="226" t="s">
        <v>74</v>
      </c>
      <c r="G624" s="36" t="s">
        <v>2331</v>
      </c>
      <c r="H624" s="55"/>
      <c r="I624" s="221" t="s">
        <v>74</v>
      </c>
      <c r="J624" s="222">
        <v>46179.0</v>
      </c>
      <c r="K624" s="224">
        <v>46176.0</v>
      </c>
      <c r="L624" s="228">
        <v>2.0</v>
      </c>
      <c r="M624" s="228" t="s">
        <v>2332</v>
      </c>
    </row>
    <row r="625">
      <c r="A625" s="234" t="s">
        <v>815</v>
      </c>
      <c r="B625" s="224">
        <v>46175.0</v>
      </c>
      <c r="C625" s="225" t="s">
        <v>221</v>
      </c>
      <c r="D625" s="213" t="s">
        <v>2333</v>
      </c>
      <c r="E625" s="12" t="s">
        <v>2334</v>
      </c>
      <c r="F625" s="226" t="s">
        <v>74</v>
      </c>
      <c r="G625" s="33" t="s">
        <v>2335</v>
      </c>
      <c r="H625" s="55" t="s">
        <v>25</v>
      </c>
      <c r="I625" s="221" t="s">
        <v>74</v>
      </c>
      <c r="J625" s="222">
        <v>46179.0</v>
      </c>
      <c r="K625" s="223"/>
      <c r="L625" s="223"/>
      <c r="M625" s="228" t="s">
        <v>190</v>
      </c>
    </row>
    <row r="626">
      <c r="A626" s="234" t="s">
        <v>108</v>
      </c>
      <c r="B626" s="224">
        <v>46175.0</v>
      </c>
      <c r="C626" s="225" t="s">
        <v>916</v>
      </c>
      <c r="D626" s="213" t="s">
        <v>2336</v>
      </c>
      <c r="E626" s="12"/>
      <c r="F626" s="226" t="s">
        <v>338</v>
      </c>
      <c r="G626" s="33" t="s">
        <v>2337</v>
      </c>
      <c r="H626" s="55" t="s">
        <v>25</v>
      </c>
      <c r="I626" s="221" t="s">
        <v>83</v>
      </c>
      <c r="J626" s="222">
        <v>46205.0</v>
      </c>
      <c r="K626" s="223"/>
      <c r="L626" s="223"/>
      <c r="M626" s="228" t="s">
        <v>2338</v>
      </c>
    </row>
    <row r="627">
      <c r="A627" s="234" t="s">
        <v>815</v>
      </c>
      <c r="B627" s="224">
        <v>46176.0</v>
      </c>
      <c r="C627" s="225" t="s">
        <v>148</v>
      </c>
      <c r="D627" s="213" t="s">
        <v>2339</v>
      </c>
      <c r="E627" s="12" t="s">
        <v>2340</v>
      </c>
      <c r="F627" s="226"/>
      <c r="G627" s="33" t="s">
        <v>2341</v>
      </c>
      <c r="H627" s="55" t="s">
        <v>25</v>
      </c>
      <c r="I627" s="221" t="s">
        <v>74</v>
      </c>
      <c r="J627" s="222">
        <v>46177.0</v>
      </c>
      <c r="K627" s="223"/>
      <c r="L627" s="223"/>
      <c r="M627" s="228" t="s">
        <v>2342</v>
      </c>
    </row>
    <row r="628">
      <c r="A628" s="234" t="s">
        <v>815</v>
      </c>
      <c r="B628" s="224">
        <v>46176.0</v>
      </c>
      <c r="C628" s="225" t="s">
        <v>380</v>
      </c>
      <c r="D628" s="213" t="s">
        <v>2343</v>
      </c>
      <c r="E628" s="12" t="s">
        <v>2344</v>
      </c>
      <c r="F628" s="226"/>
      <c r="G628" s="33" t="s">
        <v>2345</v>
      </c>
      <c r="H628" s="55"/>
      <c r="I628" s="221"/>
      <c r="J628" s="222"/>
      <c r="K628" s="223"/>
      <c r="L628" s="223"/>
      <c r="M628" s="228"/>
    </row>
    <row r="629">
      <c r="A629" s="234" t="s">
        <v>108</v>
      </c>
      <c r="B629" s="224">
        <v>46177.0</v>
      </c>
      <c r="C629" s="225" t="s">
        <v>148</v>
      </c>
      <c r="D629" s="213" t="s">
        <v>2346</v>
      </c>
      <c r="E629" s="12" t="s">
        <v>2347</v>
      </c>
      <c r="F629" s="226" t="s">
        <v>74</v>
      </c>
      <c r="G629" s="33" t="s">
        <v>2348</v>
      </c>
      <c r="H629" s="55" t="s">
        <v>25</v>
      </c>
      <c r="I629" s="221" t="s">
        <v>74</v>
      </c>
      <c r="J629" s="222">
        <v>46177.0</v>
      </c>
      <c r="K629" s="223"/>
      <c r="L629" s="223"/>
      <c r="M629" s="228" t="s">
        <v>2349</v>
      </c>
    </row>
    <row r="630">
      <c r="A630" s="234" t="s">
        <v>108</v>
      </c>
      <c r="B630" s="224">
        <v>46177.0</v>
      </c>
      <c r="C630" s="225" t="s">
        <v>148</v>
      </c>
      <c r="D630" s="213" t="s">
        <v>2350</v>
      </c>
      <c r="E630" s="12" t="s">
        <v>2351</v>
      </c>
      <c r="F630" s="226" t="s">
        <v>74</v>
      </c>
      <c r="G630" s="33" t="s">
        <v>2352</v>
      </c>
      <c r="H630" s="55" t="s">
        <v>25</v>
      </c>
      <c r="I630" s="221" t="s">
        <v>74</v>
      </c>
      <c r="J630" s="222">
        <v>46177.0</v>
      </c>
      <c r="K630" s="223"/>
      <c r="L630" s="223"/>
      <c r="M630" s="228" t="s">
        <v>2353</v>
      </c>
    </row>
    <row r="631">
      <c r="A631" s="234" t="s">
        <v>45</v>
      </c>
      <c r="B631" s="224">
        <v>46177.0</v>
      </c>
      <c r="C631" s="225" t="s">
        <v>148</v>
      </c>
      <c r="D631" s="213" t="s">
        <v>2354</v>
      </c>
      <c r="E631" s="12" t="s">
        <v>2355</v>
      </c>
      <c r="F631" s="226" t="s">
        <v>74</v>
      </c>
      <c r="G631" s="33" t="s">
        <v>2356</v>
      </c>
      <c r="H631" s="55" t="s">
        <v>25</v>
      </c>
      <c r="I631" s="221" t="s">
        <v>74</v>
      </c>
      <c r="J631" s="222">
        <v>46179.0</v>
      </c>
      <c r="K631" s="223"/>
      <c r="L631" s="223"/>
      <c r="M631" s="228" t="s">
        <v>2357</v>
      </c>
    </row>
    <row r="632">
      <c r="A632" s="234" t="s">
        <v>108</v>
      </c>
      <c r="B632" s="224">
        <v>46177.0</v>
      </c>
      <c r="C632" s="225" t="s">
        <v>53</v>
      </c>
      <c r="D632" s="213" t="s">
        <v>2358</v>
      </c>
      <c r="E632" s="12" t="s">
        <v>2359</v>
      </c>
      <c r="F632" s="226" t="s">
        <v>74</v>
      </c>
      <c r="G632" s="33" t="s">
        <v>2360</v>
      </c>
      <c r="H632" s="55"/>
      <c r="I632" s="221" t="s">
        <v>74</v>
      </c>
      <c r="J632" s="222">
        <v>46179.0</v>
      </c>
      <c r="K632" s="223"/>
      <c r="L632" s="223"/>
      <c r="M632" s="228"/>
    </row>
    <row r="633">
      <c r="A633" s="234" t="s">
        <v>45</v>
      </c>
      <c r="B633" s="224">
        <v>46177.0</v>
      </c>
      <c r="C633" s="225" t="s">
        <v>53</v>
      </c>
      <c r="D633" s="213" t="s">
        <v>2361</v>
      </c>
      <c r="E633" s="12" t="s">
        <v>2362</v>
      </c>
      <c r="F633" s="226" t="s">
        <v>74</v>
      </c>
      <c r="G633" s="33" t="s">
        <v>2363</v>
      </c>
      <c r="H633" s="55"/>
      <c r="I633" s="221" t="s">
        <v>83</v>
      </c>
      <c r="J633" s="222">
        <v>46185.0</v>
      </c>
      <c r="K633" s="224">
        <v>46200.0</v>
      </c>
      <c r="L633" s="228">
        <v>3.0</v>
      </c>
      <c r="M633" s="228" t="s">
        <v>2364</v>
      </c>
    </row>
    <row r="634">
      <c r="A634" s="234" t="s">
        <v>108</v>
      </c>
      <c r="B634" s="224">
        <v>46177.0</v>
      </c>
      <c r="C634" s="225" t="s">
        <v>68</v>
      </c>
      <c r="D634" s="213" t="s">
        <v>1693</v>
      </c>
      <c r="E634" s="12" t="s">
        <v>2365</v>
      </c>
      <c r="F634" s="226" t="s">
        <v>74</v>
      </c>
      <c r="G634" s="33" t="s">
        <v>2366</v>
      </c>
      <c r="H634" s="55" t="s">
        <v>25</v>
      </c>
      <c r="I634" s="221" t="s">
        <v>74</v>
      </c>
      <c r="J634" s="222">
        <v>46177.0</v>
      </c>
      <c r="K634" s="223"/>
      <c r="L634" s="223"/>
      <c r="M634" s="228" t="s">
        <v>2367</v>
      </c>
    </row>
    <row r="635">
      <c r="A635" s="234" t="s">
        <v>45</v>
      </c>
      <c r="B635" s="224">
        <v>46177.0</v>
      </c>
      <c r="C635" s="225" t="s">
        <v>68</v>
      </c>
      <c r="D635" s="213" t="s">
        <v>2368</v>
      </c>
      <c r="E635" s="12" t="s">
        <v>2369</v>
      </c>
      <c r="F635" s="226" t="s">
        <v>338</v>
      </c>
      <c r="G635" s="33"/>
      <c r="H635" s="55" t="s">
        <v>25</v>
      </c>
      <c r="I635" s="221" t="s">
        <v>74</v>
      </c>
      <c r="J635" s="222">
        <v>46179.0</v>
      </c>
      <c r="K635" s="224">
        <v>46190.0</v>
      </c>
      <c r="L635" s="228">
        <v>2.0</v>
      </c>
      <c r="M635" s="199" t="s">
        <v>2370</v>
      </c>
    </row>
    <row r="636">
      <c r="A636" s="234" t="s">
        <v>45</v>
      </c>
      <c r="B636" s="224">
        <v>46177.0</v>
      </c>
      <c r="C636" s="225" t="s">
        <v>68</v>
      </c>
      <c r="D636" s="213" t="s">
        <v>2371</v>
      </c>
      <c r="E636" s="12" t="s">
        <v>2372</v>
      </c>
      <c r="F636" s="226" t="s">
        <v>83</v>
      </c>
      <c r="G636" s="33" t="s">
        <v>2373</v>
      </c>
      <c r="H636" s="55" t="s">
        <v>25</v>
      </c>
      <c r="I636" s="221" t="s">
        <v>74</v>
      </c>
      <c r="J636" s="222">
        <v>46177.0</v>
      </c>
      <c r="K636" s="223"/>
      <c r="L636" s="223"/>
      <c r="M636" s="228" t="s">
        <v>2374</v>
      </c>
    </row>
    <row r="637">
      <c r="A637" s="234" t="s">
        <v>67</v>
      </c>
      <c r="B637" s="224">
        <v>46178.0</v>
      </c>
      <c r="C637" s="225" t="s">
        <v>148</v>
      </c>
      <c r="D637" s="213" t="s">
        <v>2375</v>
      </c>
      <c r="E637" s="12" t="s">
        <v>2376</v>
      </c>
      <c r="F637" s="226" t="s">
        <v>74</v>
      </c>
      <c r="G637" s="33" t="s">
        <v>2377</v>
      </c>
      <c r="H637" s="55" t="s">
        <v>25</v>
      </c>
      <c r="I637" s="221" t="s">
        <v>74</v>
      </c>
      <c r="J637" s="222">
        <v>46179.0</v>
      </c>
      <c r="K637" s="223"/>
      <c r="L637" s="223"/>
      <c r="M637" s="228" t="s">
        <v>2378</v>
      </c>
    </row>
    <row r="638">
      <c r="A638" s="234" t="s">
        <v>108</v>
      </c>
      <c r="B638" s="224">
        <v>46178.0</v>
      </c>
      <c r="C638" s="225" t="s">
        <v>148</v>
      </c>
      <c r="D638" s="213" t="s">
        <v>573</v>
      </c>
      <c r="E638" s="12" t="s">
        <v>574</v>
      </c>
      <c r="F638" s="226" t="s">
        <v>74</v>
      </c>
      <c r="G638" s="33" t="s">
        <v>2379</v>
      </c>
      <c r="H638" s="55" t="s">
        <v>25</v>
      </c>
      <c r="I638" s="221" t="s">
        <v>74</v>
      </c>
      <c r="J638" s="222">
        <v>46179.0</v>
      </c>
      <c r="K638" s="223"/>
      <c r="L638" s="223"/>
      <c r="M638" s="228" t="s">
        <v>2380</v>
      </c>
    </row>
    <row r="639">
      <c r="A639" s="234" t="s">
        <v>67</v>
      </c>
      <c r="B639" s="224">
        <v>46178.0</v>
      </c>
      <c r="C639" s="225" t="s">
        <v>53</v>
      </c>
      <c r="D639" s="213" t="s">
        <v>2381</v>
      </c>
      <c r="E639" s="12" t="s">
        <v>2382</v>
      </c>
      <c r="F639" s="226"/>
      <c r="G639" s="33"/>
      <c r="H639" s="55" t="s">
        <v>25</v>
      </c>
      <c r="I639" s="221" t="s">
        <v>74</v>
      </c>
      <c r="J639" s="222">
        <v>46179.0</v>
      </c>
      <c r="K639" s="223"/>
      <c r="L639" s="223"/>
      <c r="M639" s="228" t="s">
        <v>2383</v>
      </c>
    </row>
    <row r="640">
      <c r="A640" s="234" t="s">
        <v>815</v>
      </c>
      <c r="B640" s="224">
        <v>46178.0</v>
      </c>
      <c r="C640" s="225" t="s">
        <v>68</v>
      </c>
      <c r="D640" s="213" t="s">
        <v>2384</v>
      </c>
      <c r="E640" s="12" t="s">
        <v>2385</v>
      </c>
      <c r="F640" s="226" t="s">
        <v>83</v>
      </c>
      <c r="G640" s="33" t="s">
        <v>2386</v>
      </c>
      <c r="H640" s="55" t="s">
        <v>25</v>
      </c>
      <c r="I640" s="221" t="s">
        <v>74</v>
      </c>
      <c r="J640" s="222">
        <v>46179.0</v>
      </c>
      <c r="K640" s="223"/>
      <c r="L640" s="223"/>
      <c r="M640" s="228" t="s">
        <v>190</v>
      </c>
    </row>
    <row r="641">
      <c r="A641" s="234" t="s">
        <v>815</v>
      </c>
      <c r="B641" s="224">
        <v>46179.0</v>
      </c>
      <c r="C641" s="225" t="s">
        <v>148</v>
      </c>
      <c r="D641" s="213" t="s">
        <v>2387</v>
      </c>
      <c r="E641" s="12" t="s">
        <v>2388</v>
      </c>
      <c r="F641" s="226" t="s">
        <v>74</v>
      </c>
      <c r="G641" s="33" t="s">
        <v>2389</v>
      </c>
      <c r="H641" s="55" t="s">
        <v>25</v>
      </c>
      <c r="I641" s="221" t="s">
        <v>74</v>
      </c>
      <c r="J641" s="222">
        <v>46179.0</v>
      </c>
      <c r="K641" s="223"/>
      <c r="L641" s="223"/>
      <c r="M641" s="228" t="s">
        <v>182</v>
      </c>
    </row>
    <row r="642">
      <c r="A642" s="234" t="s">
        <v>108</v>
      </c>
      <c r="B642" s="224">
        <v>46179.0</v>
      </c>
      <c r="C642" s="225" t="s">
        <v>148</v>
      </c>
      <c r="D642" s="213" t="s">
        <v>2390</v>
      </c>
      <c r="E642" s="12" t="s">
        <v>2391</v>
      </c>
      <c r="F642" s="226" t="s">
        <v>74</v>
      </c>
      <c r="G642" s="33" t="s">
        <v>2392</v>
      </c>
      <c r="H642" s="55" t="s">
        <v>25</v>
      </c>
      <c r="I642" s="221" t="s">
        <v>74</v>
      </c>
      <c r="J642" s="222">
        <v>46179.0</v>
      </c>
      <c r="K642" s="223"/>
      <c r="L642" s="223"/>
      <c r="M642" s="228" t="s">
        <v>2393</v>
      </c>
    </row>
    <row r="643">
      <c r="A643" s="234" t="s">
        <v>815</v>
      </c>
      <c r="B643" s="224">
        <v>46179.0</v>
      </c>
      <c r="C643" s="225" t="s">
        <v>148</v>
      </c>
      <c r="D643" s="213" t="s">
        <v>2394</v>
      </c>
      <c r="E643" s="12" t="s">
        <v>2395</v>
      </c>
      <c r="F643" s="226" t="s">
        <v>74</v>
      </c>
      <c r="G643" s="33" t="s">
        <v>2396</v>
      </c>
      <c r="H643" s="55" t="s">
        <v>25</v>
      </c>
      <c r="I643" s="221" t="s">
        <v>74</v>
      </c>
      <c r="J643" s="222">
        <v>46179.0</v>
      </c>
      <c r="K643" s="223"/>
      <c r="L643" s="223"/>
      <c r="M643" s="228" t="s">
        <v>2397</v>
      </c>
    </row>
    <row r="644">
      <c r="A644" s="234" t="s">
        <v>67</v>
      </c>
      <c r="B644" s="224">
        <v>46182.0</v>
      </c>
      <c r="C644" s="225" t="s">
        <v>221</v>
      </c>
      <c r="D644" s="213" t="s">
        <v>2398</v>
      </c>
      <c r="E644" s="12" t="s">
        <v>2399</v>
      </c>
      <c r="F644" s="226" t="s">
        <v>74</v>
      </c>
      <c r="G644" s="33" t="s">
        <v>2400</v>
      </c>
      <c r="H644" s="55"/>
      <c r="I644" s="221" t="s">
        <v>74</v>
      </c>
      <c r="J644" s="222">
        <v>46182.0</v>
      </c>
      <c r="K644" s="223"/>
      <c r="L644" s="223"/>
      <c r="M644" s="199" t="s">
        <v>2401</v>
      </c>
    </row>
    <row r="645">
      <c r="A645" s="234" t="s">
        <v>67</v>
      </c>
      <c r="B645" s="224">
        <v>46182.0</v>
      </c>
      <c r="C645" s="225" t="s">
        <v>53</v>
      </c>
      <c r="D645" s="213" t="s">
        <v>2402</v>
      </c>
      <c r="E645" s="12" t="s">
        <v>2403</v>
      </c>
      <c r="F645" s="226"/>
      <c r="G645" s="33" t="s">
        <v>2404</v>
      </c>
      <c r="H645" s="55"/>
      <c r="I645" s="221" t="s">
        <v>83</v>
      </c>
      <c r="J645" s="222">
        <v>46184.0</v>
      </c>
      <c r="K645" s="223"/>
      <c r="L645" s="223"/>
      <c r="M645" s="228" t="s">
        <v>2405</v>
      </c>
    </row>
    <row r="646">
      <c r="A646" s="234" t="s">
        <v>108</v>
      </c>
      <c r="B646" s="224">
        <v>46182.0</v>
      </c>
      <c r="C646" s="225" t="s">
        <v>53</v>
      </c>
      <c r="D646" s="213" t="s">
        <v>2406</v>
      </c>
      <c r="E646" s="12" t="s">
        <v>2407</v>
      </c>
      <c r="F646" s="226" t="s">
        <v>74</v>
      </c>
      <c r="G646" s="33" t="s">
        <v>2408</v>
      </c>
      <c r="H646" s="55"/>
      <c r="I646" s="221" t="s">
        <v>74</v>
      </c>
      <c r="J646" s="222">
        <v>46182.0</v>
      </c>
      <c r="K646" s="223"/>
      <c r="L646" s="223"/>
      <c r="M646" s="228" t="s">
        <v>2409</v>
      </c>
    </row>
    <row r="647">
      <c r="A647" s="234" t="s">
        <v>815</v>
      </c>
      <c r="B647" s="224">
        <v>46182.0</v>
      </c>
      <c r="C647" s="225" t="s">
        <v>148</v>
      </c>
      <c r="D647" s="213" t="s">
        <v>2410</v>
      </c>
      <c r="E647" s="12" t="s">
        <v>2411</v>
      </c>
      <c r="F647" s="226" t="s">
        <v>74</v>
      </c>
      <c r="G647" s="33" t="s">
        <v>2412</v>
      </c>
      <c r="H647" s="55" t="s">
        <v>25</v>
      </c>
      <c r="I647" s="221" t="s">
        <v>74</v>
      </c>
      <c r="J647" s="222">
        <v>46182.0</v>
      </c>
      <c r="K647" s="223"/>
      <c r="L647" s="223"/>
      <c r="M647" s="228" t="s">
        <v>2413</v>
      </c>
    </row>
    <row r="648">
      <c r="A648" s="234" t="s">
        <v>815</v>
      </c>
      <c r="B648" s="224">
        <v>46182.0</v>
      </c>
      <c r="C648" s="225" t="s">
        <v>148</v>
      </c>
      <c r="D648" s="213" t="s">
        <v>2414</v>
      </c>
      <c r="E648" s="12" t="s">
        <v>2415</v>
      </c>
      <c r="F648" s="226" t="s">
        <v>74</v>
      </c>
      <c r="G648" s="33" t="s">
        <v>2416</v>
      </c>
      <c r="H648" s="55" t="s">
        <v>25</v>
      </c>
      <c r="I648" s="221"/>
      <c r="J648" s="222"/>
      <c r="K648" s="223"/>
      <c r="L648" s="223"/>
      <c r="M648" s="228"/>
    </row>
    <row r="649">
      <c r="A649" s="234" t="s">
        <v>815</v>
      </c>
      <c r="B649" s="224">
        <v>46182.0</v>
      </c>
      <c r="C649" s="225" t="s">
        <v>148</v>
      </c>
      <c r="D649" s="213" t="s">
        <v>2417</v>
      </c>
      <c r="E649" s="12" t="s">
        <v>2418</v>
      </c>
      <c r="F649" s="226" t="s">
        <v>74</v>
      </c>
      <c r="G649" s="33" t="s">
        <v>2419</v>
      </c>
      <c r="H649" s="55" t="s">
        <v>25</v>
      </c>
      <c r="I649" s="221" t="s">
        <v>74</v>
      </c>
      <c r="J649" s="222">
        <v>46183.0</v>
      </c>
      <c r="K649" s="223"/>
      <c r="L649" s="223"/>
      <c r="M649" s="228" t="s">
        <v>2420</v>
      </c>
    </row>
    <row r="650">
      <c r="A650" s="234" t="s">
        <v>815</v>
      </c>
      <c r="B650" s="224">
        <v>46182.0</v>
      </c>
      <c r="C650" s="225" t="s">
        <v>148</v>
      </c>
      <c r="D650" s="213" t="s">
        <v>2421</v>
      </c>
      <c r="E650" s="12" t="s">
        <v>2422</v>
      </c>
      <c r="F650" s="226" t="s">
        <v>74</v>
      </c>
      <c r="G650" s="33" t="s">
        <v>2423</v>
      </c>
      <c r="H650" s="55" t="s">
        <v>25</v>
      </c>
      <c r="I650" s="221" t="s">
        <v>74</v>
      </c>
      <c r="J650" s="222">
        <v>46182.0</v>
      </c>
      <c r="K650" s="223"/>
      <c r="L650" s="223"/>
      <c r="M650" s="228" t="s">
        <v>182</v>
      </c>
    </row>
    <row r="651">
      <c r="A651" s="234" t="s">
        <v>108</v>
      </c>
      <c r="B651" s="224">
        <v>46182.0</v>
      </c>
      <c r="C651" s="225" t="s">
        <v>148</v>
      </c>
      <c r="D651" s="213" t="s">
        <v>2424</v>
      </c>
      <c r="E651" s="12" t="s">
        <v>2425</v>
      </c>
      <c r="F651" s="226" t="s">
        <v>74</v>
      </c>
      <c r="G651" s="33" t="s">
        <v>2426</v>
      </c>
      <c r="H651" s="55" t="s">
        <v>25</v>
      </c>
      <c r="I651" s="221" t="s">
        <v>74</v>
      </c>
      <c r="J651" s="222">
        <v>46183.0</v>
      </c>
      <c r="K651" s="223"/>
      <c r="L651" s="223"/>
      <c r="M651" s="228" t="s">
        <v>2427</v>
      </c>
    </row>
    <row r="652">
      <c r="A652" s="234" t="s">
        <v>815</v>
      </c>
      <c r="B652" s="224">
        <v>46182.0</v>
      </c>
      <c r="C652" s="225" t="s">
        <v>148</v>
      </c>
      <c r="D652" s="213" t="s">
        <v>2428</v>
      </c>
      <c r="E652" s="12" t="s">
        <v>2429</v>
      </c>
      <c r="F652" s="226" t="s">
        <v>74</v>
      </c>
      <c r="G652" s="33" t="s">
        <v>2430</v>
      </c>
      <c r="H652" s="55" t="s">
        <v>25</v>
      </c>
      <c r="I652" s="221" t="s">
        <v>74</v>
      </c>
      <c r="J652" s="113" t="s">
        <v>2431</v>
      </c>
      <c r="K652" s="223"/>
      <c r="L652" s="223"/>
      <c r="M652" s="228" t="s">
        <v>2432</v>
      </c>
    </row>
    <row r="653">
      <c r="A653" s="234" t="s">
        <v>815</v>
      </c>
      <c r="B653" s="224">
        <v>46182.0</v>
      </c>
      <c r="C653" s="225" t="s">
        <v>148</v>
      </c>
      <c r="D653" s="213" t="s">
        <v>2433</v>
      </c>
      <c r="E653" s="12" t="s">
        <v>2434</v>
      </c>
      <c r="F653" s="226" t="s">
        <v>74</v>
      </c>
      <c r="G653" s="33" t="s">
        <v>2435</v>
      </c>
      <c r="H653" s="55" t="s">
        <v>25</v>
      </c>
      <c r="I653" s="221" t="s">
        <v>74</v>
      </c>
      <c r="J653" s="222">
        <v>46182.0</v>
      </c>
      <c r="K653" s="223"/>
      <c r="L653" s="223"/>
      <c r="M653" s="228" t="s">
        <v>190</v>
      </c>
    </row>
    <row r="654">
      <c r="A654" s="234" t="s">
        <v>815</v>
      </c>
      <c r="B654" s="224">
        <v>46182.0</v>
      </c>
      <c r="C654" s="225" t="s">
        <v>53</v>
      </c>
      <c r="D654" s="213" t="s">
        <v>2436</v>
      </c>
      <c r="E654" s="12" t="s">
        <v>2437</v>
      </c>
      <c r="F654" s="226" t="s">
        <v>74</v>
      </c>
      <c r="G654" s="33" t="s">
        <v>2438</v>
      </c>
      <c r="H654" s="55"/>
      <c r="I654" s="221" t="s">
        <v>74</v>
      </c>
      <c r="J654" s="222">
        <v>46183.0</v>
      </c>
      <c r="K654" s="223"/>
      <c r="L654" s="223"/>
      <c r="M654" s="228" t="s">
        <v>182</v>
      </c>
    </row>
    <row r="655">
      <c r="A655" s="234" t="s">
        <v>45</v>
      </c>
      <c r="B655" s="224">
        <v>46182.0</v>
      </c>
      <c r="C655" s="225" t="s">
        <v>380</v>
      </c>
      <c r="D655" s="213" t="s">
        <v>2439</v>
      </c>
      <c r="E655" s="12" t="s">
        <v>2440</v>
      </c>
      <c r="F655" s="226"/>
      <c r="G655" s="33" t="s">
        <v>2441</v>
      </c>
      <c r="H655" s="55"/>
      <c r="I655" s="221" t="s">
        <v>74</v>
      </c>
      <c r="J655" s="222">
        <v>46182.0</v>
      </c>
      <c r="K655" s="223"/>
      <c r="L655" s="223"/>
      <c r="M655" s="228" t="s">
        <v>2442</v>
      </c>
    </row>
    <row r="656">
      <c r="A656" s="234" t="s">
        <v>815</v>
      </c>
      <c r="B656" s="224">
        <v>46182.0</v>
      </c>
      <c r="C656" s="225" t="s">
        <v>53</v>
      </c>
      <c r="D656" s="213" t="s">
        <v>2443</v>
      </c>
      <c r="E656" s="12" t="s">
        <v>2444</v>
      </c>
      <c r="F656" s="226" t="s">
        <v>74</v>
      </c>
      <c r="G656" s="33" t="s">
        <v>2445</v>
      </c>
      <c r="H656" s="55" t="s">
        <v>25</v>
      </c>
      <c r="I656" s="221" t="s">
        <v>74</v>
      </c>
      <c r="J656" s="222">
        <v>46182.0</v>
      </c>
      <c r="K656" s="228" t="s">
        <v>2431</v>
      </c>
      <c r="L656" s="223"/>
      <c r="M656" s="228" t="s">
        <v>2446</v>
      </c>
    </row>
    <row r="657">
      <c r="A657" s="234" t="s">
        <v>815</v>
      </c>
      <c r="B657" s="224">
        <v>46182.0</v>
      </c>
      <c r="C657" s="225" t="s">
        <v>148</v>
      </c>
      <c r="D657" s="213" t="s">
        <v>2447</v>
      </c>
      <c r="E657" s="12" t="s">
        <v>2448</v>
      </c>
      <c r="F657" s="226" t="s">
        <v>74</v>
      </c>
      <c r="G657" s="33" t="s">
        <v>2449</v>
      </c>
      <c r="H657" s="55" t="s">
        <v>25</v>
      </c>
      <c r="I657" s="221" t="s">
        <v>74</v>
      </c>
      <c r="J657" s="222">
        <v>46182.0</v>
      </c>
      <c r="K657" s="223"/>
      <c r="L657" s="223"/>
      <c r="M657" s="228" t="s">
        <v>190</v>
      </c>
    </row>
    <row r="658">
      <c r="A658" s="234" t="s">
        <v>108</v>
      </c>
      <c r="B658" s="224">
        <v>46183.0</v>
      </c>
      <c r="C658" s="225" t="s">
        <v>53</v>
      </c>
      <c r="D658" s="213" t="s">
        <v>2450</v>
      </c>
      <c r="E658" s="12" t="s">
        <v>2451</v>
      </c>
      <c r="F658" s="226"/>
      <c r="G658" s="36" t="s">
        <v>2452</v>
      </c>
      <c r="H658" s="55"/>
      <c r="I658" s="221" t="s">
        <v>74</v>
      </c>
      <c r="J658" s="222">
        <v>46183.0</v>
      </c>
      <c r="K658" s="223"/>
      <c r="L658" s="223"/>
      <c r="M658" s="228" t="s">
        <v>2453</v>
      </c>
    </row>
    <row r="659">
      <c r="A659" s="234" t="s">
        <v>45</v>
      </c>
      <c r="B659" s="224">
        <v>46183.0</v>
      </c>
      <c r="C659" s="225" t="s">
        <v>53</v>
      </c>
      <c r="D659" s="213" t="s">
        <v>2454</v>
      </c>
      <c r="E659" s="12" t="s">
        <v>2455</v>
      </c>
      <c r="F659" s="226"/>
      <c r="G659" s="33" t="s">
        <v>2456</v>
      </c>
      <c r="H659" s="55"/>
      <c r="I659" s="221" t="s">
        <v>74</v>
      </c>
      <c r="J659" s="222">
        <v>46183.0</v>
      </c>
      <c r="K659" s="223"/>
      <c r="L659" s="223"/>
      <c r="M659" s="228" t="s">
        <v>2457</v>
      </c>
    </row>
    <row r="660">
      <c r="A660" s="234" t="s">
        <v>67</v>
      </c>
      <c r="B660" s="224">
        <v>46183.0</v>
      </c>
      <c r="C660" s="225" t="s">
        <v>53</v>
      </c>
      <c r="D660" s="213" t="s">
        <v>2458</v>
      </c>
      <c r="E660" s="12" t="s">
        <v>2459</v>
      </c>
      <c r="F660" s="226"/>
      <c r="G660" s="33" t="s">
        <v>2460</v>
      </c>
      <c r="H660" s="55"/>
      <c r="I660" s="221" t="s">
        <v>74</v>
      </c>
      <c r="J660" s="222">
        <v>46183.0</v>
      </c>
      <c r="K660" s="223"/>
      <c r="L660" s="223"/>
      <c r="M660" s="228" t="s">
        <v>2461</v>
      </c>
    </row>
    <row r="661">
      <c r="A661" s="234" t="s">
        <v>815</v>
      </c>
      <c r="B661" s="224">
        <v>46184.0</v>
      </c>
      <c r="C661" s="225" t="s">
        <v>148</v>
      </c>
      <c r="D661" s="213" t="s">
        <v>2462</v>
      </c>
      <c r="E661" s="303">
        <f>447518845569</f>
        <v>447518845569</v>
      </c>
      <c r="F661" s="226"/>
      <c r="G661" s="33" t="s">
        <v>2463</v>
      </c>
      <c r="H661" s="55"/>
      <c r="I661" s="221"/>
      <c r="J661" s="113" t="s">
        <v>2464</v>
      </c>
      <c r="K661" s="228" t="s">
        <v>2431</v>
      </c>
      <c r="L661" s="223"/>
      <c r="M661" s="310" t="s">
        <v>2431</v>
      </c>
    </row>
    <row r="662">
      <c r="A662" s="234" t="s">
        <v>45</v>
      </c>
      <c r="B662" s="224">
        <v>46184.0</v>
      </c>
      <c r="C662" s="225" t="s">
        <v>68</v>
      </c>
      <c r="D662" s="36" t="s">
        <v>2465</v>
      </c>
      <c r="E662" s="12" t="s">
        <v>2466</v>
      </c>
      <c r="F662" s="226"/>
      <c r="G662" s="33" t="s">
        <v>2467</v>
      </c>
      <c r="H662" s="55" t="s">
        <v>25</v>
      </c>
      <c r="I662" s="221" t="s">
        <v>83</v>
      </c>
      <c r="J662" s="222">
        <v>46186.0</v>
      </c>
      <c r="K662" s="223"/>
      <c r="L662" s="223"/>
      <c r="M662" s="228" t="s">
        <v>2468</v>
      </c>
    </row>
    <row r="663">
      <c r="A663" s="234" t="s">
        <v>815</v>
      </c>
      <c r="B663" s="224">
        <v>46185.0</v>
      </c>
      <c r="C663" s="225" t="s">
        <v>148</v>
      </c>
      <c r="D663" s="213" t="s">
        <v>2469</v>
      </c>
      <c r="E663" s="12" t="s">
        <v>2470</v>
      </c>
      <c r="F663" s="226"/>
      <c r="G663" s="33" t="s">
        <v>2471</v>
      </c>
      <c r="H663" s="55" t="s">
        <v>25</v>
      </c>
      <c r="I663" s="221" t="s">
        <v>338</v>
      </c>
      <c r="J663" s="222">
        <v>46186.0</v>
      </c>
      <c r="K663" s="228" t="s">
        <v>2431</v>
      </c>
      <c r="L663" s="223"/>
      <c r="M663" s="228" t="s">
        <v>2472</v>
      </c>
    </row>
    <row r="664">
      <c r="A664" s="234" t="s">
        <v>45</v>
      </c>
      <c r="B664" s="224">
        <v>46185.0</v>
      </c>
      <c r="C664" s="225" t="s">
        <v>148</v>
      </c>
      <c r="D664" s="213" t="s">
        <v>2473</v>
      </c>
      <c r="E664" s="12" t="s">
        <v>2474</v>
      </c>
      <c r="F664" s="226"/>
      <c r="G664" s="33" t="s">
        <v>2475</v>
      </c>
      <c r="H664" s="55" t="s">
        <v>25</v>
      </c>
      <c r="I664" s="221" t="s">
        <v>338</v>
      </c>
      <c r="J664" s="222">
        <v>46186.0</v>
      </c>
      <c r="K664" s="223"/>
      <c r="L664" s="223"/>
      <c r="M664" s="228" t="s">
        <v>2476</v>
      </c>
    </row>
    <row r="665">
      <c r="A665" s="234" t="s">
        <v>108</v>
      </c>
      <c r="B665" s="224">
        <v>46185.0</v>
      </c>
      <c r="C665" s="225" t="s">
        <v>148</v>
      </c>
      <c r="D665" s="213" t="s">
        <v>2477</v>
      </c>
      <c r="E665" s="12" t="s">
        <v>2478</v>
      </c>
      <c r="F665" s="226"/>
      <c r="G665" s="33" t="s">
        <v>2479</v>
      </c>
      <c r="H665" s="55" t="s">
        <v>25</v>
      </c>
      <c r="I665" s="221" t="s">
        <v>338</v>
      </c>
      <c r="J665" s="222">
        <v>46186.0</v>
      </c>
      <c r="K665" s="223"/>
      <c r="L665" s="223"/>
      <c r="M665" s="228" t="s">
        <v>2480</v>
      </c>
    </row>
    <row r="666">
      <c r="A666" s="234" t="s">
        <v>45</v>
      </c>
      <c r="B666" s="224">
        <v>46185.0</v>
      </c>
      <c r="C666" s="225" t="s">
        <v>68</v>
      </c>
      <c r="D666" s="213" t="s">
        <v>294</v>
      </c>
      <c r="E666" s="12" t="s">
        <v>2481</v>
      </c>
      <c r="F666" s="226"/>
      <c r="G666" s="33" t="s">
        <v>2482</v>
      </c>
      <c r="H666" s="55" t="s">
        <v>25</v>
      </c>
      <c r="I666" s="221" t="s">
        <v>338</v>
      </c>
      <c r="J666" s="222">
        <v>46186.0</v>
      </c>
      <c r="K666" s="223"/>
      <c r="L666" s="223"/>
      <c r="M666" s="228" t="s">
        <v>2483</v>
      </c>
    </row>
    <row r="667">
      <c r="A667" s="234" t="s">
        <v>45</v>
      </c>
      <c r="B667" s="224">
        <v>46186.0</v>
      </c>
      <c r="C667" s="225" t="s">
        <v>53</v>
      </c>
      <c r="D667" s="213" t="s">
        <v>2484</v>
      </c>
      <c r="E667" s="12" t="s">
        <v>2485</v>
      </c>
      <c r="F667" s="226"/>
      <c r="G667" s="33" t="s">
        <v>2486</v>
      </c>
      <c r="H667" s="55" t="s">
        <v>25</v>
      </c>
      <c r="I667" s="221" t="s">
        <v>83</v>
      </c>
      <c r="J667" s="222">
        <v>46186.0</v>
      </c>
      <c r="K667" s="224">
        <v>46191.0</v>
      </c>
      <c r="L667" s="228">
        <v>2.0</v>
      </c>
      <c r="M667" s="199" t="s">
        <v>2487</v>
      </c>
    </row>
    <row r="668">
      <c r="A668" s="234" t="s">
        <v>67</v>
      </c>
      <c r="B668" s="224">
        <v>46186.0</v>
      </c>
      <c r="C668" s="225" t="s">
        <v>148</v>
      </c>
      <c r="D668" s="213" t="s">
        <v>2488</v>
      </c>
      <c r="E668" s="12" t="s">
        <v>2489</v>
      </c>
      <c r="F668" s="226"/>
      <c r="G668" s="33" t="s">
        <v>2490</v>
      </c>
      <c r="H668" s="55" t="s">
        <v>25</v>
      </c>
      <c r="I668" s="221" t="s">
        <v>338</v>
      </c>
      <c r="J668" s="222">
        <v>46186.0</v>
      </c>
      <c r="K668" s="223"/>
      <c r="L668" s="223"/>
      <c r="M668" s="228" t="s">
        <v>2491</v>
      </c>
    </row>
    <row r="669">
      <c r="A669" s="234" t="s">
        <v>45</v>
      </c>
      <c r="B669" s="224">
        <v>46186.0</v>
      </c>
      <c r="C669" s="225" t="s">
        <v>148</v>
      </c>
      <c r="D669" s="36" t="s">
        <v>2492</v>
      </c>
      <c r="E669" s="12" t="s">
        <v>2493</v>
      </c>
      <c r="F669" s="226"/>
      <c r="G669" s="33" t="s">
        <v>2494</v>
      </c>
      <c r="H669" s="55" t="s">
        <v>25</v>
      </c>
      <c r="I669" s="221" t="s">
        <v>338</v>
      </c>
      <c r="J669" s="222">
        <v>46186.0</v>
      </c>
      <c r="K669" s="224">
        <v>46214.0</v>
      </c>
      <c r="L669" s="228">
        <v>1.0</v>
      </c>
      <c r="M669" s="228" t="s">
        <v>2495</v>
      </c>
    </row>
    <row r="670">
      <c r="A670" s="234" t="s">
        <v>815</v>
      </c>
      <c r="B670" s="224">
        <v>46186.0</v>
      </c>
      <c r="C670" s="225" t="s">
        <v>148</v>
      </c>
      <c r="D670" s="213" t="s">
        <v>2496</v>
      </c>
      <c r="E670" s="12" t="s">
        <v>2497</v>
      </c>
      <c r="F670" s="226"/>
      <c r="G670" s="33" t="s">
        <v>2498</v>
      </c>
      <c r="H670" s="55" t="s">
        <v>25</v>
      </c>
      <c r="I670" s="221" t="s">
        <v>338</v>
      </c>
      <c r="J670" s="222">
        <v>46186.0</v>
      </c>
      <c r="K670" s="223"/>
      <c r="L670" s="223"/>
      <c r="M670" s="228" t="s">
        <v>182</v>
      </c>
    </row>
    <row r="671">
      <c r="A671" s="234" t="s">
        <v>815</v>
      </c>
      <c r="B671" s="224">
        <v>46186.0</v>
      </c>
      <c r="C671" s="225" t="s">
        <v>148</v>
      </c>
      <c r="D671" s="213" t="s">
        <v>2499</v>
      </c>
      <c r="E671" s="12" t="s">
        <v>2500</v>
      </c>
      <c r="F671" s="226"/>
      <c r="G671" s="33" t="s">
        <v>2501</v>
      </c>
      <c r="H671" s="55" t="s">
        <v>25</v>
      </c>
      <c r="I671" s="221" t="s">
        <v>338</v>
      </c>
      <c r="J671" s="222">
        <v>46186.0</v>
      </c>
      <c r="K671" s="223"/>
      <c r="L671" s="223"/>
      <c r="M671" s="228" t="s">
        <v>190</v>
      </c>
    </row>
    <row r="672">
      <c r="A672" s="234" t="s">
        <v>815</v>
      </c>
      <c r="B672" s="224">
        <v>46186.0</v>
      </c>
      <c r="C672" s="225" t="s">
        <v>148</v>
      </c>
      <c r="D672" s="213" t="s">
        <v>2502</v>
      </c>
      <c r="E672" s="12" t="s">
        <v>2503</v>
      </c>
      <c r="F672" s="226"/>
      <c r="G672" s="33" t="s">
        <v>2479</v>
      </c>
      <c r="H672" s="55" t="s">
        <v>25</v>
      </c>
      <c r="I672" s="221" t="s">
        <v>338</v>
      </c>
      <c r="J672" s="222">
        <v>46186.0</v>
      </c>
      <c r="K672" s="223"/>
      <c r="L672" s="223"/>
      <c r="M672" s="228" t="s">
        <v>182</v>
      </c>
    </row>
    <row r="673">
      <c r="A673" s="234" t="s">
        <v>45</v>
      </c>
      <c r="B673" s="224">
        <v>46186.0</v>
      </c>
      <c r="C673" s="225" t="s">
        <v>68</v>
      </c>
      <c r="D673" s="213" t="s">
        <v>2504</v>
      </c>
      <c r="E673" s="12" t="s">
        <v>2505</v>
      </c>
      <c r="F673" s="226" t="s">
        <v>338</v>
      </c>
      <c r="G673" s="33"/>
      <c r="H673" s="55" t="s">
        <v>25</v>
      </c>
      <c r="I673" s="221"/>
      <c r="J673" s="222">
        <v>46186.0</v>
      </c>
      <c r="K673" s="224">
        <v>46190.0</v>
      </c>
      <c r="L673" s="228">
        <v>2.0</v>
      </c>
      <c r="M673" s="228" t="s">
        <v>2506</v>
      </c>
    </row>
    <row r="674">
      <c r="A674" s="234" t="s">
        <v>45</v>
      </c>
      <c r="B674" s="224">
        <v>46189.0</v>
      </c>
      <c r="C674" s="225" t="s">
        <v>53</v>
      </c>
      <c r="D674" s="213" t="s">
        <v>2507</v>
      </c>
      <c r="E674" s="12" t="s">
        <v>2508</v>
      </c>
      <c r="F674" s="226"/>
      <c r="G674" s="33" t="s">
        <v>2509</v>
      </c>
      <c r="H674" s="55"/>
      <c r="I674" s="221" t="s">
        <v>83</v>
      </c>
      <c r="J674" s="222">
        <v>46189.0</v>
      </c>
      <c r="K674" s="224">
        <v>46199.0</v>
      </c>
      <c r="L674" s="228">
        <v>2.0</v>
      </c>
      <c r="M674" s="292" t="s">
        <v>2510</v>
      </c>
    </row>
    <row r="675">
      <c r="A675" s="234" t="s">
        <v>45</v>
      </c>
      <c r="B675" s="224">
        <v>46189.0</v>
      </c>
      <c r="C675" s="284" t="s">
        <v>68</v>
      </c>
      <c r="D675" s="213" t="s">
        <v>2511</v>
      </c>
      <c r="E675" s="12" t="s">
        <v>2512</v>
      </c>
      <c r="F675" s="242"/>
      <c r="G675" s="33"/>
      <c r="H675" s="55" t="s">
        <v>25</v>
      </c>
      <c r="I675" s="285" t="s">
        <v>83</v>
      </c>
      <c r="J675" s="222">
        <v>46189.0</v>
      </c>
      <c r="K675" s="224">
        <v>46207.0</v>
      </c>
      <c r="L675" s="228">
        <v>2.0</v>
      </c>
      <c r="M675" s="228" t="s">
        <v>2513</v>
      </c>
    </row>
    <row r="676">
      <c r="A676" s="234" t="s">
        <v>815</v>
      </c>
      <c r="B676" s="224">
        <v>46189.0</v>
      </c>
      <c r="C676" s="225" t="s">
        <v>148</v>
      </c>
      <c r="D676" s="213" t="s">
        <v>2514</v>
      </c>
      <c r="E676" s="12" t="s">
        <v>2515</v>
      </c>
      <c r="F676" s="226"/>
      <c r="G676" s="33" t="s">
        <v>2516</v>
      </c>
      <c r="H676" s="55" t="s">
        <v>25</v>
      </c>
      <c r="I676" s="221"/>
      <c r="J676" s="113" t="s">
        <v>2464</v>
      </c>
      <c r="K676" s="223"/>
      <c r="L676" s="223"/>
      <c r="M676" s="292" t="s">
        <v>190</v>
      </c>
    </row>
    <row r="677">
      <c r="A677" s="234" t="s">
        <v>108</v>
      </c>
      <c r="B677" s="224">
        <v>46189.0</v>
      </c>
      <c r="C677" s="225" t="s">
        <v>148</v>
      </c>
      <c r="D677" s="213" t="s">
        <v>2517</v>
      </c>
      <c r="E677" s="12" t="s">
        <v>2518</v>
      </c>
      <c r="F677" s="226"/>
      <c r="G677" s="33" t="s">
        <v>2519</v>
      </c>
      <c r="H677" s="55" t="s">
        <v>25</v>
      </c>
      <c r="I677" s="221" t="s">
        <v>83</v>
      </c>
      <c r="J677" s="222">
        <v>46189.0</v>
      </c>
      <c r="K677" s="223"/>
      <c r="L677" s="223"/>
      <c r="M677" s="228" t="s">
        <v>2520</v>
      </c>
    </row>
    <row r="678">
      <c r="A678" s="234" t="s">
        <v>815</v>
      </c>
      <c r="B678" s="224">
        <v>46189.0</v>
      </c>
      <c r="C678" s="284" t="s">
        <v>148</v>
      </c>
      <c r="D678" s="213" t="s">
        <v>2521</v>
      </c>
      <c r="E678" s="12" t="s">
        <v>2522</v>
      </c>
      <c r="F678" s="242"/>
      <c r="G678" s="33" t="s">
        <v>2523</v>
      </c>
      <c r="H678" s="55" t="s">
        <v>25</v>
      </c>
      <c r="I678" s="285" t="s">
        <v>83</v>
      </c>
      <c r="J678" s="222">
        <v>46189.0</v>
      </c>
      <c r="K678" s="223"/>
      <c r="L678" s="223"/>
      <c r="M678" s="228" t="s">
        <v>190</v>
      </c>
    </row>
    <row r="679">
      <c r="A679" s="234" t="s">
        <v>815</v>
      </c>
      <c r="B679" s="224">
        <v>46189.0</v>
      </c>
      <c r="C679" s="284" t="s">
        <v>148</v>
      </c>
      <c r="D679" s="213" t="s">
        <v>2524</v>
      </c>
      <c r="E679" s="12" t="s">
        <v>2525</v>
      </c>
      <c r="F679" s="242"/>
      <c r="G679" s="33" t="s">
        <v>2526</v>
      </c>
      <c r="H679" s="55" t="s">
        <v>25</v>
      </c>
      <c r="I679" s="285" t="s">
        <v>83</v>
      </c>
      <c r="J679" s="222">
        <v>46189.0</v>
      </c>
      <c r="K679" s="223"/>
      <c r="L679" s="223"/>
      <c r="M679" s="228" t="s">
        <v>182</v>
      </c>
    </row>
    <row r="680">
      <c r="A680" s="234" t="s">
        <v>815</v>
      </c>
      <c r="B680" s="224">
        <v>46189.0</v>
      </c>
      <c r="C680" s="225" t="s">
        <v>148</v>
      </c>
      <c r="D680" s="213" t="s">
        <v>2527</v>
      </c>
      <c r="E680" s="12" t="s">
        <v>2528</v>
      </c>
      <c r="F680" s="226"/>
      <c r="G680" s="33" t="s">
        <v>2529</v>
      </c>
      <c r="H680" s="55" t="s">
        <v>25</v>
      </c>
      <c r="I680" s="221" t="s">
        <v>83</v>
      </c>
      <c r="J680" s="222">
        <v>46189.0</v>
      </c>
      <c r="K680" s="223"/>
      <c r="L680" s="223"/>
      <c r="M680" s="228" t="s">
        <v>190</v>
      </c>
    </row>
    <row r="681">
      <c r="A681" s="286" t="s">
        <v>815</v>
      </c>
      <c r="B681" s="293">
        <v>46189.0</v>
      </c>
      <c r="C681" s="294" t="s">
        <v>148</v>
      </c>
      <c r="D681" s="311" t="s">
        <v>2530</v>
      </c>
      <c r="E681" s="295" t="s">
        <v>2531</v>
      </c>
      <c r="F681" s="296"/>
      <c r="G681" s="297" t="s">
        <v>2532</v>
      </c>
      <c r="H681" s="298" t="s">
        <v>25</v>
      </c>
      <c r="I681" s="299"/>
      <c r="J681" s="300"/>
      <c r="K681" s="301"/>
      <c r="L681" s="301"/>
      <c r="M681" s="292"/>
      <c r="N681" s="291"/>
      <c r="O681" s="291"/>
      <c r="P681" s="291"/>
      <c r="Q681" s="291"/>
      <c r="R681" s="291"/>
      <c r="S681" s="291"/>
      <c r="T681" s="291"/>
      <c r="U681" s="291"/>
      <c r="V681" s="291"/>
      <c r="W681" s="291"/>
      <c r="X681" s="291"/>
      <c r="Y681" s="291"/>
      <c r="Z681" s="291"/>
      <c r="AA681" s="291"/>
    </row>
    <row r="682">
      <c r="A682" s="234" t="s">
        <v>815</v>
      </c>
      <c r="B682" s="224">
        <v>46189.0</v>
      </c>
      <c r="C682" s="225" t="s">
        <v>148</v>
      </c>
      <c r="D682" s="213" t="s">
        <v>2533</v>
      </c>
      <c r="E682" s="12" t="s">
        <v>2534</v>
      </c>
      <c r="F682" s="226"/>
      <c r="G682" s="33" t="s">
        <v>2535</v>
      </c>
      <c r="H682" s="55" t="s">
        <v>25</v>
      </c>
      <c r="I682" s="221" t="s">
        <v>83</v>
      </c>
      <c r="J682" s="222">
        <v>46189.0</v>
      </c>
      <c r="K682" s="223"/>
      <c r="L682" s="223"/>
      <c r="M682" s="228" t="s">
        <v>182</v>
      </c>
    </row>
    <row r="683">
      <c r="A683" s="286" t="s">
        <v>815</v>
      </c>
      <c r="B683" s="293">
        <v>46189.0</v>
      </c>
      <c r="C683" s="294" t="s">
        <v>148</v>
      </c>
      <c r="D683" s="311" t="s">
        <v>2536</v>
      </c>
      <c r="E683" s="295" t="s">
        <v>2537</v>
      </c>
      <c r="F683" s="296"/>
      <c r="G683" s="297" t="s">
        <v>2538</v>
      </c>
      <c r="H683" s="298" t="s">
        <v>25</v>
      </c>
      <c r="I683" s="299"/>
      <c r="J683" s="300"/>
      <c r="K683" s="301"/>
      <c r="L683" s="301"/>
      <c r="M683" s="292"/>
      <c r="N683" s="291"/>
      <c r="O683" s="291"/>
      <c r="P683" s="291"/>
      <c r="Q683" s="291"/>
      <c r="R683" s="291"/>
      <c r="S683" s="291"/>
      <c r="T683" s="291"/>
      <c r="U683" s="291"/>
      <c r="V683" s="291"/>
      <c r="W683" s="291"/>
      <c r="X683" s="291"/>
      <c r="Y683" s="291"/>
      <c r="Z683" s="291"/>
      <c r="AA683" s="291"/>
    </row>
    <row r="684">
      <c r="A684" s="234" t="s">
        <v>815</v>
      </c>
      <c r="B684" s="224">
        <v>46189.0</v>
      </c>
      <c r="C684" s="225" t="s">
        <v>148</v>
      </c>
      <c r="D684" s="311" t="s">
        <v>2539</v>
      </c>
      <c r="E684" s="12" t="s">
        <v>2540</v>
      </c>
      <c r="F684" s="226"/>
      <c r="G684" s="33" t="s">
        <v>2541</v>
      </c>
      <c r="H684" s="55" t="s">
        <v>25</v>
      </c>
      <c r="I684" s="221"/>
      <c r="J684" s="222">
        <v>46190.0</v>
      </c>
      <c r="K684" s="223"/>
      <c r="L684" s="223"/>
      <c r="M684" s="228" t="s">
        <v>190</v>
      </c>
    </row>
    <row r="685">
      <c r="A685" s="312" t="s">
        <v>108</v>
      </c>
      <c r="B685" s="313">
        <v>46189.0</v>
      </c>
      <c r="C685" s="314" t="s">
        <v>148</v>
      </c>
      <c r="D685" s="315" t="s">
        <v>2542</v>
      </c>
      <c r="E685" s="316" t="s">
        <v>2543</v>
      </c>
      <c r="F685" s="317"/>
      <c r="G685" s="188" t="s">
        <v>2544</v>
      </c>
      <c r="H685" s="318" t="s">
        <v>25</v>
      </c>
      <c r="I685" s="319" t="s">
        <v>83</v>
      </c>
      <c r="J685" s="320">
        <v>46189.0</v>
      </c>
      <c r="K685" s="321"/>
      <c r="L685" s="321"/>
      <c r="M685" s="307" t="s">
        <v>2545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234" t="s">
        <v>67</v>
      </c>
      <c r="B686" s="224">
        <v>46189.0</v>
      </c>
      <c r="C686" s="225" t="s">
        <v>148</v>
      </c>
      <c r="D686" s="213" t="s">
        <v>2546</v>
      </c>
      <c r="E686" s="12" t="s">
        <v>2547</v>
      </c>
      <c r="F686" s="226"/>
      <c r="G686" s="33" t="s">
        <v>2548</v>
      </c>
      <c r="H686" s="55" t="s">
        <v>25</v>
      </c>
      <c r="I686" s="221" t="s">
        <v>83</v>
      </c>
      <c r="J686" s="222">
        <v>46189.0</v>
      </c>
      <c r="K686" s="223"/>
      <c r="L686" s="223"/>
      <c r="M686" s="322" t="s">
        <v>2549</v>
      </c>
    </row>
    <row r="687">
      <c r="A687" s="234" t="s">
        <v>815</v>
      </c>
      <c r="B687" s="224">
        <v>46189.0</v>
      </c>
      <c r="C687" s="225" t="s">
        <v>148</v>
      </c>
      <c r="D687" s="213" t="s">
        <v>2550</v>
      </c>
      <c r="E687" s="12" t="s">
        <v>2551</v>
      </c>
      <c r="F687" s="226"/>
      <c r="G687" s="33" t="s">
        <v>2552</v>
      </c>
      <c r="H687" s="55" t="s">
        <v>25</v>
      </c>
      <c r="I687" s="221" t="s">
        <v>83</v>
      </c>
      <c r="J687" s="222">
        <v>46189.0</v>
      </c>
      <c r="K687" s="223"/>
      <c r="L687" s="223"/>
      <c r="M687" s="228" t="s">
        <v>190</v>
      </c>
    </row>
    <row r="688">
      <c r="A688" s="286" t="s">
        <v>108</v>
      </c>
      <c r="B688" s="293">
        <v>46189.0</v>
      </c>
      <c r="C688" s="294" t="s">
        <v>148</v>
      </c>
      <c r="D688" s="311" t="s">
        <v>2553</v>
      </c>
      <c r="E688" s="295" t="s">
        <v>2554</v>
      </c>
      <c r="F688" s="296"/>
      <c r="G688" s="297" t="s">
        <v>2555</v>
      </c>
      <c r="H688" s="298" t="s">
        <v>25</v>
      </c>
      <c r="I688" s="299" t="s">
        <v>83</v>
      </c>
      <c r="J688" s="300">
        <v>46189.0</v>
      </c>
      <c r="K688" s="301"/>
      <c r="L688" s="301"/>
      <c r="M688" s="292" t="s">
        <v>2556</v>
      </c>
      <c r="N688" s="291"/>
      <c r="O688" s="291"/>
      <c r="P688" s="291"/>
      <c r="Q688" s="291"/>
      <c r="R688" s="291"/>
      <c r="S688" s="291"/>
      <c r="T688" s="291"/>
      <c r="U688" s="291"/>
      <c r="V688" s="291"/>
      <c r="W688" s="291"/>
      <c r="X688" s="291"/>
      <c r="Y688" s="291"/>
      <c r="Z688" s="291"/>
      <c r="AA688" s="291"/>
    </row>
    <row r="689">
      <c r="A689" s="234" t="s">
        <v>45</v>
      </c>
      <c r="B689" s="224">
        <v>46189.0</v>
      </c>
      <c r="C689" s="225" t="s">
        <v>148</v>
      </c>
      <c r="D689" s="213" t="s">
        <v>2557</v>
      </c>
      <c r="E689" s="12" t="s">
        <v>2558</v>
      </c>
      <c r="F689" s="226"/>
      <c r="G689" s="33" t="s">
        <v>2559</v>
      </c>
      <c r="H689" s="55" t="s">
        <v>25</v>
      </c>
      <c r="I689" s="221" t="s">
        <v>83</v>
      </c>
      <c r="J689" s="222">
        <v>46189.0</v>
      </c>
      <c r="K689" s="228" t="s">
        <v>2431</v>
      </c>
      <c r="L689" s="223"/>
      <c r="M689" s="228" t="s">
        <v>2560</v>
      </c>
    </row>
    <row r="690">
      <c r="A690" s="234" t="s">
        <v>815</v>
      </c>
      <c r="B690" s="224">
        <v>46189.0</v>
      </c>
      <c r="C690" s="225" t="s">
        <v>380</v>
      </c>
      <c r="D690" s="213" t="s">
        <v>2561</v>
      </c>
      <c r="E690" s="12" t="s">
        <v>2562</v>
      </c>
      <c r="F690" s="226"/>
      <c r="G690" s="297" t="s">
        <v>2563</v>
      </c>
      <c r="H690" s="55"/>
      <c r="I690" s="221"/>
      <c r="J690" s="222"/>
      <c r="K690" s="223"/>
      <c r="L690" s="223"/>
      <c r="M690" s="228"/>
    </row>
    <row r="691">
      <c r="A691" s="234" t="s">
        <v>67</v>
      </c>
      <c r="B691" s="224">
        <v>46189.0</v>
      </c>
      <c r="C691" s="225" t="s">
        <v>53</v>
      </c>
      <c r="D691" s="213" t="s">
        <v>2564</v>
      </c>
      <c r="E691" s="12" t="s">
        <v>2565</v>
      </c>
      <c r="F691" s="226" t="s">
        <v>83</v>
      </c>
      <c r="G691" s="33" t="s">
        <v>2566</v>
      </c>
      <c r="H691" s="55" t="s">
        <v>25</v>
      </c>
      <c r="I691" s="221" t="s">
        <v>83</v>
      </c>
      <c r="J691" s="222">
        <v>46189.0</v>
      </c>
      <c r="K691" s="223"/>
      <c r="L691" s="223"/>
      <c r="M691" s="228" t="s">
        <v>2567</v>
      </c>
    </row>
    <row r="692">
      <c r="A692" s="234" t="s">
        <v>45</v>
      </c>
      <c r="B692" s="224">
        <v>46190.0</v>
      </c>
      <c r="C692" s="225" t="s">
        <v>221</v>
      </c>
      <c r="D692" s="36" t="s">
        <v>2568</v>
      </c>
      <c r="E692" s="12" t="s">
        <v>2569</v>
      </c>
      <c r="F692" s="226"/>
      <c r="G692" s="33" t="s">
        <v>2570</v>
      </c>
      <c r="H692" s="55" t="s">
        <v>25</v>
      </c>
      <c r="I692" s="221" t="s">
        <v>83</v>
      </c>
      <c r="J692" s="222">
        <v>46190.0</v>
      </c>
      <c r="K692" s="224">
        <v>46199.0</v>
      </c>
      <c r="L692" s="228">
        <v>3.0</v>
      </c>
      <c r="M692" s="228" t="s">
        <v>2571</v>
      </c>
    </row>
    <row r="693">
      <c r="A693" s="234" t="s">
        <v>815</v>
      </c>
      <c r="B693" s="224">
        <v>46190.0</v>
      </c>
      <c r="C693" s="225" t="s">
        <v>148</v>
      </c>
      <c r="D693" s="213" t="s">
        <v>2572</v>
      </c>
      <c r="E693" s="12" t="s">
        <v>2573</v>
      </c>
      <c r="F693" s="226"/>
      <c r="G693" s="33" t="s">
        <v>2574</v>
      </c>
      <c r="H693" s="55" t="s">
        <v>25</v>
      </c>
      <c r="I693" s="221"/>
      <c r="J693" s="222">
        <v>46190.0</v>
      </c>
      <c r="K693" s="223"/>
      <c r="L693" s="223"/>
      <c r="M693" s="228" t="s">
        <v>190</v>
      </c>
    </row>
    <row r="694">
      <c r="A694" s="234" t="s">
        <v>815</v>
      </c>
      <c r="B694" s="224">
        <v>46190.0</v>
      </c>
      <c r="C694" s="225" t="s">
        <v>148</v>
      </c>
      <c r="D694" s="213" t="s">
        <v>2575</v>
      </c>
      <c r="E694" s="12" t="s">
        <v>2576</v>
      </c>
      <c r="F694" s="226"/>
      <c r="G694" s="33" t="s">
        <v>2577</v>
      </c>
      <c r="H694" s="55" t="s">
        <v>25</v>
      </c>
      <c r="I694" s="221"/>
      <c r="J694" s="222">
        <v>46190.0</v>
      </c>
      <c r="K694" s="228" t="s">
        <v>2431</v>
      </c>
      <c r="L694" s="223"/>
      <c r="M694" s="228" t="s">
        <v>2578</v>
      </c>
    </row>
    <row r="695">
      <c r="A695" s="234" t="s">
        <v>815</v>
      </c>
      <c r="B695" s="224">
        <v>46191.0</v>
      </c>
      <c r="C695" s="225" t="s">
        <v>148</v>
      </c>
      <c r="D695" s="213" t="s">
        <v>2579</v>
      </c>
      <c r="E695" s="12" t="s">
        <v>2580</v>
      </c>
      <c r="F695" s="226"/>
      <c r="G695" s="33" t="s">
        <v>2581</v>
      </c>
      <c r="H695" s="55" t="s">
        <v>25</v>
      </c>
      <c r="I695" s="221" t="s">
        <v>83</v>
      </c>
      <c r="J695" s="222">
        <v>46197.0</v>
      </c>
      <c r="K695" s="223"/>
      <c r="L695" s="223"/>
      <c r="M695" s="228" t="s">
        <v>182</v>
      </c>
    </row>
    <row r="696">
      <c r="A696" s="234" t="s">
        <v>815</v>
      </c>
      <c r="B696" s="224">
        <v>46191.0</v>
      </c>
      <c r="C696" s="225" t="s">
        <v>148</v>
      </c>
      <c r="D696" s="213" t="s">
        <v>2582</v>
      </c>
      <c r="E696" s="12" t="s">
        <v>2583</v>
      </c>
      <c r="F696" s="226"/>
      <c r="G696" s="33" t="s">
        <v>2498</v>
      </c>
      <c r="H696" s="55" t="s">
        <v>25</v>
      </c>
      <c r="I696" s="221" t="s">
        <v>83</v>
      </c>
      <c r="J696" s="222">
        <v>46197.0</v>
      </c>
      <c r="K696" s="223"/>
      <c r="L696" s="223"/>
      <c r="M696" s="228" t="s">
        <v>182</v>
      </c>
    </row>
    <row r="697">
      <c r="A697" s="234" t="s">
        <v>815</v>
      </c>
      <c r="B697" s="224">
        <v>46191.0</v>
      </c>
      <c r="C697" s="225" t="s">
        <v>148</v>
      </c>
      <c r="D697" s="213" t="s">
        <v>2584</v>
      </c>
      <c r="E697" s="12" t="s">
        <v>2585</v>
      </c>
      <c r="F697" s="226"/>
      <c r="G697" s="33" t="s">
        <v>2581</v>
      </c>
      <c r="H697" s="55" t="s">
        <v>25</v>
      </c>
      <c r="I697" s="221" t="s">
        <v>83</v>
      </c>
      <c r="J697" s="222">
        <v>46197.0</v>
      </c>
      <c r="K697" s="223"/>
      <c r="L697" s="223"/>
      <c r="M697" s="228" t="s">
        <v>190</v>
      </c>
    </row>
    <row r="698">
      <c r="A698" s="234" t="s">
        <v>815</v>
      </c>
      <c r="B698" s="224">
        <v>46191.0</v>
      </c>
      <c r="C698" s="225" t="s">
        <v>148</v>
      </c>
      <c r="D698" s="213" t="s">
        <v>2572</v>
      </c>
      <c r="E698" s="12" t="s">
        <v>2573</v>
      </c>
      <c r="F698" s="226"/>
      <c r="G698" s="33" t="s">
        <v>2574</v>
      </c>
      <c r="H698" s="55" t="s">
        <v>25</v>
      </c>
      <c r="I698" s="221" t="s">
        <v>83</v>
      </c>
      <c r="J698" s="222">
        <v>46197.0</v>
      </c>
      <c r="K698" s="223"/>
      <c r="L698" s="223"/>
      <c r="M698" s="228" t="s">
        <v>190</v>
      </c>
    </row>
    <row r="699">
      <c r="A699" s="234" t="s">
        <v>815</v>
      </c>
      <c r="B699" s="323">
        <v>46191.0</v>
      </c>
      <c r="C699" s="324" t="s">
        <v>148</v>
      </c>
      <c r="D699" s="325" t="s">
        <v>2575</v>
      </c>
      <c r="E699" s="326" t="s">
        <v>2576</v>
      </c>
      <c r="F699" s="327"/>
      <c r="G699" s="328" t="s">
        <v>2577</v>
      </c>
      <c r="H699" s="329" t="s">
        <v>25</v>
      </c>
      <c r="I699" s="330" t="s">
        <v>83</v>
      </c>
      <c r="J699" s="331">
        <v>46197.0</v>
      </c>
      <c r="K699" s="332"/>
      <c r="L699" s="332"/>
      <c r="M699" s="333" t="s">
        <v>182</v>
      </c>
    </row>
    <row r="700">
      <c r="A700" s="33" t="s">
        <v>108</v>
      </c>
      <c r="B700" s="313">
        <v>46190.0</v>
      </c>
      <c r="C700" s="314" t="s">
        <v>148</v>
      </c>
      <c r="D700" s="315" t="s">
        <v>2586</v>
      </c>
      <c r="E700" s="316" t="s">
        <v>2587</v>
      </c>
      <c r="F700" s="317"/>
      <c r="G700" s="188" t="s">
        <v>2588</v>
      </c>
      <c r="H700" s="318" t="s">
        <v>25</v>
      </c>
      <c r="I700" s="319" t="s">
        <v>83</v>
      </c>
      <c r="J700" s="320">
        <v>46190.0</v>
      </c>
      <c r="K700" s="321"/>
      <c r="L700" s="321"/>
      <c r="M700" s="306" t="s">
        <v>2589</v>
      </c>
    </row>
    <row r="701">
      <c r="A701" s="234" t="s">
        <v>815</v>
      </c>
      <c r="B701" s="334">
        <v>46192.0</v>
      </c>
      <c r="C701" s="335" t="s">
        <v>148</v>
      </c>
      <c r="D701" s="336" t="s">
        <v>2590</v>
      </c>
      <c r="E701" s="337" t="s">
        <v>2591</v>
      </c>
      <c r="F701" s="338"/>
      <c r="G701" s="339" t="s">
        <v>2592</v>
      </c>
      <c r="H701" s="340" t="s">
        <v>25</v>
      </c>
      <c r="I701" s="341" t="s">
        <v>83</v>
      </c>
      <c r="J701" s="342">
        <v>46197.0</v>
      </c>
      <c r="K701" s="343"/>
      <c r="L701" s="343"/>
      <c r="M701" s="344" t="s">
        <v>182</v>
      </c>
    </row>
    <row r="702">
      <c r="A702" s="312" t="s">
        <v>45</v>
      </c>
      <c r="B702" s="313">
        <v>46196.0</v>
      </c>
      <c r="C702" s="314" t="s">
        <v>53</v>
      </c>
      <c r="D702" s="315" t="s">
        <v>2593</v>
      </c>
      <c r="E702" s="316" t="s">
        <v>2594</v>
      </c>
      <c r="F702" s="317"/>
      <c r="G702" s="345" t="s">
        <v>2595</v>
      </c>
      <c r="H702" s="318"/>
      <c r="I702" s="319" t="s">
        <v>83</v>
      </c>
      <c r="J702" s="320">
        <v>46196.0</v>
      </c>
      <c r="K702" s="313">
        <v>46200.0</v>
      </c>
      <c r="L702" s="307">
        <v>3.0</v>
      </c>
      <c r="M702" s="307" t="s">
        <v>2596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234" t="s">
        <v>45</v>
      </c>
      <c r="B703" s="224">
        <v>46196.0</v>
      </c>
      <c r="C703" s="284" t="s">
        <v>53</v>
      </c>
      <c r="D703" s="213" t="s">
        <v>2597</v>
      </c>
      <c r="E703" s="12" t="s">
        <v>2598</v>
      </c>
      <c r="F703" s="242"/>
      <c r="G703" s="346" t="s">
        <v>2599</v>
      </c>
      <c r="H703" s="55"/>
      <c r="I703" s="285" t="s">
        <v>83</v>
      </c>
      <c r="J703" s="222">
        <v>46197.0</v>
      </c>
      <c r="K703" s="224">
        <v>46218.0</v>
      </c>
      <c r="L703" s="228">
        <v>2.0</v>
      </c>
      <c r="M703" s="228" t="s">
        <v>2600</v>
      </c>
    </row>
    <row r="704">
      <c r="A704" s="234" t="s">
        <v>45</v>
      </c>
      <c r="B704" s="224">
        <v>46196.0</v>
      </c>
      <c r="C704" s="225" t="s">
        <v>380</v>
      </c>
      <c r="D704" s="213" t="s">
        <v>2601</v>
      </c>
      <c r="E704" s="12" t="s">
        <v>2602</v>
      </c>
      <c r="F704" s="226"/>
      <c r="G704" s="347" t="s">
        <v>2603</v>
      </c>
      <c r="H704" s="55"/>
      <c r="I704" s="221" t="s">
        <v>83</v>
      </c>
      <c r="J704" s="222">
        <v>46196.0</v>
      </c>
      <c r="K704" s="223"/>
      <c r="L704" s="223"/>
      <c r="M704" s="228" t="s">
        <v>2604</v>
      </c>
    </row>
    <row r="705">
      <c r="A705" s="234" t="s">
        <v>45</v>
      </c>
      <c r="B705" s="224">
        <v>46196.0</v>
      </c>
      <c r="C705" s="225" t="s">
        <v>148</v>
      </c>
      <c r="D705" s="213" t="s">
        <v>2605</v>
      </c>
      <c r="E705" s="12" t="s">
        <v>2606</v>
      </c>
      <c r="F705" s="226"/>
      <c r="G705" s="347" t="s">
        <v>2607</v>
      </c>
      <c r="H705" s="55" t="s">
        <v>25</v>
      </c>
      <c r="I705" s="221" t="s">
        <v>83</v>
      </c>
      <c r="J705" s="222">
        <v>46196.0</v>
      </c>
      <c r="K705" s="224">
        <v>46218.0</v>
      </c>
      <c r="L705" s="228">
        <v>2.0</v>
      </c>
      <c r="M705" s="228" t="s">
        <v>2608</v>
      </c>
    </row>
    <row r="706">
      <c r="A706" s="234" t="s">
        <v>45</v>
      </c>
      <c r="B706" s="224">
        <v>46196.0</v>
      </c>
      <c r="C706" s="225" t="s">
        <v>148</v>
      </c>
      <c r="D706" s="213" t="s">
        <v>2609</v>
      </c>
      <c r="E706" s="12" t="s">
        <v>2610</v>
      </c>
      <c r="F706" s="226"/>
      <c r="G706" s="347" t="s">
        <v>2607</v>
      </c>
      <c r="H706" s="55" t="s">
        <v>25</v>
      </c>
      <c r="I706" s="221" t="s">
        <v>83</v>
      </c>
      <c r="J706" s="222">
        <v>46196.0</v>
      </c>
      <c r="K706" s="223"/>
      <c r="L706" s="223"/>
      <c r="M706" s="228" t="s">
        <v>2611</v>
      </c>
    </row>
    <row r="707">
      <c r="A707" s="234" t="s">
        <v>45</v>
      </c>
      <c r="B707" s="224">
        <v>46196.0</v>
      </c>
      <c r="C707" s="225" t="s">
        <v>148</v>
      </c>
      <c r="D707" s="213" t="s">
        <v>2612</v>
      </c>
      <c r="E707" s="12" t="s">
        <v>2613</v>
      </c>
      <c r="F707" s="226"/>
      <c r="G707" s="347" t="s">
        <v>2614</v>
      </c>
      <c r="H707" s="55" t="s">
        <v>25</v>
      </c>
      <c r="I707" s="221" t="s">
        <v>83</v>
      </c>
      <c r="J707" s="222">
        <v>46196.0</v>
      </c>
      <c r="K707" s="223"/>
      <c r="L707" s="223"/>
      <c r="M707" s="228" t="s">
        <v>2615</v>
      </c>
    </row>
    <row r="708">
      <c r="A708" s="234" t="s">
        <v>45</v>
      </c>
      <c r="B708" s="224">
        <v>46196.0</v>
      </c>
      <c r="C708" s="225" t="s">
        <v>148</v>
      </c>
      <c r="D708" s="213" t="s">
        <v>2616</v>
      </c>
      <c r="E708" s="12" t="s">
        <v>2617</v>
      </c>
      <c r="F708" s="226"/>
      <c r="G708" s="347" t="s">
        <v>2618</v>
      </c>
      <c r="H708" s="55" t="s">
        <v>25</v>
      </c>
      <c r="I708" s="221" t="s">
        <v>83</v>
      </c>
      <c r="J708" s="222">
        <v>46196.0</v>
      </c>
      <c r="K708" s="223"/>
      <c r="L708" s="223"/>
      <c r="M708" s="228" t="s">
        <v>2619</v>
      </c>
    </row>
    <row r="709">
      <c r="A709" s="234" t="s">
        <v>67</v>
      </c>
      <c r="B709" s="224">
        <v>46196.0</v>
      </c>
      <c r="C709" s="225" t="s">
        <v>148</v>
      </c>
      <c r="D709" s="213" t="s">
        <v>2620</v>
      </c>
      <c r="E709" s="12" t="s">
        <v>2621</v>
      </c>
      <c r="F709" s="226"/>
      <c r="G709" s="347" t="s">
        <v>2622</v>
      </c>
      <c r="H709" s="55" t="s">
        <v>25</v>
      </c>
      <c r="I709" s="221" t="s">
        <v>83</v>
      </c>
      <c r="J709" s="222">
        <v>46196.0</v>
      </c>
      <c r="K709" s="223"/>
      <c r="L709" s="223"/>
      <c r="M709" s="228" t="s">
        <v>2623</v>
      </c>
    </row>
    <row r="710">
      <c r="A710" s="234" t="s">
        <v>815</v>
      </c>
      <c r="B710" s="224">
        <v>46196.0</v>
      </c>
      <c r="C710" s="225" t="s">
        <v>148</v>
      </c>
      <c r="D710" s="213" t="s">
        <v>1141</v>
      </c>
      <c r="E710" s="12" t="s">
        <v>2624</v>
      </c>
      <c r="F710" s="226"/>
      <c r="G710" s="347" t="s">
        <v>2625</v>
      </c>
      <c r="H710" s="55" t="s">
        <v>25</v>
      </c>
      <c r="I710" s="221" t="s">
        <v>83</v>
      </c>
      <c r="J710" s="222">
        <v>46196.0</v>
      </c>
      <c r="K710" s="223"/>
      <c r="L710" s="223"/>
      <c r="M710" s="228" t="s">
        <v>182</v>
      </c>
    </row>
    <row r="711">
      <c r="A711" s="234" t="s">
        <v>815</v>
      </c>
      <c r="B711" s="224">
        <v>46196.0</v>
      </c>
      <c r="C711" s="225" t="s">
        <v>148</v>
      </c>
      <c r="D711" s="213" t="s">
        <v>2626</v>
      </c>
      <c r="E711" s="12" t="s">
        <v>2627</v>
      </c>
      <c r="F711" s="226"/>
      <c r="G711" s="347" t="s">
        <v>2628</v>
      </c>
      <c r="H711" s="55" t="s">
        <v>25</v>
      </c>
      <c r="I711" s="221" t="s">
        <v>83</v>
      </c>
      <c r="J711" s="222">
        <v>46196.0</v>
      </c>
      <c r="K711" s="223"/>
      <c r="L711" s="223"/>
      <c r="M711" s="228" t="s">
        <v>190</v>
      </c>
    </row>
    <row r="712">
      <c r="A712" s="234" t="s">
        <v>45</v>
      </c>
      <c r="B712" s="224">
        <v>46196.0</v>
      </c>
      <c r="C712" s="225" t="s">
        <v>148</v>
      </c>
      <c r="D712" s="213" t="s">
        <v>2629</v>
      </c>
      <c r="E712" s="12" t="s">
        <v>2630</v>
      </c>
      <c r="F712" s="226"/>
      <c r="G712" s="347" t="s">
        <v>2631</v>
      </c>
      <c r="H712" s="55" t="s">
        <v>25</v>
      </c>
      <c r="I712" s="221" t="s">
        <v>83</v>
      </c>
      <c r="J712" s="222">
        <v>46196.0</v>
      </c>
      <c r="K712" s="224">
        <v>46200.0</v>
      </c>
      <c r="L712" s="228">
        <v>2.0</v>
      </c>
      <c r="M712" s="228" t="s">
        <v>2632</v>
      </c>
    </row>
    <row r="713">
      <c r="A713" s="234" t="s">
        <v>108</v>
      </c>
      <c r="B713" s="224">
        <v>46196.0</v>
      </c>
      <c r="C713" s="225" t="s">
        <v>148</v>
      </c>
      <c r="D713" s="315" t="s">
        <v>2633</v>
      </c>
      <c r="E713" s="316" t="s">
        <v>2634</v>
      </c>
      <c r="F713" s="226"/>
      <c r="G713" s="347" t="s">
        <v>2635</v>
      </c>
      <c r="H713" s="55" t="s">
        <v>25</v>
      </c>
      <c r="I713" s="221" t="s">
        <v>83</v>
      </c>
      <c r="J713" s="222">
        <v>46197.0</v>
      </c>
      <c r="K713" s="223"/>
      <c r="L713" s="223"/>
      <c r="M713" s="228" t="s">
        <v>2636</v>
      </c>
    </row>
    <row r="714">
      <c r="A714" s="234" t="s">
        <v>108</v>
      </c>
      <c r="B714" s="224">
        <v>46196.0</v>
      </c>
      <c r="C714" s="225" t="s">
        <v>148</v>
      </c>
      <c r="D714" s="213" t="s">
        <v>2637</v>
      </c>
      <c r="E714" s="12" t="s">
        <v>2638</v>
      </c>
      <c r="F714" s="226"/>
      <c r="G714" s="347" t="s">
        <v>2639</v>
      </c>
      <c r="H714" s="55" t="s">
        <v>25</v>
      </c>
      <c r="I714" s="221" t="s">
        <v>83</v>
      </c>
      <c r="J714" s="222">
        <v>46196.0</v>
      </c>
      <c r="K714" s="223"/>
      <c r="L714" s="223"/>
      <c r="M714" s="228" t="s">
        <v>2640</v>
      </c>
    </row>
    <row r="715">
      <c r="A715" s="312" t="s">
        <v>45</v>
      </c>
      <c r="B715" s="313">
        <v>46197.0</v>
      </c>
      <c r="C715" s="314" t="s">
        <v>68</v>
      </c>
      <c r="D715" s="315" t="s">
        <v>2641</v>
      </c>
      <c r="E715" s="316" t="s">
        <v>2642</v>
      </c>
      <c r="F715" s="317"/>
      <c r="G715" s="348" t="s">
        <v>2643</v>
      </c>
      <c r="H715" s="318" t="s">
        <v>25</v>
      </c>
      <c r="I715" s="319" t="s">
        <v>83</v>
      </c>
      <c r="J715" s="320">
        <v>46197.0</v>
      </c>
      <c r="K715" s="313">
        <v>46218.0</v>
      </c>
      <c r="L715" s="307">
        <v>2.0</v>
      </c>
      <c r="M715" s="307" t="s">
        <v>2644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234" t="s">
        <v>67</v>
      </c>
      <c r="B716" s="224">
        <v>46197.0</v>
      </c>
      <c r="C716" s="225" t="s">
        <v>148</v>
      </c>
      <c r="D716" s="213" t="s">
        <v>2645</v>
      </c>
      <c r="E716" s="12" t="s">
        <v>2646</v>
      </c>
      <c r="F716" s="226"/>
      <c r="G716" s="347" t="s">
        <v>2647</v>
      </c>
      <c r="H716" s="55" t="s">
        <v>25</v>
      </c>
      <c r="I716" s="221" t="s">
        <v>83</v>
      </c>
      <c r="J716" s="222">
        <v>46197.0</v>
      </c>
      <c r="K716" s="223"/>
      <c r="L716" s="223"/>
      <c r="M716" s="228" t="s">
        <v>2648</v>
      </c>
    </row>
    <row r="717">
      <c r="A717" s="234" t="s">
        <v>67</v>
      </c>
      <c r="B717" s="224">
        <v>46197.0</v>
      </c>
      <c r="C717" s="225" t="s">
        <v>148</v>
      </c>
      <c r="D717" s="213" t="s">
        <v>2649</v>
      </c>
      <c r="E717" s="12" t="s">
        <v>2650</v>
      </c>
      <c r="F717" s="226"/>
      <c r="G717" s="347" t="s">
        <v>2651</v>
      </c>
      <c r="H717" s="55" t="s">
        <v>25</v>
      </c>
      <c r="I717" s="221" t="s">
        <v>83</v>
      </c>
      <c r="J717" s="222">
        <v>46197.0</v>
      </c>
      <c r="K717" s="223"/>
      <c r="L717" s="223"/>
      <c r="M717" s="228" t="s">
        <v>2652</v>
      </c>
    </row>
    <row r="718">
      <c r="A718" s="234" t="s">
        <v>815</v>
      </c>
      <c r="B718" s="224">
        <v>46197.0</v>
      </c>
      <c r="C718" s="225" t="s">
        <v>148</v>
      </c>
      <c r="D718" s="213" t="s">
        <v>2653</v>
      </c>
      <c r="E718" s="12" t="s">
        <v>2654</v>
      </c>
      <c r="F718" s="226"/>
      <c r="G718" s="347" t="s">
        <v>2655</v>
      </c>
      <c r="H718" s="55" t="s">
        <v>25</v>
      </c>
      <c r="I718" s="221" t="s">
        <v>83</v>
      </c>
      <c r="J718" s="222">
        <v>46197.0</v>
      </c>
      <c r="K718" s="228" t="s">
        <v>2431</v>
      </c>
      <c r="L718" s="223"/>
      <c r="M718" s="228" t="s">
        <v>2656</v>
      </c>
    </row>
    <row r="719">
      <c r="A719" s="312" t="s">
        <v>815</v>
      </c>
      <c r="B719" s="313">
        <v>46196.0</v>
      </c>
      <c r="C719" s="314" t="s">
        <v>148</v>
      </c>
      <c r="D719" s="315" t="s">
        <v>2657</v>
      </c>
      <c r="E719" s="316" t="s">
        <v>2658</v>
      </c>
      <c r="F719" s="317"/>
      <c r="G719" s="345" t="s">
        <v>2659</v>
      </c>
      <c r="H719" s="318" t="s">
        <v>25</v>
      </c>
      <c r="I719" s="319" t="s">
        <v>83</v>
      </c>
      <c r="J719" s="320">
        <v>46197.0</v>
      </c>
      <c r="K719" s="321"/>
      <c r="L719" s="321"/>
      <c r="M719" s="307" t="s">
        <v>2660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234" t="s">
        <v>815</v>
      </c>
      <c r="B720" s="224">
        <v>46197.0</v>
      </c>
      <c r="C720" s="225" t="s">
        <v>148</v>
      </c>
      <c r="D720" s="213" t="s">
        <v>2661</v>
      </c>
      <c r="E720" s="12" t="s">
        <v>2662</v>
      </c>
      <c r="F720" s="226"/>
      <c r="G720" s="347" t="s">
        <v>2471</v>
      </c>
      <c r="H720" s="55" t="s">
        <v>25</v>
      </c>
      <c r="I720" s="221" t="s">
        <v>83</v>
      </c>
      <c r="J720" s="222">
        <v>46198.0</v>
      </c>
      <c r="K720" s="223"/>
      <c r="L720" s="223"/>
      <c r="M720" s="228" t="s">
        <v>190</v>
      </c>
    </row>
    <row r="721">
      <c r="A721" s="312" t="s">
        <v>108</v>
      </c>
      <c r="B721" s="313">
        <v>46197.0</v>
      </c>
      <c r="C721" s="314" t="s">
        <v>148</v>
      </c>
      <c r="D721" s="315" t="s">
        <v>2663</v>
      </c>
      <c r="E721" s="316" t="s">
        <v>2664</v>
      </c>
      <c r="F721" s="317"/>
      <c r="G721" s="345" t="s">
        <v>2665</v>
      </c>
      <c r="H721" s="318" t="s">
        <v>25</v>
      </c>
      <c r="I721" s="319" t="s">
        <v>83</v>
      </c>
      <c r="J721" s="320">
        <v>46198.0</v>
      </c>
      <c r="K721" s="321"/>
      <c r="L721" s="321"/>
      <c r="M721" s="307" t="s">
        <v>2666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234" t="s">
        <v>45</v>
      </c>
      <c r="B722" s="224">
        <v>46197.0</v>
      </c>
      <c r="C722" s="225" t="s">
        <v>148</v>
      </c>
      <c r="D722" s="213" t="s">
        <v>2667</v>
      </c>
      <c r="E722" s="12" t="s">
        <v>2668</v>
      </c>
      <c r="F722" s="226"/>
      <c r="G722" s="347" t="s">
        <v>2669</v>
      </c>
      <c r="H722" s="55" t="s">
        <v>25</v>
      </c>
      <c r="I722" s="221" t="s">
        <v>83</v>
      </c>
      <c r="J722" s="222">
        <v>46198.0</v>
      </c>
      <c r="K722" s="223"/>
      <c r="L722" s="223"/>
      <c r="M722" s="228" t="s">
        <v>2670</v>
      </c>
    </row>
    <row r="723">
      <c r="A723" s="234" t="s">
        <v>67</v>
      </c>
      <c r="B723" s="224">
        <v>46197.0</v>
      </c>
      <c r="C723" s="225" t="s">
        <v>148</v>
      </c>
      <c r="D723" s="213" t="s">
        <v>2671</v>
      </c>
      <c r="E723" s="12" t="s">
        <v>2672</v>
      </c>
      <c r="F723" s="226"/>
      <c r="G723" s="347" t="s">
        <v>2673</v>
      </c>
      <c r="H723" s="55" t="s">
        <v>25</v>
      </c>
      <c r="I723" s="221" t="s">
        <v>83</v>
      </c>
      <c r="J723" s="222">
        <v>46198.0</v>
      </c>
      <c r="K723" s="223"/>
      <c r="L723" s="223"/>
      <c r="M723" s="228" t="s">
        <v>2674</v>
      </c>
    </row>
    <row r="724">
      <c r="A724" s="234" t="s">
        <v>815</v>
      </c>
      <c r="B724" s="224">
        <v>46197.0</v>
      </c>
      <c r="C724" s="225" t="s">
        <v>148</v>
      </c>
      <c r="D724" s="213" t="s">
        <v>2488</v>
      </c>
      <c r="E724" s="12" t="s">
        <v>2675</v>
      </c>
      <c r="F724" s="226"/>
      <c r="G724" s="347" t="s">
        <v>2676</v>
      </c>
      <c r="H724" s="55" t="s">
        <v>25</v>
      </c>
      <c r="I724" s="221" t="s">
        <v>83</v>
      </c>
      <c r="J724" s="222">
        <v>46198.0</v>
      </c>
      <c r="K724" s="228" t="s">
        <v>2431</v>
      </c>
      <c r="L724" s="223"/>
      <c r="M724" s="228" t="s">
        <v>2677</v>
      </c>
    </row>
    <row r="725">
      <c r="A725" s="234" t="s">
        <v>45</v>
      </c>
      <c r="B725" s="224">
        <v>46197.0</v>
      </c>
      <c r="C725" s="284" t="s">
        <v>68</v>
      </c>
      <c r="D725" s="213" t="s">
        <v>2678</v>
      </c>
      <c r="E725" s="12" t="s">
        <v>2679</v>
      </c>
      <c r="F725" s="242" t="s">
        <v>338</v>
      </c>
      <c r="G725" s="346" t="s">
        <v>2680</v>
      </c>
      <c r="H725" s="55"/>
      <c r="I725" s="285" t="s">
        <v>83</v>
      </c>
      <c r="J725" s="222">
        <v>46204.0</v>
      </c>
      <c r="K725" s="224">
        <v>46206.0</v>
      </c>
      <c r="L725" s="228">
        <v>3.0</v>
      </c>
      <c r="M725" s="228" t="s">
        <v>2681</v>
      </c>
    </row>
    <row r="726">
      <c r="A726" s="234" t="s">
        <v>45</v>
      </c>
      <c r="B726" s="224">
        <v>46197.0</v>
      </c>
      <c r="C726" s="284" t="s">
        <v>53</v>
      </c>
      <c r="D726" s="213" t="s">
        <v>2682</v>
      </c>
      <c r="E726" s="12" t="s">
        <v>2683</v>
      </c>
      <c r="F726" s="242" t="s">
        <v>83</v>
      </c>
      <c r="G726" s="346" t="s">
        <v>2684</v>
      </c>
      <c r="H726" s="55"/>
      <c r="I726" s="285" t="s">
        <v>83</v>
      </c>
      <c r="J726" s="222">
        <v>46198.0</v>
      </c>
      <c r="K726" s="223"/>
      <c r="L726" s="223"/>
      <c r="M726" s="228" t="s">
        <v>2685</v>
      </c>
    </row>
    <row r="727">
      <c r="A727" s="234" t="s">
        <v>45</v>
      </c>
      <c r="B727" s="224">
        <v>46198.0</v>
      </c>
      <c r="C727" s="225" t="s">
        <v>148</v>
      </c>
      <c r="D727" s="213" t="s">
        <v>2686</v>
      </c>
      <c r="E727" s="12" t="s">
        <v>2687</v>
      </c>
      <c r="F727" s="226"/>
      <c r="G727" s="347" t="s">
        <v>2688</v>
      </c>
      <c r="H727" s="55" t="s">
        <v>25</v>
      </c>
      <c r="I727" s="221" t="s">
        <v>83</v>
      </c>
      <c r="J727" s="222">
        <v>46198.0</v>
      </c>
      <c r="K727" s="228" t="s">
        <v>2431</v>
      </c>
      <c r="L727" s="223"/>
      <c r="M727" s="228" t="s">
        <v>2689</v>
      </c>
    </row>
    <row r="728">
      <c r="A728" s="234" t="s">
        <v>67</v>
      </c>
      <c r="B728" s="224">
        <v>46198.0</v>
      </c>
      <c r="C728" s="225" t="s">
        <v>148</v>
      </c>
      <c r="D728" s="213" t="s">
        <v>2690</v>
      </c>
      <c r="E728" s="12" t="s">
        <v>2691</v>
      </c>
      <c r="F728" s="226"/>
      <c r="G728" s="347" t="s">
        <v>2692</v>
      </c>
      <c r="H728" s="55" t="s">
        <v>25</v>
      </c>
      <c r="I728" s="221" t="s">
        <v>83</v>
      </c>
      <c r="J728" s="222">
        <v>46198.0</v>
      </c>
      <c r="K728" s="223"/>
      <c r="L728" s="223"/>
      <c r="M728" s="228" t="s">
        <v>2693</v>
      </c>
    </row>
    <row r="729">
      <c r="A729" s="234" t="s">
        <v>45</v>
      </c>
      <c r="B729" s="224">
        <v>46198.0</v>
      </c>
      <c r="C729" s="284" t="s">
        <v>53</v>
      </c>
      <c r="D729" s="213" t="s">
        <v>2694</v>
      </c>
      <c r="E729" s="12" t="s">
        <v>2695</v>
      </c>
      <c r="F729" s="242"/>
      <c r="G729" s="346" t="s">
        <v>2696</v>
      </c>
      <c r="H729" s="55"/>
      <c r="I729" s="285" t="s">
        <v>83</v>
      </c>
      <c r="J729" s="222">
        <v>46198.0</v>
      </c>
      <c r="K729" s="224">
        <v>46221.0</v>
      </c>
      <c r="L729" s="228">
        <v>4.0</v>
      </c>
      <c r="M729" s="228" t="s">
        <v>2697</v>
      </c>
    </row>
    <row r="730">
      <c r="A730" s="234" t="s">
        <v>108</v>
      </c>
      <c r="B730" s="224">
        <v>46199.0</v>
      </c>
      <c r="C730" s="225" t="s">
        <v>148</v>
      </c>
      <c r="D730" s="213" t="s">
        <v>2698</v>
      </c>
      <c r="E730" s="12" t="s">
        <v>2699</v>
      </c>
      <c r="F730" s="226"/>
      <c r="G730" s="347" t="s">
        <v>2700</v>
      </c>
      <c r="H730" s="55" t="s">
        <v>25</v>
      </c>
      <c r="I730" s="221" t="s">
        <v>83</v>
      </c>
      <c r="J730" s="222">
        <v>46199.0</v>
      </c>
      <c r="K730" s="223"/>
      <c r="L730" s="223"/>
      <c r="M730" s="292" t="s">
        <v>2701</v>
      </c>
    </row>
    <row r="731">
      <c r="A731" s="234" t="s">
        <v>108</v>
      </c>
      <c r="B731" s="224">
        <v>46199.0</v>
      </c>
      <c r="C731" s="225" t="s">
        <v>148</v>
      </c>
      <c r="D731" s="213" t="s">
        <v>2702</v>
      </c>
      <c r="E731" s="12" t="s">
        <v>2703</v>
      </c>
      <c r="F731" s="226"/>
      <c r="G731" s="347" t="s">
        <v>2704</v>
      </c>
      <c r="H731" s="55" t="s">
        <v>25</v>
      </c>
      <c r="I731" s="221" t="s">
        <v>83</v>
      </c>
      <c r="J731" s="222">
        <v>46199.0</v>
      </c>
      <c r="K731" s="223"/>
      <c r="L731" s="223"/>
      <c r="M731" s="307" t="s">
        <v>2705</v>
      </c>
    </row>
    <row r="732">
      <c r="A732" s="234" t="s">
        <v>108</v>
      </c>
      <c r="B732" s="224">
        <v>46199.0</v>
      </c>
      <c r="C732" s="225" t="s">
        <v>148</v>
      </c>
      <c r="D732" s="213" t="s">
        <v>2706</v>
      </c>
      <c r="E732" s="12" t="s">
        <v>2707</v>
      </c>
      <c r="F732" s="226"/>
      <c r="G732" s="347" t="s">
        <v>2708</v>
      </c>
      <c r="H732" s="55" t="s">
        <v>25</v>
      </c>
      <c r="I732" s="221" t="s">
        <v>83</v>
      </c>
      <c r="J732" s="222">
        <v>46199.0</v>
      </c>
      <c r="K732" s="223"/>
      <c r="L732" s="223"/>
      <c r="M732" s="307" t="s">
        <v>2709</v>
      </c>
    </row>
    <row r="733">
      <c r="A733" s="234" t="s">
        <v>815</v>
      </c>
      <c r="B733" s="224">
        <v>46199.0</v>
      </c>
      <c r="C733" s="225" t="s">
        <v>68</v>
      </c>
      <c r="D733" s="213" t="s">
        <v>2710</v>
      </c>
      <c r="E733" s="12" t="s">
        <v>2711</v>
      </c>
      <c r="F733" s="226" t="s">
        <v>338</v>
      </c>
      <c r="G733" s="347" t="s">
        <v>2712</v>
      </c>
      <c r="H733" s="55" t="s">
        <v>25</v>
      </c>
      <c r="I733" s="221" t="s">
        <v>83</v>
      </c>
      <c r="J733" s="222">
        <v>46199.0</v>
      </c>
      <c r="K733" s="223"/>
      <c r="L733" s="223"/>
      <c r="M733" s="228" t="s">
        <v>190</v>
      </c>
    </row>
    <row r="734">
      <c r="A734" s="234" t="s">
        <v>45</v>
      </c>
      <c r="B734" s="224">
        <v>46199.0</v>
      </c>
      <c r="C734" s="225" t="s">
        <v>68</v>
      </c>
      <c r="D734" s="213" t="s">
        <v>2713</v>
      </c>
      <c r="E734" s="12" t="s">
        <v>2714</v>
      </c>
      <c r="F734" s="226"/>
      <c r="G734" s="347"/>
      <c r="H734" s="55" t="s">
        <v>25</v>
      </c>
      <c r="I734" s="221" t="s">
        <v>83</v>
      </c>
      <c r="J734" s="222">
        <v>46199.0</v>
      </c>
      <c r="K734" s="223"/>
      <c r="L734" s="223"/>
      <c r="M734" s="228" t="s">
        <v>2715</v>
      </c>
    </row>
    <row r="735">
      <c r="A735" s="234" t="s">
        <v>815</v>
      </c>
      <c r="B735" s="224">
        <v>46198.0</v>
      </c>
      <c r="C735" s="225" t="s">
        <v>148</v>
      </c>
      <c r="D735" s="213" t="s">
        <v>2716</v>
      </c>
      <c r="E735" s="12" t="s">
        <v>2717</v>
      </c>
      <c r="F735" s="226"/>
      <c r="G735" s="347" t="s">
        <v>2718</v>
      </c>
      <c r="H735" s="55" t="s">
        <v>25</v>
      </c>
      <c r="I735" s="221" t="s">
        <v>83</v>
      </c>
      <c r="J735" s="222">
        <v>46203.0</v>
      </c>
      <c r="K735" s="223"/>
      <c r="L735" s="223"/>
      <c r="M735" s="228" t="s">
        <v>2719</v>
      </c>
    </row>
    <row r="736">
      <c r="A736" s="234" t="s">
        <v>108</v>
      </c>
      <c r="B736" s="224">
        <v>46198.0</v>
      </c>
      <c r="C736" s="225" t="s">
        <v>148</v>
      </c>
      <c r="D736" s="213" t="s">
        <v>2720</v>
      </c>
      <c r="E736" s="12" t="s">
        <v>2721</v>
      </c>
      <c r="F736" s="226"/>
      <c r="G736" s="347" t="s">
        <v>2722</v>
      </c>
      <c r="H736" s="55" t="s">
        <v>25</v>
      </c>
      <c r="I736" s="221" t="s">
        <v>83</v>
      </c>
      <c r="J736" s="222">
        <v>46200.0</v>
      </c>
      <c r="K736" s="223"/>
      <c r="L736" s="223"/>
      <c r="M736" s="307" t="s">
        <v>2723</v>
      </c>
    </row>
    <row r="737">
      <c r="A737" s="234" t="s">
        <v>815</v>
      </c>
      <c r="B737" s="224">
        <v>46198.0</v>
      </c>
      <c r="C737" s="225" t="s">
        <v>148</v>
      </c>
      <c r="D737" s="213" t="s">
        <v>2667</v>
      </c>
      <c r="E737" s="12" t="s">
        <v>2668</v>
      </c>
      <c r="F737" s="226"/>
      <c r="G737" s="347" t="s">
        <v>2669</v>
      </c>
      <c r="H737" s="55" t="s">
        <v>25</v>
      </c>
      <c r="I737" s="221" t="s">
        <v>83</v>
      </c>
      <c r="J737" s="222">
        <v>46200.0</v>
      </c>
      <c r="K737" s="223"/>
      <c r="L737" s="223"/>
      <c r="M737" s="228" t="s">
        <v>190</v>
      </c>
    </row>
    <row r="738">
      <c r="A738" s="234" t="s">
        <v>45</v>
      </c>
      <c r="B738" s="224">
        <v>46199.0</v>
      </c>
      <c r="C738" s="225" t="s">
        <v>148</v>
      </c>
      <c r="D738" s="213" t="s">
        <v>2724</v>
      </c>
      <c r="E738" s="12" t="s">
        <v>2725</v>
      </c>
      <c r="F738" s="226"/>
      <c r="G738" s="347" t="s">
        <v>2726</v>
      </c>
      <c r="H738" s="55" t="s">
        <v>25</v>
      </c>
      <c r="I738" s="221" t="s">
        <v>83</v>
      </c>
      <c r="J738" s="222">
        <v>46200.0</v>
      </c>
      <c r="K738" s="224">
        <v>46207.0</v>
      </c>
      <c r="L738" s="228">
        <v>1.0</v>
      </c>
      <c r="M738" s="199" t="s">
        <v>2727</v>
      </c>
    </row>
    <row r="739">
      <c r="A739" s="234" t="s">
        <v>815</v>
      </c>
      <c r="B739" s="224">
        <v>46200.0</v>
      </c>
      <c r="C739" s="225" t="s">
        <v>148</v>
      </c>
      <c r="D739" s="213" t="s">
        <v>2728</v>
      </c>
      <c r="E739" s="12" t="s">
        <v>2729</v>
      </c>
      <c r="F739" s="226"/>
      <c r="G739" s="347" t="s">
        <v>2730</v>
      </c>
      <c r="H739" s="55" t="s">
        <v>25</v>
      </c>
      <c r="I739" s="221" t="s">
        <v>83</v>
      </c>
      <c r="J739" s="222">
        <v>46200.0</v>
      </c>
      <c r="K739" s="223"/>
      <c r="L739" s="223"/>
      <c r="M739" s="228" t="s">
        <v>190</v>
      </c>
    </row>
    <row r="740">
      <c r="A740" s="234" t="s">
        <v>815</v>
      </c>
      <c r="B740" s="224">
        <v>46200.0</v>
      </c>
      <c r="C740" s="225" t="s">
        <v>148</v>
      </c>
      <c r="D740" s="213" t="s">
        <v>2731</v>
      </c>
      <c r="E740" s="12" t="s">
        <v>2732</v>
      </c>
      <c r="F740" s="226"/>
      <c r="G740" s="347" t="s">
        <v>2733</v>
      </c>
      <c r="H740" s="55" t="s">
        <v>25</v>
      </c>
      <c r="I740" s="221" t="s">
        <v>83</v>
      </c>
      <c r="J740" s="222">
        <v>46203.0</v>
      </c>
      <c r="K740" s="223"/>
      <c r="L740" s="223"/>
      <c r="M740" s="228" t="s">
        <v>182</v>
      </c>
    </row>
    <row r="741">
      <c r="A741" s="234" t="s">
        <v>815</v>
      </c>
      <c r="B741" s="224">
        <v>46200.0</v>
      </c>
      <c r="C741" s="225" t="s">
        <v>148</v>
      </c>
      <c r="D741" s="213" t="s">
        <v>2734</v>
      </c>
      <c r="E741" s="12" t="s">
        <v>2735</v>
      </c>
      <c r="F741" s="226"/>
      <c r="G741" s="347" t="s">
        <v>2736</v>
      </c>
      <c r="H741" s="55" t="s">
        <v>25</v>
      </c>
      <c r="I741" s="221" t="s">
        <v>83</v>
      </c>
      <c r="J741" s="222">
        <v>46200.0</v>
      </c>
      <c r="K741" s="223"/>
      <c r="L741" s="223"/>
      <c r="M741" s="228" t="s">
        <v>190</v>
      </c>
    </row>
    <row r="742">
      <c r="A742" s="286" t="s">
        <v>67</v>
      </c>
      <c r="B742" s="293">
        <v>46203.0</v>
      </c>
      <c r="C742" s="294" t="s">
        <v>68</v>
      </c>
      <c r="D742" s="311" t="s">
        <v>2737</v>
      </c>
      <c r="E742" s="295" t="s">
        <v>2738</v>
      </c>
      <c r="F742" s="296" t="s">
        <v>338</v>
      </c>
      <c r="G742" s="349" t="s">
        <v>2739</v>
      </c>
      <c r="H742" s="298" t="s">
        <v>25</v>
      </c>
      <c r="I742" s="299" t="s">
        <v>338</v>
      </c>
      <c r="J742" s="300">
        <v>46203.0</v>
      </c>
      <c r="K742" s="293">
        <v>46218.0</v>
      </c>
      <c r="L742" s="292">
        <v>2.0</v>
      </c>
      <c r="M742" s="350" t="s">
        <v>2740</v>
      </c>
      <c r="N742" s="291"/>
      <c r="O742" s="291"/>
      <c r="P742" s="291"/>
      <c r="Q742" s="291"/>
      <c r="R742" s="291"/>
      <c r="S742" s="291"/>
      <c r="T742" s="291"/>
      <c r="U742" s="291"/>
      <c r="V742" s="291"/>
      <c r="W742" s="291"/>
      <c r="X742" s="291"/>
      <c r="Y742" s="291"/>
      <c r="Z742" s="291"/>
      <c r="AA742" s="291"/>
    </row>
    <row r="743">
      <c r="A743" s="234" t="s">
        <v>45</v>
      </c>
      <c r="B743" s="224">
        <v>46203.0</v>
      </c>
      <c r="C743" s="225" t="s">
        <v>68</v>
      </c>
      <c r="D743" s="213" t="s">
        <v>2741</v>
      </c>
      <c r="E743" s="12" t="s">
        <v>2742</v>
      </c>
      <c r="F743" s="226" t="s">
        <v>338</v>
      </c>
      <c r="G743" s="347" t="s">
        <v>2743</v>
      </c>
      <c r="H743" s="55" t="s">
        <v>25</v>
      </c>
      <c r="I743" s="221" t="s">
        <v>338</v>
      </c>
      <c r="J743" s="222">
        <v>46203.0</v>
      </c>
      <c r="K743" s="224">
        <v>46218.0</v>
      </c>
      <c r="L743" s="228">
        <v>2.0</v>
      </c>
      <c r="M743" s="228" t="s">
        <v>2744</v>
      </c>
    </row>
    <row r="744">
      <c r="A744" s="234" t="s">
        <v>45</v>
      </c>
      <c r="B744" s="224">
        <v>46203.0</v>
      </c>
      <c r="C744" s="225" t="s">
        <v>68</v>
      </c>
      <c r="D744" s="213" t="s">
        <v>2745</v>
      </c>
      <c r="E744" s="12" t="s">
        <v>2746</v>
      </c>
      <c r="F744" s="226" t="s">
        <v>83</v>
      </c>
      <c r="G744" s="347" t="s">
        <v>2747</v>
      </c>
      <c r="H744" s="55"/>
      <c r="I744" s="221" t="s">
        <v>83</v>
      </c>
      <c r="J744" s="222">
        <v>46203.0</v>
      </c>
      <c r="K744" s="223"/>
      <c r="L744" s="223"/>
      <c r="M744" s="228" t="s">
        <v>2748</v>
      </c>
    </row>
    <row r="745">
      <c r="A745" s="234" t="s">
        <v>45</v>
      </c>
      <c r="B745" s="224">
        <v>46203.0</v>
      </c>
      <c r="C745" s="225" t="s">
        <v>148</v>
      </c>
      <c r="D745" s="213" t="s">
        <v>2749</v>
      </c>
      <c r="E745" s="12" t="s">
        <v>2750</v>
      </c>
      <c r="F745" s="226"/>
      <c r="G745" s="347" t="s">
        <v>2751</v>
      </c>
      <c r="H745" s="55" t="s">
        <v>25</v>
      </c>
      <c r="I745" s="221" t="s">
        <v>83</v>
      </c>
      <c r="J745" s="222">
        <v>46203.0</v>
      </c>
      <c r="K745" s="228" t="s">
        <v>2431</v>
      </c>
      <c r="L745" s="228" t="s">
        <v>2431</v>
      </c>
      <c r="M745" s="228" t="s">
        <v>2752</v>
      </c>
    </row>
    <row r="746">
      <c r="A746" s="312" t="s">
        <v>108</v>
      </c>
      <c r="B746" s="313">
        <v>46203.0</v>
      </c>
      <c r="C746" s="314" t="s">
        <v>148</v>
      </c>
      <c r="D746" s="315" t="s">
        <v>2753</v>
      </c>
      <c r="E746" s="316" t="s">
        <v>2754</v>
      </c>
      <c r="F746" s="317"/>
      <c r="G746" s="345" t="s">
        <v>2755</v>
      </c>
      <c r="H746" s="318" t="s">
        <v>25</v>
      </c>
      <c r="I746" s="319" t="s">
        <v>83</v>
      </c>
      <c r="J746" s="320">
        <v>46203.0</v>
      </c>
      <c r="K746" s="321"/>
      <c r="L746" s="321"/>
      <c r="M746" s="307" t="s">
        <v>2756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234" t="s">
        <v>815</v>
      </c>
      <c r="B747" s="224">
        <v>46203.0</v>
      </c>
      <c r="C747" s="225" t="s">
        <v>148</v>
      </c>
      <c r="D747" s="213" t="s">
        <v>2757</v>
      </c>
      <c r="E747" s="12" t="s">
        <v>2758</v>
      </c>
      <c r="F747" s="226"/>
      <c r="G747" s="347" t="s">
        <v>2759</v>
      </c>
      <c r="H747" s="55" t="s">
        <v>25</v>
      </c>
      <c r="I747" s="221" t="s">
        <v>83</v>
      </c>
      <c r="J747" s="222">
        <v>46203.0</v>
      </c>
      <c r="K747" s="223"/>
      <c r="L747" s="223"/>
      <c r="M747" s="228" t="s">
        <v>182</v>
      </c>
    </row>
    <row r="748">
      <c r="A748" s="234" t="s">
        <v>67</v>
      </c>
      <c r="B748" s="224">
        <v>46203.0</v>
      </c>
      <c r="C748" s="284" t="s">
        <v>148</v>
      </c>
      <c r="D748" s="213" t="s">
        <v>2760</v>
      </c>
      <c r="E748" s="12" t="s">
        <v>2761</v>
      </c>
      <c r="F748" s="242"/>
      <c r="G748" s="346" t="s">
        <v>2762</v>
      </c>
      <c r="H748" s="55" t="s">
        <v>25</v>
      </c>
      <c r="I748" s="285" t="s">
        <v>83</v>
      </c>
      <c r="J748" s="222">
        <v>46203.0</v>
      </c>
      <c r="K748" s="223"/>
      <c r="L748" s="223"/>
      <c r="M748" s="228" t="s">
        <v>2763</v>
      </c>
    </row>
    <row r="749">
      <c r="A749" s="234" t="s">
        <v>45</v>
      </c>
      <c r="B749" s="224">
        <v>46204.0</v>
      </c>
      <c r="C749" s="225" t="s">
        <v>53</v>
      </c>
      <c r="D749" s="213" t="s">
        <v>2764</v>
      </c>
      <c r="E749" s="12" t="s">
        <v>2765</v>
      </c>
      <c r="F749" s="226"/>
      <c r="G749" s="347" t="s">
        <v>2766</v>
      </c>
      <c r="H749" s="55"/>
      <c r="I749" s="221" t="s">
        <v>83</v>
      </c>
      <c r="J749" s="222">
        <v>46204.0</v>
      </c>
      <c r="K749" s="224">
        <v>46214.0</v>
      </c>
      <c r="L749" s="228">
        <v>4.0</v>
      </c>
      <c r="M749" s="228" t="s">
        <v>2767</v>
      </c>
    </row>
    <row r="750">
      <c r="A750" s="234" t="s">
        <v>45</v>
      </c>
      <c r="B750" s="224">
        <v>46205.0</v>
      </c>
      <c r="C750" s="225" t="s">
        <v>53</v>
      </c>
      <c r="D750" s="213" t="s">
        <v>2768</v>
      </c>
      <c r="E750" s="12" t="s">
        <v>2769</v>
      </c>
      <c r="F750" s="226"/>
      <c r="G750" s="347" t="s">
        <v>2770</v>
      </c>
      <c r="H750" s="55"/>
      <c r="I750" s="221" t="s">
        <v>83</v>
      </c>
      <c r="J750" s="222">
        <v>46205.0</v>
      </c>
      <c r="K750" s="224">
        <v>46241.0</v>
      </c>
      <c r="L750" s="228">
        <v>4.0</v>
      </c>
      <c r="M750" s="228" t="s">
        <v>2771</v>
      </c>
    </row>
    <row r="751">
      <c r="A751" s="312" t="s">
        <v>108</v>
      </c>
      <c r="B751" s="313">
        <v>46206.0</v>
      </c>
      <c r="C751" s="314" t="s">
        <v>68</v>
      </c>
      <c r="D751" s="315" t="s">
        <v>2772</v>
      </c>
      <c r="E751" s="316" t="s">
        <v>2773</v>
      </c>
      <c r="F751" s="317" t="s">
        <v>338</v>
      </c>
      <c r="G751" s="345" t="s">
        <v>2774</v>
      </c>
      <c r="H751" s="318" t="s">
        <v>25</v>
      </c>
      <c r="I751" s="319" t="s">
        <v>83</v>
      </c>
      <c r="J751" s="320">
        <v>46211.0</v>
      </c>
      <c r="K751" s="321"/>
      <c r="L751" s="321"/>
      <c r="M751" s="306" t="s">
        <v>2775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34" t="s">
        <v>45</v>
      </c>
      <c r="B752" s="224">
        <v>46207.0</v>
      </c>
      <c r="C752" s="225" t="s">
        <v>53</v>
      </c>
      <c r="D752" s="213" t="s">
        <v>2776</v>
      </c>
      <c r="E752" s="12" t="s">
        <v>2777</v>
      </c>
      <c r="F752" s="226"/>
      <c r="G752" s="347" t="s">
        <v>2778</v>
      </c>
      <c r="H752" s="55"/>
      <c r="I752" s="221" t="s">
        <v>83</v>
      </c>
      <c r="J752" s="222">
        <v>46207.0</v>
      </c>
      <c r="K752" s="224">
        <v>46207.0</v>
      </c>
      <c r="L752" s="228">
        <v>1.0</v>
      </c>
      <c r="M752" s="228" t="s">
        <v>2779</v>
      </c>
    </row>
    <row r="753">
      <c r="A753" s="234" t="s">
        <v>815</v>
      </c>
      <c r="B753" s="224">
        <v>46207.0</v>
      </c>
      <c r="C753" s="225" t="s">
        <v>148</v>
      </c>
      <c r="D753" s="213" t="s">
        <v>2780</v>
      </c>
      <c r="E753" s="12" t="s">
        <v>2781</v>
      </c>
      <c r="F753" s="226"/>
      <c r="G753" s="347" t="s">
        <v>2782</v>
      </c>
      <c r="H753" s="55" t="s">
        <v>25</v>
      </c>
      <c r="I753" s="221" t="s">
        <v>83</v>
      </c>
      <c r="J753" s="222">
        <v>46205.0</v>
      </c>
      <c r="K753" s="223"/>
      <c r="L753" s="223"/>
      <c r="M753" s="228" t="s">
        <v>190</v>
      </c>
    </row>
    <row r="754">
      <c r="A754" s="234" t="s">
        <v>67</v>
      </c>
      <c r="B754" s="224">
        <v>46207.0</v>
      </c>
      <c r="C754" s="225" t="s">
        <v>148</v>
      </c>
      <c r="D754" s="213" t="s">
        <v>2783</v>
      </c>
      <c r="E754" s="12" t="s">
        <v>2784</v>
      </c>
      <c r="F754" s="226"/>
      <c r="G754" s="347" t="s">
        <v>2785</v>
      </c>
      <c r="H754" s="55" t="s">
        <v>25</v>
      </c>
      <c r="I754" s="221" t="s">
        <v>83</v>
      </c>
      <c r="J754" s="222">
        <v>46207.0</v>
      </c>
      <c r="K754" s="223"/>
      <c r="L754" s="223"/>
      <c r="M754" s="228" t="s">
        <v>2786</v>
      </c>
    </row>
    <row r="755">
      <c r="A755" s="234" t="s">
        <v>108</v>
      </c>
      <c r="B755" s="224">
        <v>46207.0</v>
      </c>
      <c r="C755" s="284" t="s">
        <v>148</v>
      </c>
      <c r="D755" s="213" t="s">
        <v>2787</v>
      </c>
      <c r="E755" s="12" t="s">
        <v>2788</v>
      </c>
      <c r="F755" s="242"/>
      <c r="G755" s="346" t="s">
        <v>2789</v>
      </c>
      <c r="H755" s="55" t="s">
        <v>25</v>
      </c>
      <c r="I755" s="285" t="s">
        <v>83</v>
      </c>
      <c r="J755" s="222">
        <v>46207.0</v>
      </c>
      <c r="K755" s="228" t="s">
        <v>2431</v>
      </c>
      <c r="L755" s="223"/>
      <c r="M755" s="228" t="s">
        <v>2790</v>
      </c>
    </row>
    <row r="756">
      <c r="A756" s="312" t="s">
        <v>108</v>
      </c>
      <c r="B756" s="313">
        <v>46207.0</v>
      </c>
      <c r="C756" s="314" t="s">
        <v>148</v>
      </c>
      <c r="D756" s="315" t="s">
        <v>2295</v>
      </c>
      <c r="E756" s="316" t="s">
        <v>2791</v>
      </c>
      <c r="F756" s="317"/>
      <c r="G756" s="345" t="s">
        <v>2792</v>
      </c>
      <c r="H756" s="318" t="s">
        <v>25</v>
      </c>
      <c r="I756" s="319" t="s">
        <v>83</v>
      </c>
      <c r="J756" s="320">
        <v>46207.0</v>
      </c>
      <c r="K756" s="321"/>
      <c r="L756" s="321"/>
      <c r="M756" s="307" t="s">
        <v>2793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234" t="s">
        <v>45</v>
      </c>
      <c r="B757" s="224">
        <v>46207.0</v>
      </c>
      <c r="C757" s="225" t="s">
        <v>68</v>
      </c>
      <c r="D757" s="213" t="s">
        <v>2794</v>
      </c>
      <c r="E757" s="12" t="s">
        <v>2795</v>
      </c>
      <c r="F757" s="226" t="s">
        <v>338</v>
      </c>
      <c r="G757" s="347" t="s">
        <v>2796</v>
      </c>
      <c r="H757" s="55" t="s">
        <v>25</v>
      </c>
      <c r="I757" s="221" t="s">
        <v>83</v>
      </c>
      <c r="J757" s="222">
        <v>46239.0</v>
      </c>
      <c r="K757" s="224">
        <v>46263.0</v>
      </c>
      <c r="L757" s="228">
        <v>5.0</v>
      </c>
      <c r="M757" s="228" t="s">
        <v>2797</v>
      </c>
    </row>
    <row r="758">
      <c r="A758" s="312" t="s">
        <v>108</v>
      </c>
      <c r="B758" s="313">
        <v>46207.0</v>
      </c>
      <c r="C758" s="314" t="s">
        <v>148</v>
      </c>
      <c r="D758" s="315" t="s">
        <v>2798</v>
      </c>
      <c r="E758" s="316" t="s">
        <v>2799</v>
      </c>
      <c r="F758" s="317"/>
      <c r="G758" s="345" t="s">
        <v>2800</v>
      </c>
      <c r="H758" s="318" t="s">
        <v>25</v>
      </c>
      <c r="I758" s="319" t="s">
        <v>83</v>
      </c>
      <c r="J758" s="320">
        <v>46211.0</v>
      </c>
      <c r="K758" s="321"/>
      <c r="L758" s="321"/>
      <c r="M758" s="307" t="s">
        <v>2801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312" t="s">
        <v>108</v>
      </c>
      <c r="B759" s="313">
        <v>46207.0</v>
      </c>
      <c r="C759" s="314" t="s">
        <v>148</v>
      </c>
      <c r="D759" s="315" t="s">
        <v>2802</v>
      </c>
      <c r="E759" s="316" t="s">
        <v>2803</v>
      </c>
      <c r="F759" s="317"/>
      <c r="G759" s="345" t="s">
        <v>2804</v>
      </c>
      <c r="H759" s="318" t="s">
        <v>25</v>
      </c>
      <c r="I759" s="319" t="s">
        <v>83</v>
      </c>
      <c r="J759" s="320">
        <v>46211.0</v>
      </c>
      <c r="K759" s="321"/>
      <c r="L759" s="321"/>
      <c r="M759" s="307" t="s">
        <v>2805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234" t="s">
        <v>45</v>
      </c>
      <c r="B760" s="224">
        <v>46210.0</v>
      </c>
      <c r="C760" s="225" t="s">
        <v>68</v>
      </c>
      <c r="D760" s="213" t="s">
        <v>2806</v>
      </c>
      <c r="E760" s="12" t="s">
        <v>2807</v>
      </c>
      <c r="F760" s="226" t="s">
        <v>338</v>
      </c>
      <c r="G760" s="347" t="s">
        <v>2808</v>
      </c>
      <c r="H760" s="55" t="s">
        <v>25</v>
      </c>
      <c r="I760" s="221" t="s">
        <v>83</v>
      </c>
      <c r="J760" s="222">
        <v>46210.0</v>
      </c>
      <c r="K760" s="224">
        <v>46218.0</v>
      </c>
      <c r="L760" s="228">
        <v>3.0</v>
      </c>
      <c r="M760" s="228" t="s">
        <v>2809</v>
      </c>
    </row>
    <row r="761">
      <c r="A761" s="234" t="s">
        <v>45</v>
      </c>
      <c r="B761" s="224">
        <v>46210.0</v>
      </c>
      <c r="C761" s="225" t="s">
        <v>68</v>
      </c>
      <c r="D761" s="213" t="s">
        <v>2810</v>
      </c>
      <c r="E761" s="12" t="s">
        <v>2811</v>
      </c>
      <c r="F761" s="226" t="s">
        <v>338</v>
      </c>
      <c r="G761" s="347" t="s">
        <v>2812</v>
      </c>
      <c r="H761" s="55" t="s">
        <v>25</v>
      </c>
      <c r="I761" s="221" t="s">
        <v>83</v>
      </c>
      <c r="J761" s="222">
        <v>46210.0</v>
      </c>
      <c r="K761" s="224">
        <v>46235.0</v>
      </c>
      <c r="L761" s="228">
        <v>4.0</v>
      </c>
      <c r="M761" s="228" t="s">
        <v>2813</v>
      </c>
    </row>
    <row r="762">
      <c r="A762" s="234" t="s">
        <v>45</v>
      </c>
      <c r="B762" s="224">
        <v>46210.0</v>
      </c>
      <c r="C762" s="225" t="s">
        <v>53</v>
      </c>
      <c r="D762" s="213" t="s">
        <v>2814</v>
      </c>
      <c r="E762" s="12" t="s">
        <v>2815</v>
      </c>
      <c r="F762" s="226"/>
      <c r="G762" s="346" t="s">
        <v>2816</v>
      </c>
      <c r="H762" s="55"/>
      <c r="I762" s="221" t="s">
        <v>83</v>
      </c>
      <c r="J762" s="222">
        <v>46210.0</v>
      </c>
      <c r="K762" s="224">
        <v>46241.0</v>
      </c>
      <c r="L762" s="228">
        <v>2.0</v>
      </c>
      <c r="M762" s="228" t="s">
        <v>2817</v>
      </c>
    </row>
    <row r="763">
      <c r="A763" s="234" t="s">
        <v>45</v>
      </c>
      <c r="B763" s="224">
        <v>46210.0</v>
      </c>
      <c r="C763" s="284" t="s">
        <v>53</v>
      </c>
      <c r="D763" s="213" t="s">
        <v>2818</v>
      </c>
      <c r="E763" s="12" t="s">
        <v>2819</v>
      </c>
      <c r="F763" s="242"/>
      <c r="G763" s="346" t="s">
        <v>414</v>
      </c>
      <c r="H763" s="55"/>
      <c r="I763" s="285" t="s">
        <v>83</v>
      </c>
      <c r="J763" s="222">
        <v>46210.0</v>
      </c>
      <c r="K763" s="223"/>
      <c r="L763" s="223"/>
      <c r="M763" s="228" t="s">
        <v>2820</v>
      </c>
    </row>
    <row r="764">
      <c r="A764" s="234" t="s">
        <v>45</v>
      </c>
      <c r="B764" s="224">
        <v>46210.0</v>
      </c>
      <c r="C764" s="284" t="s">
        <v>148</v>
      </c>
      <c r="D764" s="213" t="s">
        <v>2821</v>
      </c>
      <c r="E764" s="12" t="s">
        <v>2822</v>
      </c>
      <c r="F764" s="242"/>
      <c r="G764" s="346" t="s">
        <v>2823</v>
      </c>
      <c r="H764" s="55" t="s">
        <v>25</v>
      </c>
      <c r="I764" s="285" t="s">
        <v>83</v>
      </c>
      <c r="J764" s="222">
        <v>46211.0</v>
      </c>
      <c r="K764" s="224">
        <v>46221.0</v>
      </c>
      <c r="L764" s="228">
        <v>2.0</v>
      </c>
      <c r="M764" s="351" t="s">
        <v>2824</v>
      </c>
    </row>
    <row r="765">
      <c r="A765" s="234" t="s">
        <v>815</v>
      </c>
      <c r="B765" s="224">
        <v>46210.0</v>
      </c>
      <c r="C765" s="225" t="s">
        <v>148</v>
      </c>
      <c r="D765" s="213" t="s">
        <v>2825</v>
      </c>
      <c r="E765" s="12" t="s">
        <v>2826</v>
      </c>
      <c r="F765" s="226"/>
      <c r="G765" s="347" t="s">
        <v>2827</v>
      </c>
      <c r="H765" s="55" t="s">
        <v>25</v>
      </c>
      <c r="I765" s="221" t="s">
        <v>83</v>
      </c>
      <c r="J765" s="222">
        <v>46211.0</v>
      </c>
      <c r="K765" s="223"/>
      <c r="L765" s="223"/>
      <c r="M765" s="228" t="s">
        <v>190</v>
      </c>
    </row>
    <row r="766">
      <c r="A766" s="234" t="s">
        <v>815</v>
      </c>
      <c r="B766" s="224">
        <v>46210.0</v>
      </c>
      <c r="C766" s="225" t="s">
        <v>148</v>
      </c>
      <c r="D766" s="213" t="s">
        <v>2828</v>
      </c>
      <c r="E766" s="12" t="s">
        <v>2829</v>
      </c>
      <c r="F766" s="226"/>
      <c r="G766" s="347" t="s">
        <v>2830</v>
      </c>
      <c r="H766" s="55" t="s">
        <v>25</v>
      </c>
      <c r="I766" s="221" t="s">
        <v>83</v>
      </c>
      <c r="J766" s="222">
        <v>46211.0</v>
      </c>
      <c r="K766" s="223"/>
      <c r="L766" s="223"/>
      <c r="M766" s="228" t="s">
        <v>190</v>
      </c>
    </row>
    <row r="767">
      <c r="A767" s="234" t="s">
        <v>815</v>
      </c>
      <c r="B767" s="224">
        <v>46210.0</v>
      </c>
      <c r="C767" s="225" t="s">
        <v>148</v>
      </c>
      <c r="D767" s="213" t="s">
        <v>2831</v>
      </c>
      <c r="E767" s="12" t="s">
        <v>2832</v>
      </c>
      <c r="F767" s="226"/>
      <c r="G767" s="347" t="s">
        <v>2785</v>
      </c>
      <c r="H767" s="55" t="s">
        <v>25</v>
      </c>
      <c r="I767" s="221" t="s">
        <v>83</v>
      </c>
      <c r="J767" s="222">
        <v>46212.0</v>
      </c>
      <c r="K767" s="223"/>
      <c r="L767" s="223"/>
      <c r="M767" s="228" t="s">
        <v>190</v>
      </c>
    </row>
    <row r="768">
      <c r="A768" s="234" t="s">
        <v>45</v>
      </c>
      <c r="B768" s="224">
        <v>46210.0</v>
      </c>
      <c r="C768" s="225" t="s">
        <v>148</v>
      </c>
      <c r="D768" s="213" t="s">
        <v>2833</v>
      </c>
      <c r="E768" s="12" t="s">
        <v>2834</v>
      </c>
      <c r="F768" s="226"/>
      <c r="G768" s="347" t="s">
        <v>2835</v>
      </c>
      <c r="H768" s="55" t="s">
        <v>25</v>
      </c>
      <c r="I768" s="221" t="s">
        <v>83</v>
      </c>
      <c r="J768" s="222">
        <v>46212.0</v>
      </c>
      <c r="K768" s="223"/>
      <c r="L768" s="223"/>
      <c r="M768" s="228" t="s">
        <v>2836</v>
      </c>
    </row>
    <row r="769">
      <c r="A769" s="234" t="s">
        <v>815</v>
      </c>
      <c r="B769" s="224">
        <v>46210.0</v>
      </c>
      <c r="C769" s="225" t="s">
        <v>148</v>
      </c>
      <c r="D769" s="213" t="s">
        <v>2837</v>
      </c>
      <c r="E769" s="12" t="s">
        <v>2838</v>
      </c>
      <c r="F769" s="226"/>
      <c r="G769" s="347" t="s">
        <v>2839</v>
      </c>
      <c r="H769" s="55" t="s">
        <v>25</v>
      </c>
      <c r="I769" s="221" t="s">
        <v>83</v>
      </c>
      <c r="J769" s="222">
        <v>46212.0</v>
      </c>
      <c r="K769" s="223"/>
      <c r="L769" s="223"/>
      <c r="M769" s="228" t="s">
        <v>190</v>
      </c>
    </row>
    <row r="770">
      <c r="A770" s="234" t="s">
        <v>45</v>
      </c>
      <c r="B770" s="224">
        <v>46210.0</v>
      </c>
      <c r="C770" s="284" t="s">
        <v>148</v>
      </c>
      <c r="D770" s="19" t="s">
        <v>2840</v>
      </c>
      <c r="E770" s="12" t="s">
        <v>2841</v>
      </c>
      <c r="F770" s="242"/>
      <c r="G770" s="346" t="s">
        <v>2842</v>
      </c>
      <c r="H770" s="55" t="s">
        <v>25</v>
      </c>
      <c r="I770" s="285" t="s">
        <v>83</v>
      </c>
      <c r="J770" s="222">
        <v>46212.0</v>
      </c>
      <c r="K770" s="224">
        <v>46221.0</v>
      </c>
      <c r="L770" s="228">
        <v>1.0</v>
      </c>
      <c r="M770" s="228" t="s">
        <v>2843</v>
      </c>
    </row>
    <row r="771">
      <c r="A771" s="286" t="s">
        <v>108</v>
      </c>
      <c r="B771" s="293">
        <v>46210.0</v>
      </c>
      <c r="C771" s="294" t="s">
        <v>148</v>
      </c>
      <c r="D771" s="311" t="s">
        <v>2844</v>
      </c>
      <c r="E771" s="295" t="s">
        <v>2845</v>
      </c>
      <c r="F771" s="296"/>
      <c r="G771" s="349" t="s">
        <v>2846</v>
      </c>
      <c r="H771" s="298" t="s">
        <v>25</v>
      </c>
      <c r="I771" s="299" t="s">
        <v>83</v>
      </c>
      <c r="J771" s="300">
        <v>46212.0</v>
      </c>
      <c r="K771" s="301"/>
      <c r="L771" s="301"/>
      <c r="M771" s="292" t="s">
        <v>2847</v>
      </c>
      <c r="N771" s="291"/>
      <c r="O771" s="291"/>
      <c r="P771" s="291"/>
      <c r="Q771" s="291"/>
      <c r="R771" s="291"/>
      <c r="S771" s="291"/>
      <c r="T771" s="291"/>
      <c r="U771" s="291"/>
      <c r="V771" s="291"/>
      <c r="W771" s="291"/>
      <c r="X771" s="291"/>
      <c r="Y771" s="291"/>
      <c r="Z771" s="291"/>
      <c r="AA771" s="291"/>
    </row>
    <row r="772">
      <c r="A772" s="234" t="s">
        <v>45</v>
      </c>
      <c r="B772" s="224">
        <v>46210.0</v>
      </c>
      <c r="C772" s="225" t="s">
        <v>148</v>
      </c>
      <c r="D772" s="213" t="s">
        <v>2848</v>
      </c>
      <c r="E772" s="12" t="s">
        <v>2849</v>
      </c>
      <c r="F772" s="226"/>
      <c r="G772" s="347" t="s">
        <v>2850</v>
      </c>
      <c r="H772" s="55" t="s">
        <v>25</v>
      </c>
      <c r="I772" s="221" t="s">
        <v>83</v>
      </c>
      <c r="J772" s="222">
        <v>46213.0</v>
      </c>
      <c r="K772" s="228" t="s">
        <v>2431</v>
      </c>
      <c r="L772" s="223"/>
      <c r="M772" s="228" t="s">
        <v>2851</v>
      </c>
    </row>
    <row r="773">
      <c r="A773" s="234" t="s">
        <v>815</v>
      </c>
      <c r="B773" s="224">
        <v>46210.0</v>
      </c>
      <c r="C773" s="225" t="s">
        <v>148</v>
      </c>
      <c r="D773" s="213" t="s">
        <v>2852</v>
      </c>
      <c r="E773" s="12" t="s">
        <v>2853</v>
      </c>
      <c r="F773" s="226"/>
      <c r="G773" s="347" t="s">
        <v>2854</v>
      </c>
      <c r="H773" s="55" t="s">
        <v>25</v>
      </c>
      <c r="I773" s="221" t="s">
        <v>83</v>
      </c>
      <c r="J773" s="222">
        <v>46213.0</v>
      </c>
      <c r="K773" s="223"/>
      <c r="L773" s="223"/>
      <c r="M773" s="228" t="s">
        <v>190</v>
      </c>
    </row>
    <row r="774">
      <c r="A774" s="234" t="s">
        <v>815</v>
      </c>
      <c r="B774" s="224">
        <v>46211.0</v>
      </c>
      <c r="C774" s="225" t="s">
        <v>148</v>
      </c>
      <c r="D774" s="213" t="s">
        <v>2855</v>
      </c>
      <c r="E774" s="12" t="s">
        <v>2856</v>
      </c>
      <c r="F774" s="226"/>
      <c r="G774" s="347" t="s">
        <v>2857</v>
      </c>
      <c r="H774" s="55" t="s">
        <v>25</v>
      </c>
      <c r="I774" s="221" t="s">
        <v>83</v>
      </c>
      <c r="J774" s="222">
        <v>46213.0</v>
      </c>
      <c r="K774" s="223"/>
      <c r="L774" s="223"/>
      <c r="M774" s="228" t="s">
        <v>182</v>
      </c>
    </row>
    <row r="775">
      <c r="A775" s="234" t="s">
        <v>815</v>
      </c>
      <c r="B775" s="224">
        <v>46210.0</v>
      </c>
      <c r="C775" s="225" t="s">
        <v>148</v>
      </c>
      <c r="D775" s="213" t="s">
        <v>512</v>
      </c>
      <c r="E775" s="12" t="s">
        <v>2858</v>
      </c>
      <c r="F775" s="226"/>
      <c r="G775" s="352" t="s">
        <v>2859</v>
      </c>
      <c r="H775" s="55" t="s">
        <v>25</v>
      </c>
      <c r="I775" s="221" t="s">
        <v>83</v>
      </c>
      <c r="J775" s="222">
        <v>46212.0</v>
      </c>
      <c r="K775" s="223"/>
      <c r="L775" s="223"/>
      <c r="M775" s="228" t="s">
        <v>190</v>
      </c>
    </row>
    <row r="776">
      <c r="A776" s="353" t="s">
        <v>108</v>
      </c>
      <c r="B776" s="354">
        <v>46210.0</v>
      </c>
      <c r="C776" s="355" t="s">
        <v>148</v>
      </c>
      <c r="D776" s="356" t="s">
        <v>2860</v>
      </c>
      <c r="E776" s="357" t="s">
        <v>2861</v>
      </c>
      <c r="F776" s="358"/>
      <c r="G776" s="359" t="s">
        <v>2862</v>
      </c>
      <c r="H776" s="360" t="s">
        <v>25</v>
      </c>
      <c r="I776" s="361" t="s">
        <v>83</v>
      </c>
      <c r="J776" s="362">
        <v>46212.0</v>
      </c>
      <c r="K776" s="363"/>
      <c r="L776" s="363"/>
      <c r="M776" s="364" t="s">
        <v>2863</v>
      </c>
      <c r="N776" s="365"/>
      <c r="O776" s="365"/>
      <c r="P776" s="365"/>
      <c r="Q776" s="365"/>
      <c r="R776" s="365"/>
      <c r="S776" s="365"/>
      <c r="T776" s="365"/>
      <c r="U776" s="365"/>
      <c r="V776" s="365"/>
      <c r="W776" s="365"/>
      <c r="X776" s="365"/>
      <c r="Y776" s="365"/>
      <c r="Z776" s="365"/>
      <c r="AA776" s="365"/>
    </row>
    <row r="777">
      <c r="A777" s="234" t="s">
        <v>67</v>
      </c>
      <c r="B777" s="224">
        <v>46212.0</v>
      </c>
      <c r="C777" s="225" t="s">
        <v>439</v>
      </c>
      <c r="D777" s="213" t="s">
        <v>2864</v>
      </c>
      <c r="E777" s="366" t="s">
        <v>2865</v>
      </c>
      <c r="F777" s="226"/>
      <c r="G777" s="347" t="s">
        <v>2866</v>
      </c>
      <c r="H777" s="55"/>
      <c r="I777" s="221" t="s">
        <v>83</v>
      </c>
      <c r="J777" s="222">
        <v>46212.0</v>
      </c>
      <c r="K777" s="223"/>
      <c r="L777" s="223"/>
      <c r="M777" s="228" t="s">
        <v>2867</v>
      </c>
    </row>
    <row r="778">
      <c r="A778" s="234" t="s">
        <v>45</v>
      </c>
      <c r="B778" s="224">
        <v>46212.0</v>
      </c>
      <c r="C778" s="225" t="s">
        <v>195</v>
      </c>
      <c r="D778" s="367" t="s">
        <v>2868</v>
      </c>
      <c r="E778" s="146" t="s">
        <v>2869</v>
      </c>
      <c r="F778" s="226"/>
      <c r="G778" s="347" t="s">
        <v>2870</v>
      </c>
      <c r="H778" s="55"/>
      <c r="I778" s="221" t="s">
        <v>83</v>
      </c>
      <c r="J778" s="113">
        <v>7.0</v>
      </c>
      <c r="K778" s="224">
        <v>46214.0</v>
      </c>
      <c r="L778" s="228">
        <v>2.0</v>
      </c>
      <c r="M778" s="228" t="s">
        <v>2871</v>
      </c>
    </row>
    <row r="779">
      <c r="A779" s="234" t="s">
        <v>45</v>
      </c>
      <c r="B779" s="224">
        <v>46212.0</v>
      </c>
      <c r="C779" s="284" t="s">
        <v>68</v>
      </c>
      <c r="D779" s="213" t="s">
        <v>2872</v>
      </c>
      <c r="E779" s="12" t="s">
        <v>2873</v>
      </c>
      <c r="F779" s="242"/>
      <c r="G779" s="346" t="s">
        <v>2874</v>
      </c>
      <c r="H779" s="55"/>
      <c r="I779" s="285" t="s">
        <v>83</v>
      </c>
      <c r="J779" s="222">
        <v>46212.0</v>
      </c>
      <c r="K779" s="224">
        <v>46235.0</v>
      </c>
      <c r="L779" s="228">
        <v>5.0</v>
      </c>
      <c r="M779" s="228" t="s">
        <v>2875</v>
      </c>
    </row>
    <row r="780">
      <c r="A780" s="234" t="s">
        <v>45</v>
      </c>
      <c r="B780" s="224">
        <v>46213.0</v>
      </c>
      <c r="C780" s="284" t="s">
        <v>53</v>
      </c>
      <c r="D780" s="213" t="s">
        <v>2876</v>
      </c>
      <c r="E780" s="12" t="s">
        <v>2877</v>
      </c>
      <c r="F780" s="242"/>
      <c r="G780" s="346" t="s">
        <v>414</v>
      </c>
      <c r="H780" s="55"/>
      <c r="I780" s="285" t="s">
        <v>83</v>
      </c>
      <c r="J780" s="222">
        <v>46213.0</v>
      </c>
      <c r="K780" s="224">
        <v>46235.0</v>
      </c>
      <c r="L780" s="228">
        <v>4.0</v>
      </c>
      <c r="M780" s="199" t="s">
        <v>2878</v>
      </c>
    </row>
    <row r="781">
      <c r="A781" s="234" t="s">
        <v>815</v>
      </c>
      <c r="B781" s="224">
        <v>46213.0</v>
      </c>
      <c r="C781" s="284" t="s">
        <v>53</v>
      </c>
      <c r="D781" s="213" t="s">
        <v>2879</v>
      </c>
      <c r="E781" s="12" t="s">
        <v>2880</v>
      </c>
      <c r="F781" s="242"/>
      <c r="G781" s="346" t="s">
        <v>2881</v>
      </c>
      <c r="H781" s="55"/>
      <c r="I781" s="285" t="s">
        <v>83</v>
      </c>
      <c r="J781" s="222">
        <v>46213.0</v>
      </c>
      <c r="K781" s="223"/>
      <c r="L781" s="223"/>
      <c r="M781" s="228" t="s">
        <v>190</v>
      </c>
    </row>
    <row r="782">
      <c r="A782" s="234" t="s">
        <v>815</v>
      </c>
      <c r="B782" s="224">
        <v>46213.0</v>
      </c>
      <c r="C782" s="284" t="s">
        <v>53</v>
      </c>
      <c r="D782" s="213" t="s">
        <v>2882</v>
      </c>
      <c r="E782" s="12" t="s">
        <v>2883</v>
      </c>
      <c r="F782" s="242"/>
      <c r="G782" s="346" t="s">
        <v>2884</v>
      </c>
      <c r="H782" s="55"/>
      <c r="I782" s="285" t="s">
        <v>83</v>
      </c>
      <c r="J782" s="222">
        <v>46213.0</v>
      </c>
      <c r="K782" s="223"/>
      <c r="L782" s="223"/>
      <c r="M782" s="228" t="s">
        <v>190</v>
      </c>
    </row>
    <row r="783">
      <c r="A783" s="234" t="s">
        <v>45</v>
      </c>
      <c r="B783" s="224">
        <v>46214.0</v>
      </c>
      <c r="C783" s="284" t="s">
        <v>53</v>
      </c>
      <c r="D783" s="213" t="s">
        <v>2885</v>
      </c>
      <c r="E783" s="368" t="s">
        <v>2886</v>
      </c>
      <c r="F783" s="242"/>
      <c r="G783" s="346" t="s">
        <v>2887</v>
      </c>
      <c r="H783" s="55"/>
      <c r="I783" s="285" t="s">
        <v>83</v>
      </c>
      <c r="J783" s="222">
        <v>46213.0</v>
      </c>
      <c r="K783" s="224">
        <v>46218.0</v>
      </c>
      <c r="L783" s="228">
        <v>2.0</v>
      </c>
      <c r="M783" s="228" t="s">
        <v>2888</v>
      </c>
    </row>
    <row r="784">
      <c r="A784" s="234" t="s">
        <v>45</v>
      </c>
      <c r="B784" s="224">
        <v>46215.0</v>
      </c>
      <c r="C784" s="284" t="s">
        <v>53</v>
      </c>
      <c r="D784" s="213" t="s">
        <v>2889</v>
      </c>
      <c r="E784" s="12" t="s">
        <v>2890</v>
      </c>
      <c r="F784" s="242"/>
      <c r="G784" s="346" t="s">
        <v>2891</v>
      </c>
      <c r="H784" s="55"/>
      <c r="I784" s="285" t="s">
        <v>83</v>
      </c>
      <c r="J784" s="222">
        <v>46213.0</v>
      </c>
      <c r="K784" s="223"/>
      <c r="L784" s="223"/>
      <c r="M784" s="199" t="s">
        <v>2892</v>
      </c>
    </row>
    <row r="785">
      <c r="A785" s="369" t="s">
        <v>67</v>
      </c>
      <c r="B785" s="370">
        <v>46216.0</v>
      </c>
      <c r="C785" s="371" t="s">
        <v>53</v>
      </c>
      <c r="D785" s="372" t="s">
        <v>2893</v>
      </c>
      <c r="E785" s="373" t="s">
        <v>2894</v>
      </c>
      <c r="F785" s="374"/>
      <c r="G785" s="375" t="s">
        <v>2895</v>
      </c>
      <c r="H785" s="376"/>
      <c r="I785" s="377" t="s">
        <v>83</v>
      </c>
      <c r="J785" s="378">
        <v>46213.0</v>
      </c>
      <c r="K785" s="379"/>
      <c r="L785" s="379"/>
      <c r="M785" s="380" t="s">
        <v>2896</v>
      </c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  <c r="Y785" s="381"/>
      <c r="Z785" s="381"/>
      <c r="AA785" s="381"/>
    </row>
    <row r="786">
      <c r="A786" s="234" t="s">
        <v>45</v>
      </c>
      <c r="B786" s="224">
        <v>46213.0</v>
      </c>
      <c r="C786" s="284" t="s">
        <v>53</v>
      </c>
      <c r="D786" s="213" t="s">
        <v>2897</v>
      </c>
      <c r="E786" s="12" t="s">
        <v>2898</v>
      </c>
      <c r="F786" s="242"/>
      <c r="G786" s="382" t="s">
        <v>2899</v>
      </c>
      <c r="H786" s="55"/>
      <c r="I786" s="285" t="s">
        <v>83</v>
      </c>
      <c r="J786" s="222">
        <v>46213.0</v>
      </c>
      <c r="K786" s="224">
        <v>46227.0</v>
      </c>
      <c r="L786" s="228">
        <v>2.0</v>
      </c>
      <c r="M786" s="228" t="s">
        <v>2900</v>
      </c>
    </row>
    <row r="787">
      <c r="A787" s="234" t="s">
        <v>45</v>
      </c>
      <c r="B787" s="224">
        <v>46213.0</v>
      </c>
      <c r="C787" s="284" t="s">
        <v>53</v>
      </c>
      <c r="D787" s="213" t="s">
        <v>2901</v>
      </c>
      <c r="E787" s="12" t="s">
        <v>2902</v>
      </c>
      <c r="F787" s="242"/>
      <c r="G787" s="346" t="s">
        <v>2903</v>
      </c>
      <c r="H787" s="55"/>
      <c r="I787" s="285" t="s">
        <v>83</v>
      </c>
      <c r="J787" s="222">
        <v>46213.0</v>
      </c>
      <c r="K787" s="224">
        <v>46235.0</v>
      </c>
      <c r="L787" s="228">
        <v>2.0</v>
      </c>
      <c r="M787" s="228" t="s">
        <v>2904</v>
      </c>
    </row>
    <row r="788">
      <c r="A788" s="234" t="s">
        <v>815</v>
      </c>
      <c r="B788" s="224">
        <v>46213.0</v>
      </c>
      <c r="C788" s="284" t="s">
        <v>53</v>
      </c>
      <c r="D788" s="213" t="s">
        <v>2905</v>
      </c>
      <c r="E788" s="12" t="s">
        <v>2906</v>
      </c>
      <c r="F788" s="242"/>
      <c r="G788" s="346" t="s">
        <v>2907</v>
      </c>
      <c r="H788" s="55"/>
      <c r="I788" s="285" t="s">
        <v>83</v>
      </c>
      <c r="J788" s="222">
        <v>46213.0</v>
      </c>
      <c r="K788" s="223"/>
      <c r="L788" s="223"/>
      <c r="M788" s="228" t="s">
        <v>190</v>
      </c>
    </row>
    <row r="789">
      <c r="A789" s="312" t="s">
        <v>815</v>
      </c>
      <c r="B789" s="313">
        <v>46213.0</v>
      </c>
      <c r="C789" s="314" t="s">
        <v>53</v>
      </c>
      <c r="D789" s="315" t="s">
        <v>2908</v>
      </c>
      <c r="E789" s="316" t="s">
        <v>2909</v>
      </c>
      <c r="F789" s="317"/>
      <c r="G789" s="345" t="s">
        <v>2910</v>
      </c>
      <c r="H789" s="318"/>
      <c r="I789" s="319" t="s">
        <v>83</v>
      </c>
      <c r="J789" s="320">
        <v>46213.0</v>
      </c>
      <c r="K789" s="321"/>
      <c r="L789" s="321"/>
      <c r="M789" s="307" t="s">
        <v>190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234" t="s">
        <v>67</v>
      </c>
      <c r="B790" s="224">
        <v>46217.0</v>
      </c>
      <c r="C790" s="284" t="s">
        <v>53</v>
      </c>
      <c r="D790" s="213" t="s">
        <v>2911</v>
      </c>
      <c r="E790" s="12" t="s">
        <v>2912</v>
      </c>
      <c r="F790" s="242"/>
      <c r="G790" s="346" t="s">
        <v>2913</v>
      </c>
      <c r="H790" s="55"/>
      <c r="I790" s="285" t="s">
        <v>83</v>
      </c>
      <c r="J790" s="222">
        <v>46213.0</v>
      </c>
      <c r="K790" s="223"/>
      <c r="L790" s="223"/>
      <c r="M790" s="228" t="s">
        <v>2914</v>
      </c>
    </row>
    <row r="791">
      <c r="A791" s="234" t="s">
        <v>45</v>
      </c>
      <c r="B791" s="224">
        <v>46213.0</v>
      </c>
      <c r="C791" s="225" t="s">
        <v>53</v>
      </c>
      <c r="D791" s="213" t="s">
        <v>2915</v>
      </c>
      <c r="E791" s="12" t="s">
        <v>2916</v>
      </c>
      <c r="F791" s="226" t="s">
        <v>83</v>
      </c>
      <c r="G791" s="347"/>
      <c r="H791" s="55"/>
      <c r="I791" s="221" t="s">
        <v>83</v>
      </c>
      <c r="J791" s="222">
        <v>46213.0</v>
      </c>
      <c r="K791" s="224">
        <v>46249.0</v>
      </c>
      <c r="L791" s="228">
        <v>4.0</v>
      </c>
      <c r="M791" s="228" t="s">
        <v>2917</v>
      </c>
    </row>
    <row r="792">
      <c r="A792" s="234" t="s">
        <v>815</v>
      </c>
      <c r="B792" s="224">
        <v>46213.0</v>
      </c>
      <c r="C792" s="225" t="s">
        <v>53</v>
      </c>
      <c r="D792" s="213" t="s">
        <v>2918</v>
      </c>
      <c r="E792" s="12" t="s">
        <v>2919</v>
      </c>
      <c r="F792" s="226"/>
      <c r="G792" s="347" t="s">
        <v>2920</v>
      </c>
      <c r="H792" s="55"/>
      <c r="I792" s="285" t="s">
        <v>83</v>
      </c>
      <c r="J792" s="222">
        <v>46213.0</v>
      </c>
      <c r="K792" s="223"/>
      <c r="L792" s="223"/>
      <c r="M792" s="228" t="s">
        <v>190</v>
      </c>
    </row>
    <row r="793">
      <c r="A793" s="234" t="s">
        <v>815</v>
      </c>
      <c r="B793" s="224">
        <v>46213.0</v>
      </c>
      <c r="C793" s="225" t="s">
        <v>53</v>
      </c>
      <c r="D793" s="213" t="s">
        <v>2921</v>
      </c>
      <c r="E793" s="12" t="s">
        <v>2922</v>
      </c>
      <c r="F793" s="226"/>
      <c r="G793" s="347" t="s">
        <v>2923</v>
      </c>
      <c r="H793" s="55"/>
      <c r="I793" s="285" t="s">
        <v>83</v>
      </c>
      <c r="J793" s="222">
        <v>46213.0</v>
      </c>
      <c r="K793" s="223"/>
      <c r="L793" s="223"/>
      <c r="M793" s="228" t="s">
        <v>190</v>
      </c>
    </row>
    <row r="794">
      <c r="A794" s="383" t="s">
        <v>815</v>
      </c>
      <c r="B794" s="384">
        <v>46210.0</v>
      </c>
      <c r="C794" s="385" t="s">
        <v>148</v>
      </c>
      <c r="D794" s="386" t="s">
        <v>2924</v>
      </c>
      <c r="E794" s="387" t="s">
        <v>2925</v>
      </c>
      <c r="F794" s="388"/>
      <c r="G794" s="389" t="s">
        <v>2926</v>
      </c>
      <c r="H794" s="390" t="s">
        <v>25</v>
      </c>
      <c r="I794" s="391" t="s">
        <v>83</v>
      </c>
      <c r="J794" s="392">
        <v>46212.0</v>
      </c>
      <c r="K794" s="393"/>
      <c r="L794" s="393"/>
      <c r="M794" s="394" t="s">
        <v>2927</v>
      </c>
      <c r="N794" s="395"/>
      <c r="O794" s="395"/>
      <c r="P794" s="395"/>
      <c r="Q794" s="395"/>
      <c r="R794" s="395"/>
      <c r="S794" s="395"/>
      <c r="T794" s="395"/>
      <c r="U794" s="395"/>
      <c r="V794" s="395"/>
      <c r="W794" s="395"/>
      <c r="X794" s="395"/>
      <c r="Y794" s="395"/>
      <c r="Z794" s="395"/>
      <c r="AA794" s="395"/>
    </row>
    <row r="795">
      <c r="A795" s="234" t="s">
        <v>815</v>
      </c>
      <c r="B795" s="224">
        <v>46213.0</v>
      </c>
      <c r="C795" s="225" t="s">
        <v>148</v>
      </c>
      <c r="D795" s="213" t="s">
        <v>2928</v>
      </c>
      <c r="E795" s="12" t="s">
        <v>2929</v>
      </c>
      <c r="F795" s="226"/>
      <c r="G795" s="347" t="s">
        <v>2930</v>
      </c>
      <c r="H795" s="55" t="s">
        <v>25</v>
      </c>
      <c r="I795" s="221" t="s">
        <v>83</v>
      </c>
      <c r="J795" s="222">
        <v>46213.0</v>
      </c>
      <c r="K795" s="223"/>
      <c r="L795" s="223"/>
      <c r="M795" s="228" t="s">
        <v>2931</v>
      </c>
    </row>
    <row r="796">
      <c r="A796" s="234" t="s">
        <v>108</v>
      </c>
      <c r="B796" s="224">
        <v>46212.0</v>
      </c>
      <c r="C796" s="225" t="s">
        <v>148</v>
      </c>
      <c r="D796" s="213" t="s">
        <v>2932</v>
      </c>
      <c r="E796" s="12" t="s">
        <v>2933</v>
      </c>
      <c r="F796" s="226"/>
      <c r="G796" s="396" t="s">
        <v>2934</v>
      </c>
      <c r="H796" s="55" t="s">
        <v>25</v>
      </c>
      <c r="I796" s="221" t="s">
        <v>83</v>
      </c>
      <c r="J796" s="222">
        <v>46217.0</v>
      </c>
      <c r="K796" s="223"/>
      <c r="L796" s="223"/>
      <c r="M796" s="228" t="s">
        <v>2935</v>
      </c>
    </row>
    <row r="797">
      <c r="A797" s="397" t="s">
        <v>108</v>
      </c>
      <c r="B797" s="398">
        <v>46210.0</v>
      </c>
      <c r="C797" s="399" t="s">
        <v>148</v>
      </c>
      <c r="D797" s="400" t="s">
        <v>2936</v>
      </c>
      <c r="E797" s="401" t="s">
        <v>2937</v>
      </c>
      <c r="F797" s="402"/>
      <c r="G797" s="403" t="s">
        <v>2938</v>
      </c>
      <c r="H797" s="404" t="s">
        <v>25</v>
      </c>
      <c r="I797" s="405" t="s">
        <v>83</v>
      </c>
      <c r="J797" s="406">
        <v>46217.0</v>
      </c>
      <c r="K797" s="407"/>
      <c r="L797" s="407"/>
      <c r="M797" s="408" t="s">
        <v>2939</v>
      </c>
      <c r="N797" s="409"/>
      <c r="O797" s="409"/>
      <c r="P797" s="409"/>
      <c r="Q797" s="409"/>
      <c r="R797" s="409"/>
      <c r="S797" s="409"/>
      <c r="T797" s="409"/>
      <c r="U797" s="409"/>
      <c r="V797" s="409"/>
      <c r="W797" s="409"/>
      <c r="X797" s="409"/>
      <c r="Y797" s="409"/>
      <c r="Z797" s="409"/>
      <c r="AA797" s="409"/>
    </row>
    <row r="798">
      <c r="A798" s="234" t="s">
        <v>45</v>
      </c>
      <c r="B798" s="224">
        <v>46217.0</v>
      </c>
      <c r="C798" s="225" t="s">
        <v>53</v>
      </c>
      <c r="D798" s="19" t="s">
        <v>2940</v>
      </c>
      <c r="E798" s="12" t="s">
        <v>2941</v>
      </c>
      <c r="F798" s="226"/>
      <c r="G798" s="346" t="s">
        <v>2942</v>
      </c>
      <c r="H798" s="55"/>
      <c r="I798" s="221" t="s">
        <v>83</v>
      </c>
      <c r="J798" s="222">
        <v>46217.0</v>
      </c>
      <c r="K798" s="224">
        <v>46227.0</v>
      </c>
      <c r="L798" s="228">
        <v>2.0</v>
      </c>
      <c r="M798" s="228" t="s">
        <v>2943</v>
      </c>
    </row>
    <row r="799">
      <c r="A799" s="234" t="s">
        <v>45</v>
      </c>
      <c r="B799" s="224">
        <v>46217.0</v>
      </c>
      <c r="C799" s="225" t="s">
        <v>53</v>
      </c>
      <c r="D799" s="213" t="s">
        <v>2944</v>
      </c>
      <c r="E799" s="410" t="s">
        <v>2945</v>
      </c>
      <c r="F799" s="226"/>
      <c r="G799" s="346" t="s">
        <v>2946</v>
      </c>
      <c r="H799" s="55"/>
      <c r="I799" s="221" t="s">
        <v>83</v>
      </c>
      <c r="J799" s="222">
        <v>46217.0</v>
      </c>
      <c r="K799" s="224">
        <v>46235.0</v>
      </c>
      <c r="L799" s="228">
        <v>4.0</v>
      </c>
      <c r="M799" s="199" t="s">
        <v>2947</v>
      </c>
    </row>
    <row r="800">
      <c r="A800" s="234" t="s">
        <v>108</v>
      </c>
      <c r="B800" s="224">
        <v>46217.0</v>
      </c>
      <c r="C800" s="225" t="s">
        <v>68</v>
      </c>
      <c r="D800" s="411" t="s">
        <v>2948</v>
      </c>
      <c r="E800" s="12" t="s">
        <v>2949</v>
      </c>
      <c r="F800" s="226"/>
      <c r="G800" s="412" t="s">
        <v>2950</v>
      </c>
      <c r="H800" s="55" t="s">
        <v>25</v>
      </c>
      <c r="I800" s="221"/>
      <c r="J800" s="222"/>
      <c r="K800" s="223"/>
      <c r="L800" s="223"/>
      <c r="M800" s="228" t="s">
        <v>2951</v>
      </c>
    </row>
    <row r="801">
      <c r="A801" s="234" t="s">
        <v>45</v>
      </c>
      <c r="B801" s="224">
        <v>46217.0</v>
      </c>
      <c r="C801" s="284" t="s">
        <v>53</v>
      </c>
      <c r="D801" s="213" t="s">
        <v>2952</v>
      </c>
      <c r="E801" s="12" t="s">
        <v>2953</v>
      </c>
      <c r="F801" s="242"/>
      <c r="G801" s="346" t="s">
        <v>2954</v>
      </c>
      <c r="H801" s="55"/>
      <c r="I801" s="285" t="s">
        <v>83</v>
      </c>
      <c r="J801" s="222">
        <v>46217.0</v>
      </c>
      <c r="K801" s="224">
        <v>46218.0</v>
      </c>
      <c r="L801" s="228">
        <v>2.0</v>
      </c>
      <c r="M801" s="228" t="s">
        <v>2955</v>
      </c>
    </row>
    <row r="802">
      <c r="A802" s="234" t="s">
        <v>45</v>
      </c>
      <c r="B802" s="224">
        <v>46217.0</v>
      </c>
      <c r="C802" s="284" t="s">
        <v>53</v>
      </c>
      <c r="D802" s="213" t="s">
        <v>2956</v>
      </c>
      <c r="E802" s="12" t="s">
        <v>2957</v>
      </c>
      <c r="F802" s="242"/>
      <c r="G802" s="346" t="s">
        <v>2958</v>
      </c>
      <c r="H802" s="55"/>
      <c r="I802" s="285" t="s">
        <v>83</v>
      </c>
      <c r="J802" s="222">
        <v>46217.0</v>
      </c>
      <c r="K802" s="224">
        <v>46227.0</v>
      </c>
      <c r="L802" s="228">
        <v>1.0</v>
      </c>
      <c r="M802" s="228" t="s">
        <v>2959</v>
      </c>
    </row>
    <row r="803">
      <c r="A803" s="234" t="s">
        <v>45</v>
      </c>
      <c r="B803" s="224">
        <v>46217.0</v>
      </c>
      <c r="C803" s="284" t="s">
        <v>53</v>
      </c>
      <c r="D803" s="19" t="s">
        <v>2960</v>
      </c>
      <c r="E803" s="12" t="s">
        <v>2961</v>
      </c>
      <c r="F803" s="242"/>
      <c r="G803" s="346"/>
      <c r="H803" s="55"/>
      <c r="I803" s="285" t="s">
        <v>83</v>
      </c>
      <c r="J803" s="222">
        <v>46217.0</v>
      </c>
      <c r="K803" s="223"/>
      <c r="L803" s="223"/>
      <c r="M803" s="228" t="s">
        <v>2962</v>
      </c>
    </row>
    <row r="804">
      <c r="A804" s="234" t="s">
        <v>45</v>
      </c>
      <c r="B804" s="224">
        <v>46217.0</v>
      </c>
      <c r="C804" s="284" t="s">
        <v>53</v>
      </c>
      <c r="D804" s="213" t="s">
        <v>2963</v>
      </c>
      <c r="E804" s="12" t="s">
        <v>2964</v>
      </c>
      <c r="F804" s="242"/>
      <c r="G804" s="413" t="s">
        <v>2965</v>
      </c>
      <c r="H804" s="55"/>
      <c r="I804" s="285" t="s">
        <v>83</v>
      </c>
      <c r="J804" s="222">
        <v>46217.0</v>
      </c>
      <c r="K804" s="224">
        <v>46241.0</v>
      </c>
      <c r="L804" s="228">
        <v>3.0</v>
      </c>
      <c r="M804" s="228" t="s">
        <v>2966</v>
      </c>
    </row>
    <row r="805">
      <c r="A805" s="234" t="s">
        <v>108</v>
      </c>
      <c r="B805" s="224">
        <v>46217.0</v>
      </c>
      <c r="C805" s="225" t="s">
        <v>380</v>
      </c>
      <c r="D805" s="19" t="s">
        <v>2967</v>
      </c>
      <c r="E805" s="12" t="s">
        <v>2968</v>
      </c>
      <c r="F805" s="226"/>
      <c r="G805" s="347" t="s">
        <v>2969</v>
      </c>
      <c r="H805" s="55"/>
      <c r="I805" s="221" t="s">
        <v>83</v>
      </c>
      <c r="J805" s="222">
        <v>46217.0</v>
      </c>
      <c r="K805" s="223"/>
      <c r="L805" s="223"/>
      <c r="M805" s="228" t="s">
        <v>2970</v>
      </c>
    </row>
    <row r="806">
      <c r="A806" s="414" t="s">
        <v>108</v>
      </c>
      <c r="B806" s="415">
        <v>46217.0</v>
      </c>
      <c r="C806" s="416" t="s">
        <v>148</v>
      </c>
      <c r="D806" s="417" t="s">
        <v>2971</v>
      </c>
      <c r="E806" s="418" t="s">
        <v>2972</v>
      </c>
      <c r="F806" s="419"/>
      <c r="G806" s="420" t="s">
        <v>2973</v>
      </c>
      <c r="H806" s="421" t="s">
        <v>25</v>
      </c>
      <c r="I806" s="422" t="s">
        <v>83</v>
      </c>
      <c r="J806" s="423">
        <v>46218.0</v>
      </c>
      <c r="K806" s="424"/>
      <c r="L806" s="424"/>
      <c r="M806" s="425" t="s">
        <v>2974</v>
      </c>
      <c r="N806" s="426"/>
      <c r="O806" s="426"/>
      <c r="P806" s="426"/>
      <c r="Q806" s="426"/>
      <c r="R806" s="426"/>
      <c r="S806" s="426"/>
      <c r="T806" s="426"/>
      <c r="U806" s="426"/>
      <c r="V806" s="426"/>
      <c r="W806" s="426"/>
      <c r="X806" s="426"/>
      <c r="Y806" s="426"/>
      <c r="Z806" s="426"/>
      <c r="AA806" s="426"/>
    </row>
    <row r="807">
      <c r="A807" s="427" t="s">
        <v>108</v>
      </c>
      <c r="B807" s="428">
        <v>46217.0</v>
      </c>
      <c r="C807" s="429" t="s">
        <v>148</v>
      </c>
      <c r="D807" s="430" t="s">
        <v>1680</v>
      </c>
      <c r="E807" s="431" t="s">
        <v>2975</v>
      </c>
      <c r="F807" s="432"/>
      <c r="G807" s="433" t="s">
        <v>2976</v>
      </c>
      <c r="H807" s="434" t="s">
        <v>25</v>
      </c>
      <c r="I807" s="435" t="s">
        <v>83</v>
      </c>
      <c r="J807" s="436">
        <v>46219.0</v>
      </c>
      <c r="K807" s="437"/>
      <c r="L807" s="437"/>
      <c r="M807" s="438" t="s">
        <v>2977</v>
      </c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  <c r="AA807" s="439"/>
    </row>
    <row r="808">
      <c r="A808" s="234" t="s">
        <v>108</v>
      </c>
      <c r="B808" s="224">
        <v>46217.0</v>
      </c>
      <c r="C808" s="225" t="s">
        <v>148</v>
      </c>
      <c r="D808" s="213" t="s">
        <v>584</v>
      </c>
      <c r="E808" s="12" t="s">
        <v>585</v>
      </c>
      <c r="F808" s="226"/>
      <c r="G808" s="347" t="s">
        <v>2978</v>
      </c>
      <c r="H808" s="55" t="s">
        <v>25</v>
      </c>
      <c r="I808" s="221" t="s">
        <v>83</v>
      </c>
      <c r="J808" s="113">
        <v>716.0</v>
      </c>
      <c r="K808" s="223"/>
      <c r="L808" s="223"/>
      <c r="M808" s="228" t="s">
        <v>2979</v>
      </c>
    </row>
    <row r="809">
      <c r="A809" s="234" t="s">
        <v>45</v>
      </c>
      <c r="B809" s="224">
        <v>46217.0</v>
      </c>
      <c r="C809" s="225" t="s">
        <v>148</v>
      </c>
      <c r="D809" s="213" t="s">
        <v>2980</v>
      </c>
      <c r="E809" s="12" t="s">
        <v>2981</v>
      </c>
      <c r="F809" s="226"/>
      <c r="G809" s="347" t="s">
        <v>2982</v>
      </c>
      <c r="H809" s="55" t="s">
        <v>25</v>
      </c>
      <c r="I809" s="221" t="s">
        <v>83</v>
      </c>
      <c r="J809" s="222">
        <v>46219.0</v>
      </c>
      <c r="K809" s="224">
        <v>46260.0</v>
      </c>
      <c r="L809" s="223"/>
      <c r="M809" s="438" t="s">
        <v>2983</v>
      </c>
    </row>
    <row r="810">
      <c r="A810" s="234" t="s">
        <v>67</v>
      </c>
      <c r="B810" s="224">
        <v>46217.0</v>
      </c>
      <c r="C810" s="225" t="s">
        <v>148</v>
      </c>
      <c r="D810" s="213" t="s">
        <v>2984</v>
      </c>
      <c r="E810" s="12" t="s">
        <v>2985</v>
      </c>
      <c r="F810" s="226"/>
      <c r="G810" s="347" t="s">
        <v>2479</v>
      </c>
      <c r="H810" s="55" t="s">
        <v>25</v>
      </c>
      <c r="I810" s="221" t="s">
        <v>83</v>
      </c>
      <c r="J810" s="222">
        <v>46219.0</v>
      </c>
      <c r="K810" s="223"/>
      <c r="L810" s="223"/>
      <c r="M810" s="228" t="s">
        <v>2986</v>
      </c>
    </row>
    <row r="811">
      <c r="A811" s="59" t="s">
        <v>45</v>
      </c>
      <c r="B811" s="60">
        <v>46038.0</v>
      </c>
      <c r="C811" s="61" t="s">
        <v>148</v>
      </c>
      <c r="D811" s="10" t="s">
        <v>2987</v>
      </c>
      <c r="E811" s="12" t="s">
        <v>2988</v>
      </c>
      <c r="F811" s="62" t="s">
        <v>58</v>
      </c>
      <c r="G811" s="95" t="s">
        <v>206</v>
      </c>
      <c r="H811" s="64" t="s">
        <v>25</v>
      </c>
      <c r="I811" s="65" t="s">
        <v>74</v>
      </c>
      <c r="J811" s="66">
        <v>46042.0</v>
      </c>
      <c r="K811" s="67"/>
      <c r="L811" s="68"/>
      <c r="M811" s="70" t="s">
        <v>2989</v>
      </c>
    </row>
    <row r="812">
      <c r="A812" s="234" t="s">
        <v>108</v>
      </c>
      <c r="B812" s="224">
        <v>46217.0</v>
      </c>
      <c r="C812" s="225" t="s">
        <v>148</v>
      </c>
      <c r="D812" s="213" t="s">
        <v>2990</v>
      </c>
      <c r="E812" s="12" t="s">
        <v>2988</v>
      </c>
      <c r="F812" s="226"/>
      <c r="G812" s="347" t="s">
        <v>2991</v>
      </c>
      <c r="H812" s="55" t="s">
        <v>25</v>
      </c>
      <c r="I812" s="221" t="s">
        <v>83</v>
      </c>
      <c r="J812" s="222">
        <v>46219.0</v>
      </c>
      <c r="K812" s="223"/>
      <c r="L812" s="223"/>
      <c r="M812" s="394" t="s">
        <v>2992</v>
      </c>
    </row>
    <row r="813">
      <c r="A813" s="234" t="s">
        <v>815</v>
      </c>
      <c r="B813" s="224">
        <v>46217.0</v>
      </c>
      <c r="C813" s="225" t="s">
        <v>148</v>
      </c>
      <c r="D813" s="213" t="s">
        <v>2993</v>
      </c>
      <c r="E813" s="12" t="s">
        <v>2994</v>
      </c>
      <c r="F813" s="226"/>
      <c r="G813" s="347" t="s">
        <v>2995</v>
      </c>
      <c r="H813" s="55" t="s">
        <v>25</v>
      </c>
      <c r="I813" s="221" t="s">
        <v>83</v>
      </c>
      <c r="J813" s="222">
        <v>46219.0</v>
      </c>
      <c r="K813" s="223"/>
      <c r="L813" s="223"/>
      <c r="M813" s="228" t="s">
        <v>190</v>
      </c>
    </row>
    <row r="814">
      <c r="A814" s="234" t="s">
        <v>815</v>
      </c>
      <c r="B814" s="224">
        <v>46217.0</v>
      </c>
      <c r="C814" s="225" t="s">
        <v>439</v>
      </c>
      <c r="D814" s="213" t="s">
        <v>1339</v>
      </c>
      <c r="E814" s="12" t="s">
        <v>2996</v>
      </c>
      <c r="F814" s="226"/>
      <c r="G814" s="346" t="s">
        <v>2997</v>
      </c>
      <c r="H814" s="55"/>
      <c r="I814" s="221" t="s">
        <v>83</v>
      </c>
      <c r="J814" s="222">
        <v>46217.0</v>
      </c>
      <c r="K814" s="223"/>
      <c r="L814" s="223"/>
      <c r="M814" s="228" t="s">
        <v>182</v>
      </c>
    </row>
    <row r="815">
      <c r="A815" s="234" t="s">
        <v>108</v>
      </c>
      <c r="B815" s="224">
        <v>46217.0</v>
      </c>
      <c r="C815" s="225" t="s">
        <v>439</v>
      </c>
      <c r="D815" s="213" t="s">
        <v>2998</v>
      </c>
      <c r="E815" s="12" t="s">
        <v>2999</v>
      </c>
      <c r="F815" s="226"/>
      <c r="G815" s="346" t="s">
        <v>3000</v>
      </c>
      <c r="H815" s="55"/>
      <c r="I815" s="221" t="s">
        <v>83</v>
      </c>
      <c r="J815" s="222">
        <v>46217.0</v>
      </c>
      <c r="K815" s="223"/>
      <c r="L815" s="223"/>
      <c r="M815" s="228" t="s">
        <v>3001</v>
      </c>
    </row>
    <row r="816">
      <c r="A816" s="312" t="s">
        <v>815</v>
      </c>
      <c r="B816" s="313">
        <v>46217.0</v>
      </c>
      <c r="C816" s="314" t="s">
        <v>221</v>
      </c>
      <c r="D816" s="315" t="s">
        <v>3002</v>
      </c>
      <c r="E816" s="316" t="s">
        <v>3003</v>
      </c>
      <c r="F816" s="317"/>
      <c r="G816" s="345" t="s">
        <v>3004</v>
      </c>
      <c r="H816" s="318"/>
      <c r="I816" s="319" t="s">
        <v>83</v>
      </c>
      <c r="J816" s="320">
        <v>46217.0</v>
      </c>
      <c r="K816" s="321"/>
      <c r="L816" s="321"/>
      <c r="M816" s="307" t="s">
        <v>3005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234" t="s">
        <v>45</v>
      </c>
      <c r="B817" s="224">
        <v>46217.0</v>
      </c>
      <c r="C817" s="225" t="s">
        <v>148</v>
      </c>
      <c r="D817" s="213" t="s">
        <v>3006</v>
      </c>
      <c r="E817" s="12" t="s">
        <v>3007</v>
      </c>
      <c r="F817" s="226"/>
      <c r="G817" s="347"/>
      <c r="H817" s="55"/>
      <c r="I817" s="221" t="s">
        <v>83</v>
      </c>
      <c r="J817" s="222">
        <v>46217.0</v>
      </c>
      <c r="K817" s="224">
        <v>46235.0</v>
      </c>
      <c r="L817" s="228">
        <v>2.0</v>
      </c>
      <c r="M817" s="228" t="s">
        <v>3008</v>
      </c>
    </row>
    <row r="818">
      <c r="A818" s="234" t="s">
        <v>67</v>
      </c>
      <c r="B818" s="224">
        <v>46217.0</v>
      </c>
      <c r="C818" s="225" t="s">
        <v>53</v>
      </c>
      <c r="D818" s="213" t="s">
        <v>3009</v>
      </c>
      <c r="E818" s="12" t="s">
        <v>3010</v>
      </c>
      <c r="F818" s="226"/>
      <c r="G818" s="347"/>
      <c r="H818" s="55"/>
      <c r="I818" s="221" t="s">
        <v>83</v>
      </c>
      <c r="J818" s="222">
        <v>46217.0</v>
      </c>
      <c r="K818" s="223"/>
      <c r="L818" s="223"/>
      <c r="M818" s="228" t="s">
        <v>3011</v>
      </c>
    </row>
    <row r="819">
      <c r="A819" s="234" t="s">
        <v>108</v>
      </c>
      <c r="B819" s="224">
        <v>46217.0</v>
      </c>
      <c r="C819" s="225" t="s">
        <v>68</v>
      </c>
      <c r="D819" s="213" t="s">
        <v>3012</v>
      </c>
      <c r="E819" s="12" t="s">
        <v>3013</v>
      </c>
      <c r="F819" s="226"/>
      <c r="G819" s="347"/>
      <c r="H819" s="55"/>
      <c r="I819" s="221" t="s">
        <v>83</v>
      </c>
      <c r="J819" s="222">
        <v>46217.0</v>
      </c>
      <c r="K819" s="223"/>
      <c r="L819" s="223"/>
      <c r="M819" s="228" t="s">
        <v>3014</v>
      </c>
    </row>
    <row r="820">
      <c r="A820" s="234" t="s">
        <v>67</v>
      </c>
      <c r="B820" s="224">
        <v>46218.0</v>
      </c>
      <c r="C820" s="225" t="s">
        <v>68</v>
      </c>
      <c r="D820" s="213" t="s">
        <v>3015</v>
      </c>
      <c r="E820" s="12" t="s">
        <v>3016</v>
      </c>
      <c r="F820" s="226"/>
      <c r="G820" s="347" t="s">
        <v>3017</v>
      </c>
      <c r="H820" s="55" t="s">
        <v>25</v>
      </c>
      <c r="I820" s="221" t="s">
        <v>83</v>
      </c>
      <c r="J820" s="222">
        <v>46219.0</v>
      </c>
      <c r="K820" s="223"/>
      <c r="L820" s="223"/>
      <c r="M820" s="307" t="s">
        <v>3018</v>
      </c>
    </row>
    <row r="821">
      <c r="A821" s="234" t="s">
        <v>45</v>
      </c>
      <c r="B821" s="224">
        <v>46218.0</v>
      </c>
      <c r="C821" s="225" t="s">
        <v>68</v>
      </c>
      <c r="D821" s="213" t="s">
        <v>3019</v>
      </c>
      <c r="E821" s="12" t="s">
        <v>3020</v>
      </c>
      <c r="F821" s="226"/>
      <c r="G821" s="347"/>
      <c r="H821" s="55" t="s">
        <v>25</v>
      </c>
      <c r="I821" s="221" t="s">
        <v>83</v>
      </c>
      <c r="J821" s="222">
        <v>46218.0</v>
      </c>
      <c r="K821" s="223"/>
      <c r="L821" s="223"/>
      <c r="M821" s="228" t="s">
        <v>3021</v>
      </c>
    </row>
    <row r="822">
      <c r="A822" s="234" t="s">
        <v>108</v>
      </c>
      <c r="B822" s="224">
        <v>46219.0</v>
      </c>
      <c r="C822" s="225" t="s">
        <v>148</v>
      </c>
      <c r="D822" s="10" t="s">
        <v>3022</v>
      </c>
      <c r="E822" s="12" t="s">
        <v>3023</v>
      </c>
      <c r="F822" s="226"/>
      <c r="G822" s="33" t="s">
        <v>3024</v>
      </c>
      <c r="H822" s="55" t="s">
        <v>25</v>
      </c>
      <c r="I822" s="221" t="s">
        <v>83</v>
      </c>
      <c r="J822" s="222">
        <v>46219.0</v>
      </c>
      <c r="K822" s="223"/>
      <c r="L822" s="223"/>
      <c r="M822" s="228" t="s">
        <v>3025</v>
      </c>
    </row>
    <row r="823">
      <c r="A823" s="234" t="s">
        <v>67</v>
      </c>
      <c r="B823" s="224">
        <v>46219.0</v>
      </c>
      <c r="C823" s="225" t="s">
        <v>53</v>
      </c>
      <c r="D823" s="213" t="s">
        <v>3026</v>
      </c>
      <c r="E823" s="12" t="s">
        <v>3027</v>
      </c>
      <c r="F823" s="226"/>
      <c r="G823" s="347" t="s">
        <v>3028</v>
      </c>
      <c r="H823" s="55" t="s">
        <v>25</v>
      </c>
      <c r="I823" s="221" t="s">
        <v>83</v>
      </c>
      <c r="J823" s="222">
        <v>46219.0</v>
      </c>
      <c r="K823" s="223"/>
      <c r="L823" s="223"/>
      <c r="M823" s="228" t="s">
        <v>3029</v>
      </c>
    </row>
    <row r="824">
      <c r="A824" s="234" t="s">
        <v>45</v>
      </c>
      <c r="B824" s="224">
        <v>46219.0</v>
      </c>
      <c r="C824" s="284" t="s">
        <v>68</v>
      </c>
      <c r="D824" s="213" t="s">
        <v>3030</v>
      </c>
      <c r="E824" s="12" t="s">
        <v>3031</v>
      </c>
      <c r="F824" s="242"/>
      <c r="G824" s="346"/>
      <c r="H824" s="55" t="s">
        <v>25</v>
      </c>
      <c r="I824" s="285" t="s">
        <v>83</v>
      </c>
      <c r="J824" s="222">
        <v>46219.0</v>
      </c>
      <c r="K824" s="224">
        <v>46227.0</v>
      </c>
      <c r="L824" s="228">
        <v>2.0</v>
      </c>
      <c r="M824" s="228" t="s">
        <v>3032</v>
      </c>
    </row>
    <row r="825">
      <c r="A825" s="440" t="s">
        <v>108</v>
      </c>
      <c r="B825" s="441">
        <v>46217.0</v>
      </c>
      <c r="C825" s="442" t="s">
        <v>148</v>
      </c>
      <c r="D825" s="443" t="s">
        <v>2772</v>
      </c>
      <c r="E825" s="444" t="s">
        <v>3033</v>
      </c>
      <c r="F825" s="445"/>
      <c r="G825" s="446" t="s">
        <v>3034</v>
      </c>
      <c r="H825" s="447" t="s">
        <v>25</v>
      </c>
      <c r="I825" s="448" t="s">
        <v>83</v>
      </c>
      <c r="J825" s="449">
        <v>46220.0</v>
      </c>
      <c r="K825" s="450"/>
      <c r="L825" s="450"/>
      <c r="M825" s="451" t="s">
        <v>3035</v>
      </c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>
      <c r="A826" s="234" t="s">
        <v>815</v>
      </c>
      <c r="B826" s="224">
        <v>46219.0</v>
      </c>
      <c r="C826" s="225" t="s">
        <v>53</v>
      </c>
      <c r="D826" s="213" t="s">
        <v>3036</v>
      </c>
      <c r="E826" s="12" t="s">
        <v>3037</v>
      </c>
      <c r="F826" s="226"/>
      <c r="G826" s="347" t="s">
        <v>3038</v>
      </c>
      <c r="H826" s="55" t="s">
        <v>25</v>
      </c>
      <c r="I826" s="221" t="s">
        <v>83</v>
      </c>
      <c r="J826" s="222">
        <v>46220.0</v>
      </c>
      <c r="K826" s="223"/>
      <c r="L826" s="223"/>
      <c r="M826" s="228" t="s">
        <v>182</v>
      </c>
    </row>
    <row r="827">
      <c r="A827" s="234" t="s">
        <v>108</v>
      </c>
      <c r="B827" s="224">
        <v>46218.0</v>
      </c>
      <c r="C827" s="225" t="s">
        <v>148</v>
      </c>
      <c r="D827" s="96" t="s">
        <v>3039</v>
      </c>
      <c r="E827" s="12" t="s">
        <v>3040</v>
      </c>
      <c r="F827" s="226"/>
      <c r="G827" s="347" t="s">
        <v>3041</v>
      </c>
      <c r="H827" s="55" t="s">
        <v>25</v>
      </c>
      <c r="I827" s="221" t="s">
        <v>83</v>
      </c>
      <c r="J827" s="222">
        <v>46220.0</v>
      </c>
      <c r="K827" s="223"/>
      <c r="L827" s="223"/>
      <c r="M827" s="453" t="s">
        <v>3042</v>
      </c>
    </row>
    <row r="828">
      <c r="A828" s="234" t="s">
        <v>108</v>
      </c>
      <c r="B828" s="224">
        <v>46220.0</v>
      </c>
      <c r="C828" s="225" t="s">
        <v>148</v>
      </c>
      <c r="D828" s="213" t="s">
        <v>3043</v>
      </c>
      <c r="E828" s="12" t="s">
        <v>3044</v>
      </c>
      <c r="F828" s="226"/>
      <c r="G828" s="347" t="s">
        <v>2827</v>
      </c>
      <c r="H828" s="55" t="s">
        <v>25</v>
      </c>
      <c r="I828" s="221" t="s">
        <v>83</v>
      </c>
      <c r="J828" s="222">
        <v>46220.0</v>
      </c>
      <c r="K828" s="223"/>
      <c r="L828" s="223"/>
      <c r="M828" s="453" t="s">
        <v>3045</v>
      </c>
    </row>
    <row r="829">
      <c r="A829" s="234" t="s">
        <v>108</v>
      </c>
      <c r="B829" s="224">
        <v>46220.0</v>
      </c>
      <c r="C829" s="225" t="s">
        <v>148</v>
      </c>
      <c r="D829" s="213" t="s">
        <v>3046</v>
      </c>
      <c r="E829" s="12" t="s">
        <v>3047</v>
      </c>
      <c r="F829" s="226"/>
      <c r="G829" s="347" t="s">
        <v>3048</v>
      </c>
      <c r="H829" s="55" t="s">
        <v>25</v>
      </c>
      <c r="I829" s="221" t="s">
        <v>83</v>
      </c>
      <c r="J829" s="222">
        <v>46220.0</v>
      </c>
      <c r="K829" s="223"/>
      <c r="L829" s="223"/>
      <c r="M829" s="454" t="s">
        <v>3049</v>
      </c>
    </row>
    <row r="830">
      <c r="A830" s="234" t="s">
        <v>108</v>
      </c>
      <c r="B830" s="224">
        <v>46220.0</v>
      </c>
      <c r="C830" s="225" t="s">
        <v>148</v>
      </c>
      <c r="D830" s="213" t="s">
        <v>3050</v>
      </c>
      <c r="E830" s="12" t="s">
        <v>3051</v>
      </c>
      <c r="F830" s="226"/>
      <c r="G830" s="347" t="s">
        <v>3052</v>
      </c>
      <c r="H830" s="55" t="s">
        <v>25</v>
      </c>
      <c r="I830" s="221" t="s">
        <v>83</v>
      </c>
      <c r="J830" s="222">
        <v>46220.0</v>
      </c>
      <c r="K830" s="223"/>
      <c r="L830" s="223"/>
      <c r="M830" s="455" t="s">
        <v>3053</v>
      </c>
    </row>
    <row r="831">
      <c r="A831" s="234" t="s">
        <v>45</v>
      </c>
      <c r="B831" s="224">
        <v>46220.0</v>
      </c>
      <c r="C831" s="225" t="s">
        <v>68</v>
      </c>
      <c r="D831" s="19" t="s">
        <v>3054</v>
      </c>
      <c r="E831" s="12" t="s">
        <v>3055</v>
      </c>
      <c r="F831" s="226"/>
      <c r="G831" s="347"/>
      <c r="H831" s="55" t="s">
        <v>25</v>
      </c>
      <c r="I831" s="221" t="s">
        <v>83</v>
      </c>
      <c r="J831" s="222">
        <v>46220.0</v>
      </c>
      <c r="K831" s="224">
        <v>46249.0</v>
      </c>
      <c r="L831" s="228">
        <v>2.0</v>
      </c>
      <c r="M831" s="456" t="s">
        <v>3056</v>
      </c>
    </row>
    <row r="832">
      <c r="A832" s="234" t="s">
        <v>45</v>
      </c>
      <c r="B832" s="224">
        <v>46221.0</v>
      </c>
      <c r="C832" s="225" t="s">
        <v>68</v>
      </c>
      <c r="D832" s="213" t="s">
        <v>3057</v>
      </c>
      <c r="E832" s="368" t="s">
        <v>3058</v>
      </c>
      <c r="F832" s="226"/>
      <c r="G832" s="347" t="s">
        <v>3059</v>
      </c>
      <c r="H832" s="55" t="s">
        <v>25</v>
      </c>
      <c r="I832" s="221" t="s">
        <v>83</v>
      </c>
      <c r="J832" s="222">
        <v>46221.0</v>
      </c>
      <c r="K832" s="224">
        <v>46249.0</v>
      </c>
      <c r="L832" s="228">
        <v>3.0</v>
      </c>
      <c r="M832" s="228" t="s">
        <v>3060</v>
      </c>
    </row>
    <row r="833">
      <c r="A833" s="234" t="s">
        <v>108</v>
      </c>
      <c r="B833" s="224">
        <v>46224.0</v>
      </c>
      <c r="C833" s="225" t="s">
        <v>148</v>
      </c>
      <c r="D833" s="213" t="s">
        <v>3061</v>
      </c>
      <c r="E833" s="12" t="s">
        <v>3062</v>
      </c>
      <c r="F833" s="226"/>
      <c r="G833" s="347" t="s">
        <v>3063</v>
      </c>
      <c r="H833" s="55" t="s">
        <v>25</v>
      </c>
      <c r="I833" s="221" t="s">
        <v>83</v>
      </c>
      <c r="J833" s="222">
        <v>46224.0</v>
      </c>
      <c r="K833" s="224"/>
      <c r="L833" s="228"/>
      <c r="M833" s="228" t="s">
        <v>3064</v>
      </c>
    </row>
    <row r="834">
      <c r="A834" s="234" t="s">
        <v>45</v>
      </c>
      <c r="B834" s="224">
        <v>46224.0</v>
      </c>
      <c r="C834" s="225" t="s">
        <v>53</v>
      </c>
      <c r="D834" s="213" t="s">
        <v>3065</v>
      </c>
      <c r="E834" s="12" t="s">
        <v>3066</v>
      </c>
      <c r="F834" s="226"/>
      <c r="G834" s="347" t="s">
        <v>3067</v>
      </c>
      <c r="H834" s="55"/>
      <c r="I834" s="221" t="s">
        <v>83</v>
      </c>
      <c r="J834" s="222">
        <v>46225.0</v>
      </c>
      <c r="K834" s="224">
        <v>46241.0</v>
      </c>
      <c r="L834" s="228">
        <v>2.0</v>
      </c>
      <c r="M834" s="457" t="s">
        <v>3068</v>
      </c>
    </row>
    <row r="835">
      <c r="A835" s="234" t="s">
        <v>45</v>
      </c>
      <c r="B835" s="224">
        <v>46224.0</v>
      </c>
      <c r="C835" s="225" t="s">
        <v>221</v>
      </c>
      <c r="D835" s="213" t="s">
        <v>3069</v>
      </c>
      <c r="E835" s="12" t="s">
        <v>3070</v>
      </c>
      <c r="F835" s="226"/>
      <c r="G835" s="347" t="s">
        <v>3071</v>
      </c>
      <c r="H835" s="55" t="s">
        <v>25</v>
      </c>
      <c r="I835" s="221" t="s">
        <v>83</v>
      </c>
      <c r="J835" s="222">
        <v>46225.0</v>
      </c>
      <c r="K835" s="224">
        <v>46249.0</v>
      </c>
      <c r="L835" s="228">
        <v>2.0</v>
      </c>
      <c r="M835" s="228" t="s">
        <v>3072</v>
      </c>
    </row>
    <row r="836">
      <c r="A836" s="458" t="s">
        <v>815</v>
      </c>
      <c r="B836" s="459">
        <v>46224.0</v>
      </c>
      <c r="C836" s="460" t="s">
        <v>148</v>
      </c>
      <c r="D836" s="461" t="s">
        <v>3073</v>
      </c>
      <c r="E836" s="462" t="s">
        <v>3074</v>
      </c>
      <c r="F836" s="463"/>
      <c r="G836" s="464" t="s">
        <v>3075</v>
      </c>
      <c r="H836" s="55" t="s">
        <v>25</v>
      </c>
      <c r="I836" s="465" t="s">
        <v>83</v>
      </c>
      <c r="J836" s="466">
        <v>46225.0</v>
      </c>
      <c r="K836" s="459"/>
      <c r="L836" s="467"/>
      <c r="M836" s="467" t="s">
        <v>190</v>
      </c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  <c r="AA836" s="468"/>
    </row>
    <row r="837">
      <c r="A837" s="234" t="s">
        <v>815</v>
      </c>
      <c r="B837" s="224">
        <v>46224.0</v>
      </c>
      <c r="C837" s="225" t="s">
        <v>148</v>
      </c>
      <c r="D837" s="213" t="s">
        <v>3076</v>
      </c>
      <c r="E837" s="12" t="s">
        <v>3077</v>
      </c>
      <c r="F837" s="226"/>
      <c r="G837" s="347" t="s">
        <v>2655</v>
      </c>
      <c r="H837" s="55" t="s">
        <v>25</v>
      </c>
      <c r="I837" s="221" t="s">
        <v>83</v>
      </c>
      <c r="J837" s="222">
        <v>46232.0</v>
      </c>
      <c r="K837" s="224"/>
      <c r="L837" s="228"/>
      <c r="M837" s="228" t="s">
        <v>190</v>
      </c>
    </row>
    <row r="838">
      <c r="A838" s="234" t="s">
        <v>815</v>
      </c>
      <c r="B838" s="224">
        <v>46224.0</v>
      </c>
      <c r="C838" s="225" t="s">
        <v>148</v>
      </c>
      <c r="D838" s="213" t="s">
        <v>3078</v>
      </c>
      <c r="E838" s="12" t="s">
        <v>3079</v>
      </c>
      <c r="F838" s="226"/>
      <c r="G838" s="347" t="s">
        <v>2647</v>
      </c>
      <c r="H838" s="55" t="s">
        <v>25</v>
      </c>
      <c r="I838" s="221" t="s">
        <v>83</v>
      </c>
      <c r="J838" s="222">
        <v>46232.0</v>
      </c>
      <c r="K838" s="224"/>
      <c r="L838" s="228"/>
      <c r="M838" s="228" t="s">
        <v>190</v>
      </c>
    </row>
    <row r="839">
      <c r="A839" s="469" t="s">
        <v>815</v>
      </c>
      <c r="B839" s="470">
        <v>46224.0</v>
      </c>
      <c r="C839" s="471" t="s">
        <v>148</v>
      </c>
      <c r="D839" s="472" t="s">
        <v>3080</v>
      </c>
      <c r="E839" s="473" t="s">
        <v>3081</v>
      </c>
      <c r="F839" s="474"/>
      <c r="G839" s="475" t="s">
        <v>2759</v>
      </c>
      <c r="H839" s="55" t="s">
        <v>25</v>
      </c>
      <c r="I839" s="476" t="s">
        <v>83</v>
      </c>
      <c r="J839" s="477">
        <v>46228.0</v>
      </c>
      <c r="K839" s="470"/>
      <c r="L839" s="478"/>
      <c r="M839" s="228" t="s">
        <v>190</v>
      </c>
      <c r="N839" s="479"/>
      <c r="O839" s="479"/>
      <c r="P839" s="479"/>
      <c r="Q839" s="479"/>
      <c r="R839" s="479"/>
      <c r="S839" s="479"/>
      <c r="T839" s="479"/>
      <c r="U839" s="479"/>
      <c r="V839" s="479"/>
      <c r="W839" s="479"/>
      <c r="X839" s="479"/>
      <c r="Y839" s="479"/>
      <c r="Z839" s="479"/>
      <c r="AA839" s="479"/>
    </row>
    <row r="840">
      <c r="A840" s="469" t="s">
        <v>815</v>
      </c>
      <c r="B840" s="470">
        <v>46224.0</v>
      </c>
      <c r="C840" s="471" t="s">
        <v>148</v>
      </c>
      <c r="D840" s="472" t="s">
        <v>3082</v>
      </c>
      <c r="E840" s="473" t="s">
        <v>3083</v>
      </c>
      <c r="F840" s="474"/>
      <c r="G840" s="475" t="s">
        <v>3084</v>
      </c>
      <c r="H840" s="55" t="s">
        <v>25</v>
      </c>
      <c r="I840" s="476" t="s">
        <v>83</v>
      </c>
      <c r="J840" s="477">
        <v>46228.0</v>
      </c>
      <c r="K840" s="470"/>
      <c r="L840" s="478"/>
      <c r="M840" s="228" t="s">
        <v>182</v>
      </c>
      <c r="N840" s="479"/>
      <c r="O840" s="479"/>
      <c r="P840" s="479"/>
      <c r="Q840" s="479"/>
      <c r="R840" s="479"/>
      <c r="S840" s="479"/>
      <c r="T840" s="479"/>
      <c r="U840" s="479"/>
      <c r="V840" s="479"/>
      <c r="W840" s="479"/>
      <c r="X840" s="479"/>
      <c r="Y840" s="479"/>
      <c r="Z840" s="479"/>
      <c r="AA840" s="479"/>
    </row>
    <row r="841">
      <c r="A841" s="480" t="s">
        <v>108</v>
      </c>
      <c r="B841" s="481">
        <v>46224.0</v>
      </c>
      <c r="C841" s="482" t="s">
        <v>148</v>
      </c>
      <c r="D841" s="483" t="s">
        <v>3085</v>
      </c>
      <c r="E841" s="484" t="s">
        <v>3086</v>
      </c>
      <c r="F841" s="485"/>
      <c r="G841" s="486" t="s">
        <v>3087</v>
      </c>
      <c r="H841" s="487" t="s">
        <v>25</v>
      </c>
      <c r="I841" s="488" t="s">
        <v>83</v>
      </c>
      <c r="J841" s="489">
        <v>46228.0</v>
      </c>
      <c r="K841" s="481"/>
      <c r="L841" s="490"/>
      <c r="M841" s="292" t="s">
        <v>3088</v>
      </c>
      <c r="N841" s="491"/>
      <c r="O841" s="491"/>
      <c r="P841" s="491"/>
      <c r="Q841" s="491"/>
      <c r="R841" s="491"/>
      <c r="S841" s="491"/>
      <c r="T841" s="491"/>
      <c r="U841" s="491"/>
      <c r="V841" s="491"/>
      <c r="W841" s="491"/>
      <c r="X841" s="491"/>
      <c r="Y841" s="491"/>
      <c r="Z841" s="491"/>
      <c r="AA841" s="491"/>
    </row>
    <row r="842">
      <c r="A842" s="469" t="s">
        <v>815</v>
      </c>
      <c r="B842" s="470">
        <v>46218.0</v>
      </c>
      <c r="C842" s="471" t="s">
        <v>148</v>
      </c>
      <c r="D842" s="472" t="s">
        <v>294</v>
      </c>
      <c r="E842" s="473" t="s">
        <v>3089</v>
      </c>
      <c r="F842" s="474"/>
      <c r="G842" s="475" t="s">
        <v>3090</v>
      </c>
      <c r="H842" s="492" t="s">
        <v>25</v>
      </c>
      <c r="I842" s="476" t="s">
        <v>83</v>
      </c>
      <c r="J842" s="477">
        <v>46228.0</v>
      </c>
      <c r="K842" s="493"/>
      <c r="L842" s="493"/>
      <c r="M842" s="228" t="s">
        <v>190</v>
      </c>
      <c r="N842" s="479"/>
      <c r="O842" s="479"/>
      <c r="P842" s="479"/>
      <c r="Q842" s="479"/>
      <c r="R842" s="479"/>
      <c r="S842" s="479"/>
      <c r="T842" s="479"/>
      <c r="U842" s="479"/>
      <c r="V842" s="479"/>
      <c r="W842" s="479"/>
      <c r="X842" s="479"/>
      <c r="Y842" s="479"/>
      <c r="Z842" s="479"/>
      <c r="AA842" s="479"/>
    </row>
    <row r="843">
      <c r="A843" s="469" t="s">
        <v>108</v>
      </c>
      <c r="B843" s="470">
        <v>46217.0</v>
      </c>
      <c r="C843" s="471" t="s">
        <v>148</v>
      </c>
      <c r="D843" s="472" t="s">
        <v>2641</v>
      </c>
      <c r="E843" s="473" t="s">
        <v>3091</v>
      </c>
      <c r="F843" s="474"/>
      <c r="G843" s="494" t="s">
        <v>3092</v>
      </c>
      <c r="H843" s="492" t="s">
        <v>25</v>
      </c>
      <c r="I843" s="495" t="s">
        <v>83</v>
      </c>
      <c r="J843" s="496">
        <v>46220.0</v>
      </c>
      <c r="K843" s="493"/>
      <c r="L843" s="493"/>
      <c r="M843" s="478" t="s">
        <v>3093</v>
      </c>
      <c r="N843" s="479"/>
      <c r="O843" s="479"/>
      <c r="P843" s="479"/>
      <c r="Q843" s="479"/>
      <c r="R843" s="479"/>
      <c r="S843" s="479"/>
      <c r="T843" s="479"/>
      <c r="U843" s="479"/>
      <c r="V843" s="479"/>
      <c r="W843" s="479"/>
      <c r="X843" s="479"/>
      <c r="Y843" s="479"/>
      <c r="Z843" s="479"/>
      <c r="AA843" s="479"/>
    </row>
    <row r="844">
      <c r="A844" s="469" t="s">
        <v>815</v>
      </c>
      <c r="B844" s="470">
        <v>46220.0</v>
      </c>
      <c r="C844" s="471" t="s">
        <v>148</v>
      </c>
      <c r="D844" s="472" t="s">
        <v>3094</v>
      </c>
      <c r="E844" s="473" t="s">
        <v>3095</v>
      </c>
      <c r="F844" s="474"/>
      <c r="G844" s="475" t="s">
        <v>3096</v>
      </c>
      <c r="H844" s="492" t="s">
        <v>25</v>
      </c>
      <c r="I844" s="476" t="s">
        <v>83</v>
      </c>
      <c r="J844" s="477">
        <v>46228.0</v>
      </c>
      <c r="K844" s="493"/>
      <c r="L844" s="493"/>
      <c r="M844" s="228" t="s">
        <v>190</v>
      </c>
      <c r="N844" s="479"/>
      <c r="O844" s="479"/>
      <c r="P844" s="479"/>
      <c r="Q844" s="479"/>
      <c r="R844" s="479"/>
      <c r="S844" s="479"/>
      <c r="T844" s="479"/>
      <c r="U844" s="479"/>
      <c r="V844" s="479"/>
      <c r="W844" s="479"/>
      <c r="X844" s="479"/>
      <c r="Y844" s="479"/>
      <c r="Z844" s="479"/>
      <c r="AA844" s="479"/>
    </row>
    <row r="845">
      <c r="A845" s="383" t="s">
        <v>67</v>
      </c>
      <c r="B845" s="384">
        <v>46225.0</v>
      </c>
      <c r="C845" s="385" t="s">
        <v>53</v>
      </c>
      <c r="D845" s="386" t="s">
        <v>3097</v>
      </c>
      <c r="E845" s="387" t="s">
        <v>3098</v>
      </c>
      <c r="F845" s="497"/>
      <c r="G845" s="412" t="s">
        <v>3099</v>
      </c>
      <c r="H845" s="390" t="s">
        <v>25</v>
      </c>
      <c r="I845" s="498" t="s">
        <v>83</v>
      </c>
      <c r="J845" s="392">
        <v>46225.0</v>
      </c>
      <c r="K845" s="384"/>
      <c r="L845" s="394"/>
      <c r="M845" s="394" t="s">
        <v>3100</v>
      </c>
      <c r="N845" s="395"/>
      <c r="O845" s="395"/>
      <c r="P845" s="395"/>
      <c r="Q845" s="395"/>
      <c r="R845" s="395"/>
      <c r="S845" s="395"/>
      <c r="T845" s="395"/>
      <c r="U845" s="395"/>
      <c r="V845" s="395"/>
      <c r="W845" s="395"/>
      <c r="X845" s="395"/>
      <c r="Y845" s="395"/>
      <c r="Z845" s="395"/>
      <c r="AA845" s="395"/>
    </row>
    <row r="846">
      <c r="A846" s="234" t="s">
        <v>815</v>
      </c>
      <c r="B846" s="224">
        <v>46225.0</v>
      </c>
      <c r="C846" s="225" t="s">
        <v>380</v>
      </c>
      <c r="D846" s="213" t="s">
        <v>3101</v>
      </c>
      <c r="E846" s="12" t="s">
        <v>3102</v>
      </c>
      <c r="F846" s="474"/>
      <c r="G846" s="347" t="s">
        <v>3103</v>
      </c>
      <c r="H846" s="55"/>
      <c r="I846" s="495"/>
      <c r="J846" s="222"/>
      <c r="K846" s="224"/>
      <c r="L846" s="228"/>
      <c r="M846" s="228"/>
    </row>
    <row r="847">
      <c r="A847" s="234" t="s">
        <v>815</v>
      </c>
      <c r="B847" s="224">
        <v>46225.0</v>
      </c>
      <c r="C847" s="225" t="s">
        <v>68</v>
      </c>
      <c r="D847" s="213" t="s">
        <v>1804</v>
      </c>
      <c r="E847" s="12" t="s">
        <v>3104</v>
      </c>
      <c r="F847" s="474"/>
      <c r="G847" s="347" t="s">
        <v>3105</v>
      </c>
      <c r="H847" s="55"/>
      <c r="I847" s="495"/>
      <c r="J847" s="222"/>
      <c r="K847" s="224"/>
      <c r="L847" s="228"/>
      <c r="M847" s="228" t="s">
        <v>3106</v>
      </c>
    </row>
    <row r="848">
      <c r="A848" s="234" t="s">
        <v>45</v>
      </c>
      <c r="B848" s="224">
        <v>46225.0</v>
      </c>
      <c r="C848" s="225" t="s">
        <v>53</v>
      </c>
      <c r="D848" s="213" t="s">
        <v>3107</v>
      </c>
      <c r="E848" s="12" t="s">
        <v>3108</v>
      </c>
      <c r="F848" s="474"/>
      <c r="G848" s="347"/>
      <c r="H848" s="55" t="s">
        <v>25</v>
      </c>
      <c r="I848" s="476" t="s">
        <v>83</v>
      </c>
      <c r="J848" s="222">
        <v>46225.0</v>
      </c>
      <c r="K848" s="224">
        <v>46227.0</v>
      </c>
      <c r="L848" s="228">
        <v>1.0</v>
      </c>
      <c r="M848" s="228" t="s">
        <v>3109</v>
      </c>
    </row>
    <row r="849">
      <c r="A849" s="234" t="s">
        <v>3110</v>
      </c>
      <c r="B849" s="224">
        <v>46226.0</v>
      </c>
      <c r="C849" s="225" t="s">
        <v>68</v>
      </c>
      <c r="D849" s="213" t="s">
        <v>3111</v>
      </c>
      <c r="E849" s="12" t="s">
        <v>3112</v>
      </c>
      <c r="F849" s="474"/>
      <c r="G849" s="347" t="s">
        <v>3113</v>
      </c>
      <c r="H849" s="55" t="s">
        <v>25</v>
      </c>
      <c r="I849" s="476" t="s">
        <v>83</v>
      </c>
      <c r="J849" s="222">
        <v>46228.0</v>
      </c>
      <c r="K849" s="224"/>
      <c r="L849" s="228"/>
      <c r="M849" s="228" t="s">
        <v>3114</v>
      </c>
    </row>
    <row r="850">
      <c r="A850" s="234" t="s">
        <v>108</v>
      </c>
      <c r="B850" s="224">
        <v>46228.0</v>
      </c>
      <c r="C850" s="225" t="s">
        <v>53</v>
      </c>
      <c r="D850" s="213" t="s">
        <v>3115</v>
      </c>
      <c r="E850" s="12" t="s">
        <v>3116</v>
      </c>
      <c r="F850" s="474"/>
      <c r="G850" s="347" t="s">
        <v>3117</v>
      </c>
      <c r="H850" s="55"/>
      <c r="I850" s="476" t="s">
        <v>83</v>
      </c>
      <c r="J850" s="222">
        <v>46228.0</v>
      </c>
      <c r="K850" s="224"/>
      <c r="L850" s="228"/>
      <c r="M850" s="228" t="s">
        <v>3118</v>
      </c>
    </row>
    <row r="851">
      <c r="A851" s="234" t="s">
        <v>67</v>
      </c>
      <c r="B851" s="224">
        <v>46228.0</v>
      </c>
      <c r="C851" s="225" t="s">
        <v>148</v>
      </c>
      <c r="D851" s="213" t="s">
        <v>3119</v>
      </c>
      <c r="E851" s="12" t="s">
        <v>3120</v>
      </c>
      <c r="F851" s="474"/>
      <c r="G851" s="347" t="s">
        <v>3121</v>
      </c>
      <c r="H851" s="55" t="s">
        <v>25</v>
      </c>
      <c r="I851" s="476" t="s">
        <v>83</v>
      </c>
      <c r="J851" s="222">
        <v>46228.0</v>
      </c>
      <c r="K851" s="224"/>
      <c r="L851" s="228"/>
      <c r="M851" s="228" t="s">
        <v>3122</v>
      </c>
    </row>
    <row r="852">
      <c r="A852" s="234" t="s">
        <v>45</v>
      </c>
      <c r="B852" s="224">
        <v>46228.0</v>
      </c>
      <c r="C852" s="225" t="s">
        <v>148</v>
      </c>
      <c r="D852" s="213" t="s">
        <v>294</v>
      </c>
      <c r="E852" s="12" t="s">
        <v>3123</v>
      </c>
      <c r="F852" s="474"/>
      <c r="G852" s="347" t="s">
        <v>3124</v>
      </c>
      <c r="H852" s="55" t="s">
        <v>25</v>
      </c>
      <c r="I852" s="476" t="s">
        <v>83</v>
      </c>
      <c r="J852" s="222">
        <v>46228.0</v>
      </c>
      <c r="K852" s="224">
        <v>46263.0</v>
      </c>
      <c r="L852" s="228">
        <v>2.0</v>
      </c>
      <c r="M852" s="228" t="s">
        <v>3125</v>
      </c>
    </row>
    <row r="853">
      <c r="A853" s="234" t="s">
        <v>815</v>
      </c>
      <c r="B853" s="224">
        <v>46228.0</v>
      </c>
      <c r="C853" s="225" t="s">
        <v>148</v>
      </c>
      <c r="D853" s="213" t="s">
        <v>3126</v>
      </c>
      <c r="E853" s="12" t="s">
        <v>3127</v>
      </c>
      <c r="F853" s="474"/>
      <c r="G853" s="347" t="s">
        <v>2426</v>
      </c>
      <c r="H853" s="55" t="s">
        <v>25</v>
      </c>
      <c r="I853" s="476" t="s">
        <v>83</v>
      </c>
      <c r="J853" s="222">
        <v>46228.0</v>
      </c>
      <c r="K853" s="224"/>
      <c r="L853" s="228"/>
      <c r="M853" s="228" t="s">
        <v>190</v>
      </c>
    </row>
    <row r="854">
      <c r="A854" s="234" t="s">
        <v>45</v>
      </c>
      <c r="B854" s="224">
        <v>46228.0</v>
      </c>
      <c r="C854" s="225" t="s">
        <v>148</v>
      </c>
      <c r="D854" s="213" t="s">
        <v>3128</v>
      </c>
      <c r="E854" s="12" t="s">
        <v>3129</v>
      </c>
      <c r="F854" s="474"/>
      <c r="G854" s="347" t="s">
        <v>2647</v>
      </c>
      <c r="H854" s="55" t="s">
        <v>25</v>
      </c>
      <c r="I854" s="476" t="s">
        <v>83</v>
      </c>
      <c r="J854" s="222">
        <v>46228.0</v>
      </c>
      <c r="K854" s="224"/>
      <c r="L854" s="228"/>
      <c r="M854" s="228" t="s">
        <v>3130</v>
      </c>
    </row>
    <row r="855">
      <c r="A855" s="286" t="s">
        <v>67</v>
      </c>
      <c r="B855" s="293">
        <v>46228.0</v>
      </c>
      <c r="C855" s="294" t="s">
        <v>148</v>
      </c>
      <c r="D855" s="311" t="s">
        <v>3131</v>
      </c>
      <c r="E855" s="295" t="s">
        <v>3132</v>
      </c>
      <c r="F855" s="485"/>
      <c r="G855" s="349" t="s">
        <v>3133</v>
      </c>
      <c r="H855" s="298" t="s">
        <v>25</v>
      </c>
      <c r="I855" s="488" t="s">
        <v>83</v>
      </c>
      <c r="J855" s="300">
        <v>46228.0</v>
      </c>
      <c r="K855" s="293"/>
      <c r="L855" s="292"/>
      <c r="M855" s="292" t="s">
        <v>3134</v>
      </c>
      <c r="N855" s="291"/>
      <c r="O855" s="291"/>
      <c r="P855" s="291"/>
      <c r="Q855" s="291"/>
      <c r="R855" s="291"/>
      <c r="S855" s="291"/>
      <c r="T855" s="291"/>
      <c r="U855" s="291"/>
      <c r="V855" s="291"/>
      <c r="W855" s="291"/>
      <c r="X855" s="291"/>
      <c r="Y855" s="291"/>
      <c r="Z855" s="291"/>
      <c r="AA855" s="291"/>
    </row>
    <row r="856">
      <c r="A856" s="234" t="s">
        <v>67</v>
      </c>
      <c r="B856" s="224">
        <v>46231.0</v>
      </c>
      <c r="C856" s="225" t="s">
        <v>148</v>
      </c>
      <c r="D856" s="213" t="s">
        <v>3135</v>
      </c>
      <c r="E856" s="12" t="s">
        <v>3136</v>
      </c>
      <c r="F856" s="474"/>
      <c r="G856" s="347" t="s">
        <v>2647</v>
      </c>
      <c r="H856" s="55" t="s">
        <v>25</v>
      </c>
      <c r="I856" s="476" t="s">
        <v>83</v>
      </c>
      <c r="J856" s="222">
        <v>46232.0</v>
      </c>
      <c r="K856" s="224"/>
      <c r="L856" s="228"/>
      <c r="M856" s="228" t="s">
        <v>3137</v>
      </c>
    </row>
    <row r="857">
      <c r="A857" s="440" t="s">
        <v>815</v>
      </c>
      <c r="B857" s="441">
        <v>46228.0</v>
      </c>
      <c r="C857" s="442" t="s">
        <v>148</v>
      </c>
      <c r="D857" s="443" t="s">
        <v>3138</v>
      </c>
      <c r="E857" s="444" t="s">
        <v>3139</v>
      </c>
      <c r="F857" s="445"/>
      <c r="G857" s="446" t="s">
        <v>3140</v>
      </c>
      <c r="H857" s="447" t="s">
        <v>25</v>
      </c>
      <c r="I857" s="448" t="s">
        <v>83</v>
      </c>
      <c r="J857" s="449">
        <v>46238.0</v>
      </c>
      <c r="K857" s="441"/>
      <c r="L857" s="451"/>
      <c r="M857" s="499" t="s">
        <v>190</v>
      </c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>
      <c r="A858" s="234" t="s">
        <v>67</v>
      </c>
      <c r="B858" s="224">
        <v>46231.0</v>
      </c>
      <c r="C858" s="225" t="s">
        <v>148</v>
      </c>
      <c r="D858" s="213" t="s">
        <v>3141</v>
      </c>
      <c r="E858" s="12" t="s">
        <v>3142</v>
      </c>
      <c r="F858" s="474"/>
      <c r="G858" s="347" t="s">
        <v>3143</v>
      </c>
      <c r="H858" s="55" t="s">
        <v>25</v>
      </c>
      <c r="I858" s="476" t="s">
        <v>83</v>
      </c>
      <c r="J858" s="222">
        <v>46232.0</v>
      </c>
      <c r="K858" s="224"/>
      <c r="L858" s="228"/>
      <c r="M858" s="228" t="s">
        <v>3144</v>
      </c>
    </row>
    <row r="859">
      <c r="A859" s="234" t="s">
        <v>815</v>
      </c>
      <c r="B859" s="224">
        <v>46234.0</v>
      </c>
      <c r="C859" s="225" t="s">
        <v>68</v>
      </c>
      <c r="D859" s="213" t="s">
        <v>3145</v>
      </c>
      <c r="E859" s="12" t="s">
        <v>3146</v>
      </c>
      <c r="F859" s="500" t="s">
        <v>83</v>
      </c>
      <c r="G859" s="347" t="s">
        <v>3147</v>
      </c>
      <c r="H859" s="55"/>
      <c r="I859" s="476"/>
      <c r="J859" s="222"/>
      <c r="K859" s="224"/>
      <c r="L859" s="228"/>
      <c r="M859" s="228"/>
    </row>
    <row r="860">
      <c r="A860" s="234" t="s">
        <v>45</v>
      </c>
      <c r="B860" s="224">
        <v>46235.0</v>
      </c>
      <c r="C860" s="225" t="s">
        <v>380</v>
      </c>
      <c r="D860" s="213" t="s">
        <v>3148</v>
      </c>
      <c r="E860" s="12" t="s">
        <v>3149</v>
      </c>
      <c r="F860" s="474"/>
      <c r="G860" s="347" t="s">
        <v>3150</v>
      </c>
      <c r="H860" s="55"/>
      <c r="I860" s="476" t="s">
        <v>83</v>
      </c>
      <c r="J860" s="222">
        <v>46239.0</v>
      </c>
      <c r="K860" s="224"/>
      <c r="L860" s="228"/>
      <c r="M860" s="228" t="s">
        <v>3151</v>
      </c>
    </row>
    <row r="861">
      <c r="A861" s="312" t="s">
        <v>108</v>
      </c>
      <c r="B861" s="313">
        <v>46238.0</v>
      </c>
      <c r="C861" s="314" t="s">
        <v>148</v>
      </c>
      <c r="D861" s="315" t="s">
        <v>3152</v>
      </c>
      <c r="E861" s="316" t="s">
        <v>3153</v>
      </c>
      <c r="F861" s="317"/>
      <c r="G861" s="501" t="s">
        <v>3154</v>
      </c>
      <c r="H861" s="318" t="s">
        <v>25</v>
      </c>
      <c r="I861" s="319" t="s">
        <v>83</v>
      </c>
      <c r="J861" s="320">
        <v>46238.0</v>
      </c>
      <c r="K861" s="313"/>
      <c r="L861" s="307">
        <v>2.0</v>
      </c>
      <c r="M861" s="307" t="s">
        <v>3155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02" t="s">
        <v>108</v>
      </c>
      <c r="B862" s="224">
        <v>46238.0</v>
      </c>
      <c r="C862" s="503" t="s">
        <v>148</v>
      </c>
      <c r="D862" s="504" t="s">
        <v>3156</v>
      </c>
      <c r="E862" s="303" t="s">
        <v>3157</v>
      </c>
      <c r="F862" s="505"/>
      <c r="G862" s="352" t="s">
        <v>3158</v>
      </c>
      <c r="H862" s="55" t="s">
        <v>25</v>
      </c>
      <c r="I862" s="506" t="s">
        <v>83</v>
      </c>
      <c r="J862" s="507">
        <v>46238.0</v>
      </c>
      <c r="K862" s="508"/>
      <c r="L862" s="310"/>
      <c r="M862" s="310" t="s">
        <v>3159</v>
      </c>
      <c r="N862" s="509"/>
      <c r="O862" s="509"/>
      <c r="P862" s="509"/>
      <c r="Q862" s="509"/>
      <c r="R862" s="509"/>
      <c r="S862" s="509"/>
      <c r="T862" s="509"/>
      <c r="U862" s="509"/>
      <c r="V862" s="509"/>
      <c r="W862" s="509"/>
      <c r="X862" s="509"/>
      <c r="Y862" s="509"/>
      <c r="Z862" s="509"/>
      <c r="AA862" s="509"/>
    </row>
    <row r="863">
      <c r="A863" s="234" t="s">
        <v>45</v>
      </c>
      <c r="B863" s="224">
        <v>46238.0</v>
      </c>
      <c r="C863" s="225" t="s">
        <v>148</v>
      </c>
      <c r="D863" s="213" t="s">
        <v>3160</v>
      </c>
      <c r="E863" s="12" t="s">
        <v>3161</v>
      </c>
      <c r="F863" s="226"/>
      <c r="G863" s="396" t="s">
        <v>3162</v>
      </c>
      <c r="H863" s="55" t="s">
        <v>25</v>
      </c>
      <c r="I863" s="221" t="s">
        <v>83</v>
      </c>
      <c r="J863" s="222">
        <v>46238.0</v>
      </c>
      <c r="K863" s="224"/>
      <c r="L863" s="228"/>
      <c r="M863" s="228" t="s">
        <v>3163</v>
      </c>
    </row>
    <row r="864">
      <c r="A864" s="234" t="s">
        <v>108</v>
      </c>
      <c r="B864" s="224">
        <v>46238.0</v>
      </c>
      <c r="C864" s="225" t="s">
        <v>148</v>
      </c>
      <c r="D864" s="213" t="s">
        <v>3164</v>
      </c>
      <c r="E864" s="12" t="s">
        <v>3165</v>
      </c>
      <c r="F864" s="226"/>
      <c r="G864" s="396" t="s">
        <v>3166</v>
      </c>
      <c r="H864" s="55" t="s">
        <v>25</v>
      </c>
      <c r="I864" s="221" t="s">
        <v>83</v>
      </c>
      <c r="J864" s="222">
        <v>46238.0</v>
      </c>
      <c r="K864" s="224"/>
      <c r="L864" s="228"/>
      <c r="M864" s="228" t="s">
        <v>3167</v>
      </c>
    </row>
    <row r="865">
      <c r="A865" s="510" t="s">
        <v>815</v>
      </c>
      <c r="B865" s="441">
        <v>46238.0</v>
      </c>
      <c r="C865" s="511" t="s">
        <v>148</v>
      </c>
      <c r="D865" s="512"/>
      <c r="E865" s="513" t="s">
        <v>3168</v>
      </c>
      <c r="F865" s="514"/>
      <c r="G865" s="515" t="s">
        <v>3169</v>
      </c>
      <c r="H865" s="55" t="s">
        <v>25</v>
      </c>
      <c r="I865" s="516"/>
      <c r="J865" s="517"/>
      <c r="K865" s="518"/>
      <c r="L865" s="519"/>
      <c r="M865" s="519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</row>
    <row r="866">
      <c r="A866" s="510" t="s">
        <v>815</v>
      </c>
      <c r="B866" s="441">
        <v>46238.0</v>
      </c>
      <c r="C866" s="511" t="s">
        <v>148</v>
      </c>
      <c r="D866" s="512"/>
      <c r="E866" s="513" t="s">
        <v>3170</v>
      </c>
      <c r="F866" s="514"/>
      <c r="G866" s="515" t="s">
        <v>3171</v>
      </c>
      <c r="H866" s="55" t="s">
        <v>25</v>
      </c>
      <c r="I866" s="516"/>
      <c r="J866" s="517"/>
      <c r="K866" s="518"/>
      <c r="L866" s="519"/>
      <c r="M866" s="519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</row>
    <row r="867">
      <c r="A867" s="234" t="s">
        <v>108</v>
      </c>
      <c r="B867" s="224">
        <v>46238.0</v>
      </c>
      <c r="C867" s="225" t="s">
        <v>148</v>
      </c>
      <c r="D867" s="213" t="s">
        <v>3172</v>
      </c>
      <c r="E867" s="12" t="s">
        <v>3173</v>
      </c>
      <c r="F867" s="474"/>
      <c r="G867" s="347" t="s">
        <v>3174</v>
      </c>
      <c r="H867" s="55" t="s">
        <v>25</v>
      </c>
      <c r="I867" s="476" t="s">
        <v>83</v>
      </c>
      <c r="J867" s="222">
        <v>46238.0</v>
      </c>
      <c r="K867" s="224"/>
      <c r="L867" s="228"/>
      <c r="M867" s="228" t="s">
        <v>3175</v>
      </c>
    </row>
    <row r="868">
      <c r="A868" s="234" t="s">
        <v>815</v>
      </c>
      <c r="B868" s="441">
        <v>46238.0</v>
      </c>
      <c r="C868" s="225" t="s">
        <v>148</v>
      </c>
      <c r="D868" s="213" t="s">
        <v>3176</v>
      </c>
      <c r="E868" s="12" t="s">
        <v>3177</v>
      </c>
      <c r="F868" s="474"/>
      <c r="G868" s="347" t="s">
        <v>3178</v>
      </c>
      <c r="H868" s="55" t="s">
        <v>25</v>
      </c>
      <c r="I868" s="476" t="s">
        <v>83</v>
      </c>
      <c r="J868" s="222">
        <v>46238.0</v>
      </c>
      <c r="K868" s="224"/>
      <c r="L868" s="228"/>
      <c r="M868" s="292" t="s">
        <v>3179</v>
      </c>
    </row>
    <row r="869">
      <c r="A869" s="234" t="s">
        <v>108</v>
      </c>
      <c r="B869" s="224">
        <v>46238.0</v>
      </c>
      <c r="C869" s="225" t="s">
        <v>148</v>
      </c>
      <c r="D869" s="213" t="s">
        <v>3180</v>
      </c>
      <c r="E869" s="12" t="s">
        <v>3181</v>
      </c>
      <c r="F869" s="474"/>
      <c r="G869" s="347" t="s">
        <v>3182</v>
      </c>
      <c r="H869" s="55" t="s">
        <v>25</v>
      </c>
      <c r="I869" s="476" t="s">
        <v>83</v>
      </c>
      <c r="J869" s="222">
        <v>46238.0</v>
      </c>
      <c r="K869" s="224"/>
      <c r="L869" s="228"/>
      <c r="M869" s="521" t="s">
        <v>3183</v>
      </c>
    </row>
    <row r="870">
      <c r="A870" s="234" t="s">
        <v>108</v>
      </c>
      <c r="B870" s="224">
        <v>46238.0</v>
      </c>
      <c r="C870" s="225" t="s">
        <v>148</v>
      </c>
      <c r="D870" s="213" t="s">
        <v>3184</v>
      </c>
      <c r="E870" s="12" t="s">
        <v>3185</v>
      </c>
      <c r="F870" s="474"/>
      <c r="G870" s="347" t="s">
        <v>3186</v>
      </c>
      <c r="H870" s="55" t="s">
        <v>25</v>
      </c>
      <c r="I870" s="476" t="s">
        <v>83</v>
      </c>
      <c r="J870" s="222">
        <v>46238.0</v>
      </c>
      <c r="K870" s="224"/>
      <c r="L870" s="228"/>
      <c r="M870" s="292">
        <v>1600.0</v>
      </c>
    </row>
    <row r="871">
      <c r="A871" s="502" t="s">
        <v>815</v>
      </c>
      <c r="B871" s="508">
        <v>46220.0</v>
      </c>
      <c r="C871" s="503" t="s">
        <v>148</v>
      </c>
      <c r="D871" s="504" t="s">
        <v>3187</v>
      </c>
      <c r="E871" s="303" t="s">
        <v>3188</v>
      </c>
      <c r="F871" s="474"/>
      <c r="G871" s="352" t="s">
        <v>3189</v>
      </c>
      <c r="H871" s="522" t="s">
        <v>25</v>
      </c>
      <c r="I871" s="495"/>
      <c r="J871" s="507"/>
      <c r="K871" s="523"/>
      <c r="L871" s="523"/>
      <c r="M871" s="228"/>
      <c r="N871" s="509"/>
      <c r="O871" s="509"/>
      <c r="P871" s="509"/>
      <c r="Q871" s="509"/>
      <c r="R871" s="509"/>
      <c r="S871" s="509"/>
      <c r="T871" s="509"/>
      <c r="U871" s="509"/>
      <c r="V871" s="509"/>
      <c r="W871" s="509"/>
      <c r="X871" s="509"/>
      <c r="Y871" s="509"/>
      <c r="Z871" s="509"/>
      <c r="AA871" s="509"/>
    </row>
    <row r="872">
      <c r="A872" s="502" t="s">
        <v>815</v>
      </c>
      <c r="B872" s="508">
        <v>46224.0</v>
      </c>
      <c r="C872" s="503" t="s">
        <v>148</v>
      </c>
      <c r="D872" s="504" t="s">
        <v>3190</v>
      </c>
      <c r="E872" s="303" t="s">
        <v>3191</v>
      </c>
      <c r="F872" s="474"/>
      <c r="G872" s="352" t="s">
        <v>3192</v>
      </c>
      <c r="H872" s="522" t="s">
        <v>25</v>
      </c>
      <c r="I872" s="495"/>
      <c r="J872" s="507"/>
      <c r="K872" s="508"/>
      <c r="L872" s="310"/>
      <c r="M872" s="228"/>
      <c r="N872" s="509"/>
      <c r="O872" s="509"/>
      <c r="P872" s="509"/>
      <c r="Q872" s="509"/>
      <c r="R872" s="509"/>
      <c r="S872" s="509"/>
      <c r="T872" s="509"/>
      <c r="U872" s="509"/>
      <c r="V872" s="509"/>
      <c r="W872" s="509"/>
      <c r="X872" s="509"/>
      <c r="Y872" s="509"/>
      <c r="Z872" s="509"/>
      <c r="AA872" s="509"/>
    </row>
    <row r="873">
      <c r="A873" s="502" t="s">
        <v>815</v>
      </c>
      <c r="B873" s="508">
        <v>46231.0</v>
      </c>
      <c r="C873" s="503" t="s">
        <v>148</v>
      </c>
      <c r="D873" s="504"/>
      <c r="E873" s="303" t="s">
        <v>3193</v>
      </c>
      <c r="F873" s="505"/>
      <c r="G873" s="352" t="s">
        <v>3194</v>
      </c>
      <c r="H873" s="55" t="s">
        <v>25</v>
      </c>
      <c r="I873" s="506"/>
      <c r="J873" s="507"/>
      <c r="K873" s="508"/>
      <c r="L873" s="310"/>
      <c r="M873" s="310"/>
      <c r="N873" s="509"/>
      <c r="O873" s="509"/>
      <c r="P873" s="509"/>
      <c r="Q873" s="509"/>
      <c r="R873" s="509"/>
      <c r="S873" s="509"/>
      <c r="T873" s="509"/>
      <c r="U873" s="509"/>
      <c r="V873" s="509"/>
      <c r="W873" s="509"/>
      <c r="X873" s="509"/>
      <c r="Y873" s="509"/>
      <c r="Z873" s="509"/>
      <c r="AA873" s="509"/>
    </row>
    <row r="874">
      <c r="A874" s="397" t="s">
        <v>815</v>
      </c>
      <c r="B874" s="398">
        <v>46231.0</v>
      </c>
      <c r="C874" s="399" t="s">
        <v>148</v>
      </c>
      <c r="D874" s="400"/>
      <c r="E874" s="401" t="s">
        <v>3195</v>
      </c>
      <c r="F874" s="402"/>
      <c r="G874" s="403" t="s">
        <v>3196</v>
      </c>
      <c r="H874" s="404" t="s">
        <v>25</v>
      </c>
      <c r="I874" s="405"/>
      <c r="J874" s="406"/>
      <c r="K874" s="398"/>
      <c r="L874" s="499"/>
      <c r="M874" s="499"/>
      <c r="N874" s="409"/>
      <c r="O874" s="409"/>
      <c r="P874" s="409"/>
      <c r="Q874" s="409"/>
      <c r="R874" s="409"/>
      <c r="S874" s="409"/>
      <c r="T874" s="409"/>
      <c r="U874" s="409"/>
      <c r="V874" s="409"/>
      <c r="W874" s="409"/>
      <c r="X874" s="409"/>
      <c r="Y874" s="409"/>
      <c r="Z874" s="409"/>
      <c r="AA874" s="409"/>
    </row>
    <row r="875">
      <c r="A875" s="397" t="s">
        <v>815</v>
      </c>
      <c r="B875" s="398">
        <v>46231.0</v>
      </c>
      <c r="C875" s="399" t="s">
        <v>148</v>
      </c>
      <c r="D875" s="400"/>
      <c r="E875" s="401" t="s">
        <v>3197</v>
      </c>
      <c r="F875" s="402"/>
      <c r="G875" s="403" t="s">
        <v>3198</v>
      </c>
      <c r="H875" s="404" t="s">
        <v>25</v>
      </c>
      <c r="I875" s="405"/>
      <c r="J875" s="406"/>
      <c r="K875" s="398"/>
      <c r="L875" s="499"/>
      <c r="M875" s="499"/>
      <c r="N875" s="409"/>
      <c r="O875" s="409"/>
      <c r="P875" s="409"/>
      <c r="Q875" s="409"/>
      <c r="R875" s="409"/>
      <c r="S875" s="409"/>
      <c r="T875" s="409"/>
      <c r="U875" s="409"/>
      <c r="V875" s="409"/>
      <c r="W875" s="409"/>
      <c r="X875" s="409"/>
      <c r="Y875" s="409"/>
      <c r="Z875" s="409"/>
      <c r="AA875" s="409"/>
    </row>
    <row r="876">
      <c r="A876" s="397" t="s">
        <v>815</v>
      </c>
      <c r="B876" s="398">
        <v>46231.0</v>
      </c>
      <c r="C876" s="399" t="s">
        <v>148</v>
      </c>
      <c r="D876" s="400"/>
      <c r="E876" s="401" t="s">
        <v>3199</v>
      </c>
      <c r="F876" s="402"/>
      <c r="G876" s="403" t="s">
        <v>3200</v>
      </c>
      <c r="H876" s="404" t="s">
        <v>25</v>
      </c>
      <c r="I876" s="405"/>
      <c r="J876" s="406"/>
      <c r="K876" s="398"/>
      <c r="L876" s="499"/>
      <c r="M876" s="499"/>
      <c r="N876" s="409"/>
      <c r="O876" s="409"/>
      <c r="P876" s="409"/>
      <c r="Q876" s="409"/>
      <c r="R876" s="409"/>
      <c r="S876" s="409"/>
      <c r="T876" s="409"/>
      <c r="U876" s="409"/>
      <c r="V876" s="409"/>
      <c r="W876" s="409"/>
      <c r="X876" s="409"/>
      <c r="Y876" s="409"/>
      <c r="Z876" s="409"/>
      <c r="AA876" s="409"/>
    </row>
    <row r="877">
      <c r="A877" s="397" t="s">
        <v>815</v>
      </c>
      <c r="B877" s="224">
        <v>46238.0</v>
      </c>
      <c r="C877" s="399" t="s">
        <v>148</v>
      </c>
      <c r="D877" s="400"/>
      <c r="E877" s="401" t="s">
        <v>3201</v>
      </c>
      <c r="F877" s="402"/>
      <c r="G877" s="403" t="s">
        <v>3202</v>
      </c>
      <c r="H877" s="55" t="s">
        <v>25</v>
      </c>
      <c r="I877" s="405"/>
      <c r="J877" s="406"/>
      <c r="K877" s="398"/>
      <c r="L877" s="499"/>
      <c r="M877" s="499"/>
      <c r="N877" s="409"/>
      <c r="O877" s="409"/>
      <c r="P877" s="409"/>
      <c r="Q877" s="409"/>
      <c r="R877" s="409"/>
      <c r="S877" s="409"/>
      <c r="T877" s="409"/>
      <c r="U877" s="409"/>
      <c r="V877" s="409"/>
      <c r="W877" s="409"/>
      <c r="X877" s="409"/>
      <c r="Y877" s="409"/>
      <c r="Z877" s="409"/>
      <c r="AA877" s="409"/>
    </row>
    <row r="878">
      <c r="A878" s="234" t="s">
        <v>815</v>
      </c>
      <c r="B878" s="441">
        <v>46238.0</v>
      </c>
      <c r="C878" s="225" t="s">
        <v>68</v>
      </c>
      <c r="D878" s="213" t="s">
        <v>3203</v>
      </c>
      <c r="E878" s="12" t="s">
        <v>3204</v>
      </c>
      <c r="F878" s="474"/>
      <c r="G878" s="347" t="s">
        <v>3205</v>
      </c>
      <c r="H878" s="55"/>
      <c r="I878" s="476"/>
      <c r="J878" s="222"/>
      <c r="K878" s="224"/>
      <c r="L878" s="228"/>
      <c r="M878" s="228"/>
    </row>
    <row r="879">
      <c r="A879" s="234" t="s">
        <v>108</v>
      </c>
      <c r="B879" s="224">
        <v>46239.0</v>
      </c>
      <c r="C879" s="225" t="s">
        <v>1323</v>
      </c>
      <c r="D879" s="213" t="s">
        <v>596</v>
      </c>
      <c r="E879" s="12" t="s">
        <v>3206</v>
      </c>
      <c r="F879" s="474"/>
      <c r="G879" s="347" t="s">
        <v>3207</v>
      </c>
      <c r="H879" s="55"/>
      <c r="I879" s="476"/>
      <c r="J879" s="222"/>
      <c r="K879" s="224"/>
      <c r="L879" s="228"/>
      <c r="M879" s="228"/>
    </row>
    <row r="880">
      <c r="A880" s="234" t="s">
        <v>815</v>
      </c>
      <c r="B880" s="224">
        <v>46239.0</v>
      </c>
      <c r="C880" s="225" t="s">
        <v>68</v>
      </c>
      <c r="D880" s="213" t="s">
        <v>1218</v>
      </c>
      <c r="E880" s="12" t="s">
        <v>3208</v>
      </c>
      <c r="F880" s="226"/>
      <c r="G880" s="396" t="s">
        <v>3209</v>
      </c>
      <c r="H880" s="55" t="s">
        <v>25</v>
      </c>
      <c r="I880" s="221" t="s">
        <v>83</v>
      </c>
      <c r="J880" s="222">
        <v>46239.0</v>
      </c>
      <c r="K880" s="224"/>
      <c r="L880" s="228"/>
      <c r="M880" s="292" t="s">
        <v>3210</v>
      </c>
    </row>
    <row r="881">
      <c r="A881" s="234" t="s">
        <v>815</v>
      </c>
      <c r="B881" s="224">
        <v>46239.0</v>
      </c>
      <c r="C881" s="225" t="s">
        <v>53</v>
      </c>
      <c r="D881" s="213" t="s">
        <v>3211</v>
      </c>
      <c r="E881" s="12" t="s">
        <v>3212</v>
      </c>
      <c r="F881" s="474"/>
      <c r="G881" s="347" t="s">
        <v>414</v>
      </c>
      <c r="H881" s="55" t="s">
        <v>25</v>
      </c>
      <c r="I881" s="476"/>
      <c r="J881" s="222"/>
      <c r="K881" s="224"/>
      <c r="L881" s="228"/>
      <c r="M881" s="228"/>
    </row>
    <row r="882">
      <c r="C882" s="118"/>
      <c r="D882" s="10"/>
      <c r="E882" s="12"/>
      <c r="G882" s="244"/>
      <c r="J882" s="118"/>
      <c r="M882" s="524"/>
    </row>
    <row r="883">
      <c r="C883" s="118"/>
      <c r="D883" s="10"/>
      <c r="E883" s="12"/>
      <c r="G883" s="244"/>
      <c r="J883" s="118"/>
      <c r="M883" s="524"/>
    </row>
    <row r="884">
      <c r="C884" s="118"/>
      <c r="D884" s="10"/>
      <c r="E884" s="12"/>
      <c r="G884" s="244"/>
      <c r="J884" s="118"/>
      <c r="M884" s="524"/>
    </row>
    <row r="885">
      <c r="C885" s="118"/>
      <c r="D885" s="10"/>
      <c r="E885" s="12"/>
      <c r="G885" s="244"/>
      <c r="J885" s="118"/>
      <c r="M885" s="524"/>
    </row>
    <row r="886">
      <c r="C886" s="118"/>
      <c r="D886" s="10"/>
      <c r="E886" s="12"/>
      <c r="G886" s="244"/>
      <c r="J886" s="118"/>
      <c r="M886" s="524"/>
    </row>
    <row r="887">
      <c r="C887" s="118"/>
      <c r="D887" s="10"/>
      <c r="E887" s="12"/>
      <c r="G887" s="244"/>
      <c r="J887" s="118"/>
      <c r="M887" s="524"/>
    </row>
    <row r="888">
      <c r="C888" s="118"/>
      <c r="D888" s="10"/>
      <c r="E888" s="12"/>
      <c r="G888" s="244"/>
      <c r="J888" s="118"/>
      <c r="M888" s="524"/>
    </row>
    <row r="889">
      <c r="C889" s="118"/>
      <c r="D889" s="10"/>
      <c r="E889" s="12"/>
      <c r="G889" s="244"/>
      <c r="J889" s="118"/>
      <c r="M889" s="524"/>
    </row>
    <row r="890">
      <c r="C890" s="118"/>
      <c r="D890" s="10"/>
      <c r="E890" s="12"/>
      <c r="G890" s="244"/>
      <c r="J890" s="118"/>
      <c r="M890" s="524"/>
    </row>
    <row r="891">
      <c r="C891" s="118"/>
      <c r="D891" s="10"/>
      <c r="E891" s="12"/>
      <c r="G891" s="244"/>
      <c r="J891" s="118"/>
      <c r="M891" s="524"/>
    </row>
    <row r="892">
      <c r="C892" s="118"/>
      <c r="D892" s="10"/>
      <c r="E892" s="12"/>
      <c r="G892" s="244"/>
      <c r="J892" s="118"/>
      <c r="M892" s="524"/>
    </row>
    <row r="893">
      <c r="C893" s="118"/>
      <c r="D893" s="10"/>
      <c r="E893" s="12"/>
      <c r="G893" s="244"/>
      <c r="J893" s="118"/>
      <c r="M893" s="524"/>
    </row>
    <row r="894">
      <c r="C894" s="118"/>
      <c r="D894" s="10"/>
      <c r="E894" s="12"/>
      <c r="G894" s="244"/>
      <c r="J894" s="118"/>
      <c r="M894" s="524"/>
    </row>
    <row r="895">
      <c r="C895" s="118"/>
      <c r="D895" s="10"/>
      <c r="E895" s="12"/>
      <c r="G895" s="244"/>
      <c r="J895" s="118"/>
      <c r="M895" s="524"/>
    </row>
    <row r="896">
      <c r="C896" s="118"/>
      <c r="D896" s="10"/>
      <c r="E896" s="12"/>
      <c r="G896" s="244"/>
      <c r="J896" s="118"/>
      <c r="M896" s="524"/>
    </row>
    <row r="897">
      <c r="C897" s="118"/>
      <c r="D897" s="10"/>
      <c r="E897" s="12"/>
      <c r="G897" s="244"/>
      <c r="J897" s="118"/>
      <c r="M897" s="524"/>
    </row>
    <row r="898">
      <c r="C898" s="118"/>
      <c r="D898" s="10"/>
      <c r="E898" s="12"/>
      <c r="G898" s="244"/>
      <c r="J898" s="118"/>
      <c r="M898" s="524"/>
    </row>
    <row r="899">
      <c r="C899" s="118"/>
      <c r="D899" s="10"/>
      <c r="E899" s="12"/>
      <c r="G899" s="244"/>
      <c r="J899" s="118"/>
      <c r="M899" s="524"/>
    </row>
    <row r="900">
      <c r="C900" s="118"/>
      <c r="D900" s="10"/>
      <c r="E900" s="12"/>
      <c r="G900" s="244"/>
      <c r="J900" s="118"/>
      <c r="M900" s="524"/>
    </row>
    <row r="901">
      <c r="C901" s="118"/>
      <c r="D901" s="10"/>
      <c r="E901" s="12"/>
      <c r="G901" s="244"/>
      <c r="J901" s="118"/>
      <c r="M901" s="524"/>
    </row>
    <row r="902">
      <c r="C902" s="118"/>
      <c r="D902" s="10"/>
      <c r="E902" s="12"/>
      <c r="G902" s="244"/>
      <c r="J902" s="118"/>
      <c r="M902" s="524"/>
    </row>
    <row r="903">
      <c r="C903" s="118"/>
      <c r="D903" s="10"/>
      <c r="E903" s="12"/>
      <c r="G903" s="244"/>
      <c r="J903" s="118"/>
      <c r="M903" s="524"/>
    </row>
    <row r="904">
      <c r="C904" s="118"/>
      <c r="D904" s="10"/>
      <c r="E904" s="12"/>
      <c r="G904" s="244"/>
      <c r="J904" s="118"/>
      <c r="M904" s="524"/>
    </row>
    <row r="905">
      <c r="C905" s="118"/>
      <c r="D905" s="10"/>
      <c r="E905" s="12"/>
      <c r="G905" s="244"/>
      <c r="J905" s="118"/>
      <c r="M905" s="524"/>
    </row>
    <row r="906">
      <c r="C906" s="118"/>
      <c r="D906" s="10"/>
      <c r="E906" s="12"/>
      <c r="G906" s="244"/>
      <c r="J906" s="118"/>
      <c r="M906" s="524"/>
    </row>
    <row r="907">
      <c r="C907" s="118"/>
      <c r="D907" s="10"/>
      <c r="E907" s="12"/>
      <c r="G907" s="244"/>
      <c r="J907" s="118"/>
      <c r="M907" s="524"/>
    </row>
    <row r="908">
      <c r="C908" s="118"/>
      <c r="D908" s="10"/>
      <c r="E908" s="12"/>
      <c r="G908" s="244"/>
      <c r="J908" s="118"/>
      <c r="M908" s="524"/>
    </row>
    <row r="909">
      <c r="C909" s="118"/>
      <c r="D909" s="10"/>
      <c r="E909" s="12"/>
      <c r="G909" s="244"/>
      <c r="J909" s="118"/>
      <c r="M909" s="524"/>
    </row>
    <row r="910">
      <c r="C910" s="118"/>
      <c r="D910" s="10"/>
      <c r="E910" s="12"/>
      <c r="G910" s="244"/>
      <c r="J910" s="118"/>
      <c r="M910" s="524"/>
    </row>
    <row r="911">
      <c r="C911" s="118"/>
      <c r="D911" s="10"/>
      <c r="E911" s="12"/>
      <c r="G911" s="244"/>
      <c r="J911" s="118"/>
      <c r="M911" s="524"/>
    </row>
    <row r="912">
      <c r="C912" s="118"/>
      <c r="D912" s="10"/>
      <c r="E912" s="12"/>
      <c r="G912" s="244"/>
      <c r="J912" s="118"/>
      <c r="M912" s="524"/>
    </row>
    <row r="913">
      <c r="C913" s="118"/>
      <c r="D913" s="10"/>
      <c r="E913" s="12"/>
      <c r="G913" s="244"/>
      <c r="J913" s="118"/>
      <c r="M913" s="524"/>
    </row>
    <row r="914">
      <c r="C914" s="118"/>
      <c r="D914" s="10"/>
      <c r="E914" s="12"/>
      <c r="G914" s="244"/>
      <c r="J914" s="118"/>
      <c r="M914" s="524"/>
    </row>
    <row r="915">
      <c r="C915" s="118"/>
      <c r="D915" s="10"/>
      <c r="E915" s="12"/>
      <c r="G915" s="244"/>
      <c r="J915" s="118"/>
      <c r="M915" s="524"/>
    </row>
    <row r="916">
      <c r="C916" s="118"/>
      <c r="D916" s="10"/>
      <c r="E916" s="12"/>
      <c r="G916" s="244"/>
      <c r="J916" s="118"/>
      <c r="M916" s="524"/>
    </row>
    <row r="917">
      <c r="C917" s="118"/>
      <c r="D917" s="10"/>
      <c r="E917" s="12"/>
      <c r="G917" s="244"/>
      <c r="J917" s="118"/>
      <c r="M917" s="524"/>
    </row>
    <row r="918">
      <c r="C918" s="118"/>
      <c r="D918" s="10"/>
      <c r="E918" s="12"/>
      <c r="G918" s="244"/>
      <c r="J918" s="118"/>
      <c r="M918" s="524"/>
    </row>
    <row r="919">
      <c r="C919" s="118"/>
      <c r="D919" s="10"/>
      <c r="E919" s="12"/>
      <c r="G919" s="244"/>
      <c r="J919" s="118"/>
      <c r="M919" s="524"/>
    </row>
    <row r="920">
      <c r="C920" s="118"/>
      <c r="D920" s="10"/>
      <c r="E920" s="12"/>
      <c r="G920" s="244"/>
      <c r="J920" s="118"/>
      <c r="M920" s="524"/>
    </row>
    <row r="921">
      <c r="C921" s="118"/>
      <c r="D921" s="10"/>
      <c r="E921" s="12"/>
      <c r="G921" s="244"/>
      <c r="J921" s="118"/>
      <c r="M921" s="524"/>
    </row>
    <row r="922">
      <c r="C922" s="118"/>
      <c r="D922" s="10"/>
      <c r="E922" s="12"/>
      <c r="G922" s="244"/>
      <c r="J922" s="118"/>
      <c r="M922" s="524"/>
    </row>
    <row r="923">
      <c r="C923" s="118"/>
      <c r="D923" s="10"/>
      <c r="E923" s="12"/>
      <c r="G923" s="244"/>
      <c r="J923" s="118"/>
      <c r="M923" s="524"/>
    </row>
    <row r="924">
      <c r="C924" s="118"/>
      <c r="D924" s="10"/>
      <c r="E924" s="12"/>
      <c r="G924" s="244"/>
      <c r="J924" s="118"/>
      <c r="M924" s="524"/>
    </row>
    <row r="925">
      <c r="C925" s="118"/>
      <c r="D925" s="10"/>
      <c r="E925" s="12"/>
      <c r="G925" s="244"/>
      <c r="J925" s="118"/>
      <c r="M925" s="524"/>
    </row>
    <row r="926">
      <c r="C926" s="118"/>
      <c r="D926" s="10"/>
      <c r="E926" s="12"/>
      <c r="G926" s="244"/>
      <c r="J926" s="118"/>
      <c r="M926" s="524"/>
    </row>
    <row r="927">
      <c r="C927" s="118"/>
      <c r="D927" s="10"/>
      <c r="E927" s="12"/>
      <c r="G927" s="244"/>
      <c r="J927" s="118"/>
      <c r="M927" s="524"/>
    </row>
    <row r="928">
      <c r="C928" s="118"/>
      <c r="D928" s="10"/>
      <c r="E928" s="12"/>
      <c r="G928" s="244"/>
      <c r="J928" s="118"/>
      <c r="M928" s="524"/>
    </row>
    <row r="929">
      <c r="C929" s="118"/>
      <c r="D929" s="10"/>
      <c r="E929" s="12"/>
      <c r="G929" s="244"/>
      <c r="J929" s="118"/>
      <c r="M929" s="524"/>
    </row>
    <row r="930">
      <c r="C930" s="118"/>
      <c r="D930" s="10"/>
      <c r="E930" s="12"/>
      <c r="G930" s="244"/>
      <c r="J930" s="118"/>
      <c r="M930" s="524"/>
    </row>
    <row r="931">
      <c r="C931" s="118"/>
      <c r="D931" s="10"/>
      <c r="E931" s="12"/>
      <c r="G931" s="244"/>
      <c r="J931" s="118"/>
      <c r="M931" s="524"/>
    </row>
    <row r="932">
      <c r="C932" s="118"/>
      <c r="D932" s="10"/>
      <c r="E932" s="12"/>
      <c r="G932" s="244"/>
      <c r="J932" s="118"/>
      <c r="M932" s="524"/>
    </row>
    <row r="933">
      <c r="C933" s="118"/>
      <c r="D933" s="10"/>
      <c r="E933" s="12"/>
      <c r="G933" s="244"/>
      <c r="J933" s="118"/>
      <c r="M933" s="524"/>
    </row>
    <row r="934">
      <c r="C934" s="118"/>
      <c r="D934" s="10"/>
      <c r="E934" s="12"/>
      <c r="G934" s="244"/>
      <c r="J934" s="118"/>
      <c r="M934" s="524"/>
    </row>
    <row r="935">
      <c r="C935" s="118"/>
      <c r="D935" s="10"/>
      <c r="E935" s="12"/>
      <c r="G935" s="244"/>
      <c r="J935" s="118"/>
      <c r="M935" s="524"/>
    </row>
    <row r="936">
      <c r="C936" s="118"/>
      <c r="D936" s="10"/>
      <c r="E936" s="12"/>
      <c r="G936" s="244"/>
      <c r="J936" s="118"/>
      <c r="M936" s="524"/>
    </row>
    <row r="937">
      <c r="C937" s="118"/>
      <c r="D937" s="10"/>
      <c r="E937" s="12"/>
      <c r="G937" s="244"/>
      <c r="J937" s="118"/>
      <c r="M937" s="524"/>
    </row>
    <row r="938">
      <c r="C938" s="118"/>
      <c r="D938" s="10"/>
      <c r="E938" s="12"/>
      <c r="G938" s="244"/>
      <c r="J938" s="118"/>
      <c r="M938" s="524"/>
    </row>
    <row r="939">
      <c r="C939" s="118"/>
      <c r="D939" s="10"/>
      <c r="E939" s="12"/>
      <c r="G939" s="244"/>
      <c r="J939" s="118"/>
      <c r="M939" s="524"/>
    </row>
    <row r="940">
      <c r="C940" s="118"/>
      <c r="D940" s="10"/>
      <c r="E940" s="12"/>
      <c r="G940" s="244"/>
      <c r="J940" s="118"/>
      <c r="M940" s="524"/>
    </row>
    <row r="941">
      <c r="C941" s="118"/>
      <c r="D941" s="10"/>
      <c r="E941" s="12"/>
      <c r="G941" s="244"/>
      <c r="J941" s="118"/>
      <c r="M941" s="524"/>
    </row>
    <row r="942">
      <c r="C942" s="118"/>
      <c r="D942" s="10"/>
      <c r="E942" s="12"/>
      <c r="G942" s="244"/>
      <c r="J942" s="118"/>
      <c r="M942" s="524"/>
    </row>
    <row r="943">
      <c r="C943" s="118"/>
      <c r="D943" s="10"/>
      <c r="E943" s="12"/>
      <c r="G943" s="244"/>
      <c r="J943" s="118"/>
      <c r="M943" s="524"/>
    </row>
    <row r="944">
      <c r="C944" s="118"/>
      <c r="D944" s="10"/>
      <c r="E944" s="12"/>
      <c r="G944" s="244"/>
      <c r="J944" s="118"/>
      <c r="M944" s="524"/>
    </row>
    <row r="945">
      <c r="C945" s="118"/>
      <c r="D945" s="10"/>
      <c r="E945" s="12"/>
      <c r="G945" s="244"/>
      <c r="J945" s="118"/>
      <c r="M945" s="524"/>
    </row>
    <row r="946">
      <c r="C946" s="118"/>
      <c r="D946" s="10"/>
      <c r="E946" s="12"/>
      <c r="G946" s="244"/>
      <c r="J946" s="118"/>
      <c r="M946" s="524"/>
    </row>
    <row r="947">
      <c r="C947" s="118"/>
      <c r="D947" s="10"/>
      <c r="E947" s="12"/>
      <c r="G947" s="244"/>
      <c r="J947" s="118"/>
      <c r="M947" s="524"/>
    </row>
    <row r="948">
      <c r="C948" s="118"/>
      <c r="D948" s="10"/>
      <c r="E948" s="12"/>
      <c r="G948" s="244"/>
      <c r="J948" s="118"/>
      <c r="M948" s="524"/>
    </row>
    <row r="949">
      <c r="C949" s="118"/>
      <c r="D949" s="10"/>
      <c r="E949" s="12"/>
      <c r="G949" s="244"/>
      <c r="J949" s="118"/>
      <c r="M949" s="524"/>
    </row>
  </sheetData>
  <autoFilter ref="$A$182:$N$808"/>
  <dataValidations>
    <dataValidation type="list" allowBlank="1" showInputMessage="1" showErrorMessage="1" prompt="按一下並輸入項目清單中的值" sqref="A849">
      <formula1>"待連絡,連絡中,待確認日期,已連絡,特殊X,暫置,保固維修"</formula1>
    </dataValidation>
    <dataValidation type="list" allowBlank="1" showErrorMessage="1" sqref="F2:F102 I2:I102 F104:F180 I104:I180 F182:F474 I182:I474 F476:F540 I476:I540 F542:F881 I542:I881">
      <formula1>"子榕,梓涵,汝軍"</formula1>
    </dataValidation>
    <dataValidation type="list" allowBlank="1" sqref="H1:H102 H104:H180 H182:H540 H542:H881">
      <formula1>"是"</formula1>
    </dataValidation>
    <dataValidation type="list" allowBlank="1" showErrorMessage="1" sqref="M837:M840 M842 M844 M853 M857 M859 M865:M866 M871:M879 M881">
      <formula1>"未接,語音"</formula1>
    </dataValidation>
    <dataValidation type="list" allowBlank="1" showErrorMessage="1" sqref="C2:C102 C104:C180 C182:C540 C542:C881">
      <formula1>"TEL,FB,後台,Gmail,Line,其他,現場,FB名單,WIX,家具"</formula1>
    </dataValidation>
    <dataValidation type="list" allowBlank="1" showErrorMessage="1" sqref="F475 I475">
      <formula1>"子榕,梓涵,謹瀅"</formula1>
    </dataValidation>
    <dataValidation type="list" allowBlank="1" showInputMessage="1" showErrorMessage="1" prompt="按一下並輸入項目清單中的值" sqref="A174">
      <formula1>"待連絡,連絡中,待確認日期,已連絡,特殊X,暫置,家具"</formula1>
    </dataValidation>
    <dataValidation type="list" allowBlank="1" showInputMessage="1" showErrorMessage="1" prompt="按一下並輸入項目清單中的值" sqref="A2:A102 A104:A173 A175:A180 A182:A540 A542:A848 A850:A881">
      <formula1>"待連絡,連絡中,待確認日期,已連絡,特殊X,暫置"</formula1>
    </dataValidation>
  </dataValidations>
  <hyperlinks>
    <hyperlink r:id="rId1" ref="M233"/>
    <hyperlink r:id="rId2" ref="G366"/>
    <hyperlink r:id="rId3" ref="G376"/>
    <hyperlink r:id="rId4" ref="G395"/>
    <hyperlink r:id="rId5" ref="M742"/>
    <hyperlink r:id="rId6" ref="M764"/>
    <hyperlink r:id="rId7" ref="G786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10" width="6.5"/>
    <col customWidth="1" min="11" max="11" width="5.75"/>
    <col customWidth="1" min="12" max="12" width="1.0"/>
    <col customWidth="1" min="13" max="13" width="11.38"/>
    <col customWidth="1" min="14" max="14" width="7.88"/>
    <col customWidth="1" min="15" max="17" width="5.75"/>
    <col customWidth="1" min="18" max="18" width="0.88"/>
    <col customWidth="1" min="21" max="21" width="0.88"/>
    <col customWidth="1" min="24" max="24" width="0.38"/>
  </cols>
  <sheetData>
    <row r="1">
      <c r="A1" s="3" t="s">
        <v>0</v>
      </c>
      <c r="D1" s="5"/>
      <c r="E1" s="8" t="s">
        <v>3</v>
      </c>
      <c r="F1" s="11" t="s">
        <v>5</v>
      </c>
      <c r="G1" s="13"/>
      <c r="H1" s="14"/>
      <c r="I1" s="16" t="s">
        <v>23</v>
      </c>
      <c r="J1" s="17"/>
      <c r="K1" s="18"/>
      <c r="L1" s="19"/>
      <c r="M1" s="20" t="s">
        <v>26</v>
      </c>
      <c r="N1" s="22"/>
      <c r="O1" s="22"/>
      <c r="P1" s="22"/>
      <c r="Q1" s="22"/>
      <c r="S1" s="25" t="s">
        <v>31</v>
      </c>
    </row>
    <row r="2">
      <c r="A2" s="27" t="s">
        <v>3</v>
      </c>
      <c r="B2" s="27" t="s">
        <v>36</v>
      </c>
      <c r="C2" s="27" t="s">
        <v>38</v>
      </c>
      <c r="D2" s="29"/>
      <c r="E2" s="30"/>
      <c r="F2" s="31" t="s">
        <v>42</v>
      </c>
      <c r="G2" s="32" t="s">
        <v>43</v>
      </c>
      <c r="H2" s="32" t="s">
        <v>46</v>
      </c>
      <c r="I2" s="35" t="s">
        <v>42</v>
      </c>
      <c r="J2" s="35" t="s">
        <v>43</v>
      </c>
      <c r="K2" s="35" t="s">
        <v>46</v>
      </c>
      <c r="L2" s="36"/>
      <c r="M2" s="38" t="s">
        <v>3</v>
      </c>
      <c r="N2" s="38" t="s">
        <v>56</v>
      </c>
      <c r="O2" s="39" t="s">
        <v>57</v>
      </c>
      <c r="P2" s="41" t="s">
        <v>59</v>
      </c>
      <c r="Q2" s="44" t="s">
        <v>61</v>
      </c>
      <c r="R2" s="47"/>
      <c r="S2" s="48" t="s">
        <v>57</v>
      </c>
      <c r="T2" s="47"/>
      <c r="U2" s="50"/>
      <c r="V2" s="52" t="s">
        <v>59</v>
      </c>
      <c r="W2" s="50"/>
      <c r="X2" s="54"/>
      <c r="Y2" s="56" t="s">
        <v>65</v>
      </c>
      <c r="Z2" s="57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</row>
    <row r="3">
      <c r="A3" s="69">
        <f>DATE(2026,1,1)</f>
        <v>46023</v>
      </c>
      <c r="B3" s="72">
        <f>COUNTIFS('2026初客紀錄'!B:B, "&gt;=" &amp; A3,'2026初客紀錄'!B:B, "&lt;" &amp; EDATE(A3, 1))</f>
        <v>218</v>
      </c>
      <c r="C3" s="73">
        <f>COUNTIFS('2026初客紀錄'!B:B,"&gt;=2026/1/1",'2026初客紀錄'!B:B,"&lt;=2026/1/31")</f>
        <v>218</v>
      </c>
      <c r="E3" s="74">
        <v>1.0</v>
      </c>
      <c r="F3" s="76">
        <f>COUNTIFS('2026初客紀錄'!B:B,"&gt;=2026/1/1",'2026初客紀錄'!B:B,"&lt;=2026/1/31",'2026初客紀錄'!C:C,"FB名單")</f>
        <v>152</v>
      </c>
      <c r="G3" s="78">
        <f>COUNTIFS('2026初客紀錄'!B:B,"&gt;=2026/1/1",'2026初客紀錄'!B:B,"&lt;=2026/1/31",'2026初客紀錄'!C:C,"FB名單",'2026初客紀錄'!K:K,"&lt;&gt;")</f>
        <v>12</v>
      </c>
      <c r="H3" s="79">
        <f t="shared" ref="H3:H9" si="1">G3/F3</f>
        <v>0.07894736842</v>
      </c>
      <c r="I3" s="81">
        <f t="shared" ref="I3:I9" si="2">B3-F3</f>
        <v>66</v>
      </c>
      <c r="J3" s="81">
        <f t="shared" ref="J3:J9" si="3">J27-G3</f>
        <v>31</v>
      </c>
      <c r="K3" s="84">
        <f t="shared" ref="K3:K9" si="4">J3/I3</f>
        <v>0.4696969697</v>
      </c>
      <c r="L3" s="19"/>
      <c r="M3" s="85" t="s">
        <v>144</v>
      </c>
      <c r="N3" s="86" t="s">
        <v>83</v>
      </c>
      <c r="O3" s="86">
        <v>67.0</v>
      </c>
      <c r="P3" s="86">
        <v>16.0</v>
      </c>
      <c r="Q3" s="88">
        <f t="shared" ref="Q3:Q19" si="5">P3/O3</f>
        <v>0.2388059701</v>
      </c>
      <c r="S3" s="94" t="s">
        <v>29</v>
      </c>
      <c r="T3" s="94" t="s">
        <v>169</v>
      </c>
      <c r="V3" s="94" t="s">
        <v>29</v>
      </c>
      <c r="W3" s="94" t="s">
        <v>174</v>
      </c>
      <c r="Y3" s="94" t="s">
        <v>29</v>
      </c>
      <c r="Z3" s="94" t="s">
        <v>169</v>
      </c>
    </row>
    <row r="4">
      <c r="A4" s="69">
        <f t="shared" ref="A4:A14" si="6">EDATE(A3,1)</f>
        <v>46054</v>
      </c>
      <c r="B4" s="72">
        <f>COUNTIFS('2026初客紀錄'!B:B, "&gt;=" &amp; A4,'2026初客紀錄'!B:B, "&lt;" &amp; EDATE(A4, 1))</f>
        <v>107</v>
      </c>
      <c r="C4" s="73">
        <f>COUNTIFS('2026初客紀錄'!B:B,"&gt;=2026/2/1",'2026初客紀錄'!B:B,"&lt;=2026/2/28")</f>
        <v>107</v>
      </c>
      <c r="E4" s="74">
        <v>2.0</v>
      </c>
      <c r="F4" s="76">
        <f>COUNTIFS('2026初客紀錄'!B:B,"&gt;=2026/2/1",'2026初客紀錄'!B:B,"&lt;=2026/2/28",'2026初客紀錄'!C:C,"FB名單")</f>
        <v>65</v>
      </c>
      <c r="G4" s="78">
        <f>COUNTIFS('2026初客紀錄'!B:B,"&gt;=2026/2/1",'2026初客紀錄'!B:B,"&lt;=2026/2/28",'2026初客紀錄'!C:C,"FB名單",'2026初客紀錄'!K:K,"&lt;&gt;")</f>
        <v>0</v>
      </c>
      <c r="H4" s="79">
        <f t="shared" si="1"/>
        <v>0</v>
      </c>
      <c r="I4" s="81">
        <f t="shared" si="2"/>
        <v>42</v>
      </c>
      <c r="J4" s="81">
        <f t="shared" si="3"/>
        <v>14</v>
      </c>
      <c r="K4" s="84">
        <f t="shared" si="4"/>
        <v>0.3333333333</v>
      </c>
      <c r="L4" s="19"/>
      <c r="M4" s="85" t="s">
        <v>144</v>
      </c>
      <c r="N4" s="86" t="s">
        <v>74</v>
      </c>
      <c r="O4" s="86">
        <v>53.0</v>
      </c>
      <c r="P4" s="86">
        <v>13.0</v>
      </c>
      <c r="Q4" s="88">
        <f t="shared" si="5"/>
        <v>0.2452830189</v>
      </c>
      <c r="S4" s="103">
        <v>46175.0</v>
      </c>
      <c r="T4" s="94">
        <v>5.0</v>
      </c>
      <c r="V4" s="103">
        <v>46175.0</v>
      </c>
      <c r="W4" s="94">
        <v>1.0</v>
      </c>
      <c r="Y4" s="103">
        <v>46177.0</v>
      </c>
      <c r="Z4" s="94">
        <v>1.0</v>
      </c>
    </row>
    <row r="5">
      <c r="A5" s="69">
        <f t="shared" si="6"/>
        <v>46082</v>
      </c>
      <c r="B5" s="72">
        <f>COUNTIFS('2026初客紀錄'!B:B, "&gt;=" &amp; A5,'2026初客紀錄'!B:B, "&lt;" &amp; EDATE(A5, 1))</f>
        <v>135</v>
      </c>
      <c r="C5" s="73">
        <f>COUNTIFS('2026初客紀錄'!B:B,"&gt;=2026/3/1",'2026初客紀錄'!B:B,"&lt;=2026/3/31")</f>
        <v>135</v>
      </c>
      <c r="E5" s="74">
        <v>3.0</v>
      </c>
      <c r="F5" s="76">
        <f>COUNTIFS('2026初客紀錄'!B:B,"&gt;=2026/3/1",'2026初客紀錄'!B:B,"&lt;=2026/3/31",'2026初客紀錄'!C:C,"FB名單")</f>
        <v>15</v>
      </c>
      <c r="G5" s="78">
        <f>COUNTIFS('2026初客紀錄'!B:B,"&gt;=2026/3/1",'2026初客紀錄'!B:B,"&lt;=2026/3/31",'2026初客紀錄'!C:C,"FB名單",'2026初客紀錄'!K:K,"&lt;&gt;")</f>
        <v>0</v>
      </c>
      <c r="H5" s="79">
        <f t="shared" si="1"/>
        <v>0</v>
      </c>
      <c r="I5" s="81">
        <f t="shared" si="2"/>
        <v>120</v>
      </c>
      <c r="J5" s="81">
        <f t="shared" si="3"/>
        <v>37</v>
      </c>
      <c r="K5" s="84">
        <f t="shared" si="4"/>
        <v>0.3083333333</v>
      </c>
      <c r="L5" s="19"/>
      <c r="M5" s="85" t="s">
        <v>144</v>
      </c>
      <c r="N5" s="86" t="s">
        <v>58</v>
      </c>
      <c r="O5" s="86">
        <v>69.0</v>
      </c>
      <c r="P5" s="86">
        <v>12.0</v>
      </c>
      <c r="Q5" s="88">
        <f t="shared" si="5"/>
        <v>0.1739130435</v>
      </c>
      <c r="S5" s="103">
        <v>46186.0</v>
      </c>
      <c r="T5" s="94">
        <v>9.0</v>
      </c>
      <c r="V5" s="103">
        <v>46186.0</v>
      </c>
      <c r="W5" s="94">
        <v>1.0</v>
      </c>
      <c r="Y5" s="103">
        <v>46179.0</v>
      </c>
      <c r="Z5" s="94">
        <v>5.0</v>
      </c>
    </row>
    <row r="6">
      <c r="A6" s="69">
        <f t="shared" si="6"/>
        <v>46113</v>
      </c>
      <c r="B6" s="72">
        <f>COUNTIFS('2026初客紀錄'!B:B, "&gt;=" &amp; A6,'2026初客紀錄'!B:B, "&lt;" &amp; EDATE(A6, 1))</f>
        <v>46</v>
      </c>
      <c r="C6" s="73">
        <f>COUNTIFS('2026初客紀錄'!B:B,"&gt;=2026/4/1",'2026初客紀錄'!B:B,"&lt;=2026/4/28")</f>
        <v>41</v>
      </c>
      <c r="E6" s="74">
        <v>4.0</v>
      </c>
      <c r="F6" s="76">
        <f>COUNTIFS('2026初客紀錄'!B:B,"&gt;=2026/4/1",'2026初客紀錄'!B:B,"&lt;=2026/4/28",'2026初客紀錄'!C:C,"FB名單")</f>
        <v>3</v>
      </c>
      <c r="G6" s="78">
        <f>COUNTIFS('2026初客紀錄'!B:B,"&gt;=2026/4/1",'2026初客紀錄'!B:B,"&lt;=2026/4/28",'2026初客紀錄'!C:C,"FB名單",'2026初客紀錄'!K:K,"&lt;&gt;")</f>
        <v>0</v>
      </c>
      <c r="H6" s="79">
        <f t="shared" si="1"/>
        <v>0</v>
      </c>
      <c r="I6" s="81">
        <f t="shared" si="2"/>
        <v>43</v>
      </c>
      <c r="J6" s="81">
        <f t="shared" si="3"/>
        <v>11</v>
      </c>
      <c r="K6" s="84">
        <f t="shared" si="4"/>
        <v>0.2558139535</v>
      </c>
      <c r="L6" s="19"/>
      <c r="M6" s="113" t="s">
        <v>291</v>
      </c>
      <c r="N6" s="114" t="s">
        <v>83</v>
      </c>
      <c r="O6" s="114">
        <v>11.0</v>
      </c>
      <c r="P6" s="114">
        <v>5.0</v>
      </c>
      <c r="Q6" s="115">
        <f t="shared" si="5"/>
        <v>0.4545454545</v>
      </c>
      <c r="S6" s="103">
        <v>46203.0</v>
      </c>
      <c r="T6" s="94">
        <v>2.0</v>
      </c>
      <c r="V6" s="103">
        <v>46203.0</v>
      </c>
      <c r="W6" s="94">
        <v>2.0</v>
      </c>
      <c r="Y6" s="103">
        <v>46182.0</v>
      </c>
      <c r="Z6" s="94">
        <v>5.0</v>
      </c>
    </row>
    <row r="7">
      <c r="A7" s="69">
        <f t="shared" si="6"/>
        <v>46143</v>
      </c>
      <c r="B7" s="72">
        <f>COUNTIFS('2026初客紀錄'!B:B, "&gt;=" &amp; A7,'2026初客紀錄'!B:B, "&lt;" &amp; EDATE(A7, 1))</f>
        <v>97</v>
      </c>
      <c r="C7" s="73">
        <f>COUNTIFS('2026初客紀錄'!B:B,"&gt;=2026/5/1",'2026初客紀錄'!B:B,"&lt;=2026/5/31")</f>
        <v>97</v>
      </c>
      <c r="E7" s="74">
        <v>5.0</v>
      </c>
      <c r="F7" s="76">
        <f>COUNTIFS('2026初客紀錄'!B:B,"&gt;=2026/5/1",'2026初客紀錄'!B:B,"&lt;=2026/5/31",'2026初客紀錄'!C:C,"FB名單")</f>
        <v>51</v>
      </c>
      <c r="G7" s="78">
        <f>COUNTIFS('2026初客紀錄'!B:B,"&gt;=2026/5/1",'2026初客紀錄'!B:B,"&lt;=2026/5/31",'2026初客紀錄'!C:C,"FB名單",'2026初客紀錄'!K:K,"&lt;&gt;")</f>
        <v>7</v>
      </c>
      <c r="H7" s="79">
        <f t="shared" si="1"/>
        <v>0.137254902</v>
      </c>
      <c r="I7" s="81">
        <f t="shared" si="2"/>
        <v>46</v>
      </c>
      <c r="J7" s="81">
        <f t="shared" si="3"/>
        <v>17</v>
      </c>
      <c r="K7" s="84">
        <f t="shared" si="4"/>
        <v>0.3695652174</v>
      </c>
      <c r="L7" s="19"/>
      <c r="M7" s="113" t="s">
        <v>291</v>
      </c>
      <c r="N7" s="114" t="s">
        <v>74</v>
      </c>
      <c r="O7" s="114">
        <v>57.0</v>
      </c>
      <c r="P7" s="114">
        <v>3.0</v>
      </c>
      <c r="Q7" s="115">
        <f t="shared" si="5"/>
        <v>0.05263157895</v>
      </c>
      <c r="R7" s="22"/>
      <c r="S7" s="22" t="s">
        <v>301</v>
      </c>
      <c r="T7" s="22">
        <v>16.0</v>
      </c>
      <c r="U7" s="22"/>
      <c r="V7" s="94" t="s">
        <v>301</v>
      </c>
      <c r="W7" s="22">
        <v>4.0</v>
      </c>
      <c r="X7" s="22"/>
      <c r="Y7" s="117">
        <v>46183.0</v>
      </c>
      <c r="Z7" s="22">
        <v>2.0</v>
      </c>
    </row>
    <row r="8">
      <c r="A8" s="69">
        <f t="shared" si="6"/>
        <v>46174</v>
      </c>
      <c r="B8" s="72">
        <f>COUNTIFS('2026初客紀錄'!B:B, "&gt;=" &amp; A8,'2026初客紀錄'!B:B, "&lt;" &amp; EDATE(A8, 1))</f>
        <v>141</v>
      </c>
      <c r="C8" s="73">
        <f>COUNTIFS('2026初客紀錄'!B:B,"&gt;=2026/6/1",'2026初客紀錄'!B:B,"&lt;=2026/6/30")</f>
        <v>141</v>
      </c>
      <c r="E8" s="74">
        <v>6.0</v>
      </c>
      <c r="F8" s="76">
        <f>COUNTIFS('2026初客紀錄'!B:B,"&gt;=2026/6/1",'2026初客紀錄'!B:B,"&lt;=2026/6/30",'2026初客紀錄'!C:C,"FB名單")</f>
        <v>100</v>
      </c>
      <c r="G8" s="78">
        <f>COUNTIFS('2026初客紀錄'!B:B,"&gt;=2026/6/1",'2026初客紀錄'!B:B,"&lt;=2026/6/30",'2026初客紀錄'!C:C,"FB名單",'2026初客紀錄'!K:K,"&lt;&gt;")</f>
        <v>15</v>
      </c>
      <c r="H8" s="79">
        <f t="shared" si="1"/>
        <v>0.15</v>
      </c>
      <c r="I8" s="81">
        <f t="shared" si="2"/>
        <v>41</v>
      </c>
      <c r="J8" s="81">
        <f t="shared" si="3"/>
        <v>16</v>
      </c>
      <c r="K8" s="84">
        <f t="shared" si="4"/>
        <v>0.3902439024</v>
      </c>
      <c r="L8" s="19"/>
      <c r="M8" s="113" t="s">
        <v>291</v>
      </c>
      <c r="N8" s="114" t="s">
        <v>58</v>
      </c>
      <c r="O8" s="114">
        <v>28.0</v>
      </c>
      <c r="P8" s="114">
        <v>6.0</v>
      </c>
      <c r="Q8" s="115">
        <f t="shared" si="5"/>
        <v>0.2142857143</v>
      </c>
      <c r="T8" s="118"/>
      <c r="W8" s="22"/>
      <c r="X8" s="118"/>
      <c r="Y8" s="103">
        <v>46186.0</v>
      </c>
      <c r="Z8" s="118">
        <v>4.0</v>
      </c>
    </row>
    <row r="9">
      <c r="A9" s="69">
        <f t="shared" si="6"/>
        <v>46204</v>
      </c>
      <c r="B9" s="72">
        <f>COUNTIFS('2026初客紀錄'!B:B, "&gt;=" &amp; A9,'2026初客紀錄'!B:B, "&lt;" &amp; EDATE(A9, 1))</f>
        <v>116</v>
      </c>
      <c r="C9" s="73">
        <f>COUNTIFS('2026初客紀錄'!B:B,"&gt;=2026/7/1",'2026初客紀錄'!B:B,"&lt;=2026/7/31")</f>
        <v>116</v>
      </c>
      <c r="D9" s="71"/>
      <c r="E9" s="74">
        <v>7.0</v>
      </c>
      <c r="F9" s="119">
        <f>COUNTIFS('2026初客紀錄'!B:B,"&gt;=2026/6/1",'2026初客紀錄'!B:B,"&lt;=2026/6/30",'2026初客紀錄'!C:C,"FB名單")</f>
        <v>100</v>
      </c>
      <c r="G9" s="120">
        <f>COUNTIFS('2026初客紀錄'!B:B,"&gt;=2026/6/1",'2026初客紀錄'!B:B,"&lt;=2026/6/30",'2026初客紀錄'!C:C,"FB名單",'2026初客紀錄'!K:K,"&lt;&gt;")</f>
        <v>15</v>
      </c>
      <c r="H9" s="121">
        <f t="shared" si="1"/>
        <v>0.15</v>
      </c>
      <c r="I9" s="122">
        <f t="shared" si="2"/>
        <v>16</v>
      </c>
      <c r="J9" s="122">
        <f t="shared" si="3"/>
        <v>17</v>
      </c>
      <c r="K9" s="123">
        <f t="shared" si="4"/>
        <v>1.0625</v>
      </c>
      <c r="L9" s="19"/>
      <c r="M9" s="85" t="s">
        <v>320</v>
      </c>
      <c r="N9" s="86" t="s">
        <v>83</v>
      </c>
      <c r="O9" s="86">
        <v>48.0</v>
      </c>
      <c r="P9" s="86">
        <v>8.0</v>
      </c>
      <c r="Q9" s="88">
        <f t="shared" si="5"/>
        <v>0.1666666667</v>
      </c>
      <c r="T9" s="118"/>
      <c r="V9" s="118"/>
      <c r="W9" s="118"/>
      <c r="X9" s="118"/>
      <c r="Y9" s="103">
        <v>46189.0</v>
      </c>
      <c r="Z9" s="118">
        <v>5.0</v>
      </c>
    </row>
    <row r="10">
      <c r="A10" s="69">
        <f t="shared" si="6"/>
        <v>46235</v>
      </c>
      <c r="B10" s="72">
        <f>COUNTIFS('2026初客紀錄'!B:B, "&gt;=" &amp; A10,'2026初客紀錄'!B:B, "&lt;" &amp; EDATE(A10, 1))</f>
        <v>16</v>
      </c>
      <c r="C10" s="73">
        <f>COUNTIFS('2026初客紀錄'!B:B,"&gt;=2026/8/1",'2026初客紀錄'!B:B,"&lt;=2026/8/31")</f>
        <v>16</v>
      </c>
      <c r="E10" s="74">
        <v>8.0</v>
      </c>
      <c r="F10" s="78"/>
      <c r="G10" s="78"/>
      <c r="H10" s="78"/>
      <c r="I10" s="81">
        <f t="shared" ref="I10:I14" si="7">J10-G10</f>
        <v>0</v>
      </c>
      <c r="J10" s="81"/>
      <c r="K10" s="81"/>
      <c r="L10" s="19"/>
      <c r="M10" s="85" t="s">
        <v>320</v>
      </c>
      <c r="N10" s="86" t="s">
        <v>74</v>
      </c>
      <c r="O10" s="86">
        <v>64.0</v>
      </c>
      <c r="P10" s="86">
        <v>15.0</v>
      </c>
      <c r="Q10" s="88">
        <f t="shared" si="5"/>
        <v>0.234375</v>
      </c>
      <c r="R10" s="22"/>
      <c r="S10" s="22"/>
      <c r="T10" s="22"/>
      <c r="U10" s="22"/>
      <c r="V10" s="22"/>
      <c r="W10" s="22"/>
      <c r="X10" s="22"/>
      <c r="Y10" s="117">
        <v>46196.0</v>
      </c>
      <c r="Z10" s="22">
        <v>2.0</v>
      </c>
    </row>
    <row r="11">
      <c r="A11" s="69">
        <f t="shared" si="6"/>
        <v>46266</v>
      </c>
      <c r="B11" s="72">
        <f>COUNTIFS('2026初客紀錄'!B:B, "&gt;=" &amp; A11,'2026初客紀錄'!B:B, "&lt;" &amp; EDATE(A11, 1))</f>
        <v>0</v>
      </c>
      <c r="C11" s="73">
        <f>COUNTIFS(
  '2025初客紀錄'!B:B,"&gt;=2025/11/1",
  '2025初客紀錄'!B:B,"&lt;=2025/11/30"
)</f>
        <v>0</v>
      </c>
      <c r="D11" s="71"/>
      <c r="E11" s="74">
        <v>9.0</v>
      </c>
      <c r="F11" s="78"/>
      <c r="G11" s="78"/>
      <c r="H11" s="78"/>
      <c r="I11" s="81">
        <f t="shared" si="7"/>
        <v>0</v>
      </c>
      <c r="J11" s="81"/>
      <c r="K11" s="81"/>
      <c r="L11" s="19"/>
      <c r="M11" s="85" t="s">
        <v>320</v>
      </c>
      <c r="N11" s="86" t="s">
        <v>338</v>
      </c>
      <c r="O11" s="86">
        <v>14.0</v>
      </c>
      <c r="P11" s="86">
        <v>6.0</v>
      </c>
      <c r="Q11" s="88">
        <f t="shared" si="5"/>
        <v>0.4285714286</v>
      </c>
      <c r="R11" s="118"/>
      <c r="S11" s="118"/>
      <c r="T11" s="118"/>
      <c r="U11" s="118"/>
      <c r="V11" s="118"/>
      <c r="W11" s="118"/>
      <c r="X11" s="118"/>
      <c r="Y11" s="103">
        <v>46197.0</v>
      </c>
      <c r="Z11" s="94">
        <v>8.0</v>
      </c>
    </row>
    <row r="12">
      <c r="A12" s="69">
        <f t="shared" si="6"/>
        <v>46296</v>
      </c>
      <c r="B12" s="72">
        <f>COUNTIFS('2026初客紀錄'!B:B, "&gt;=" &amp; A12,'2026初客紀錄'!B:B, "&lt;" &amp; EDATE(A12, 1))</f>
        <v>0</v>
      </c>
      <c r="C12" s="73">
        <f>COUNTIFS(
  '2025初客紀錄'!B:B,"&gt;=2025/12/1",
  '2025初客紀錄'!B:B,"&lt;=2025/12/31"
)</f>
        <v>0</v>
      </c>
      <c r="D12" s="71"/>
      <c r="E12" s="125">
        <v>10.0</v>
      </c>
      <c r="F12" s="76"/>
      <c r="G12" s="78"/>
      <c r="H12" s="78"/>
      <c r="I12" s="81">
        <f t="shared" si="7"/>
        <v>0</v>
      </c>
      <c r="J12" s="81"/>
      <c r="K12" s="81"/>
      <c r="L12" s="19"/>
      <c r="M12" s="113" t="s">
        <v>346</v>
      </c>
      <c r="N12" s="114" t="s">
        <v>83</v>
      </c>
      <c r="O12" s="114">
        <v>11.0</v>
      </c>
      <c r="P12" s="114">
        <v>3.0</v>
      </c>
      <c r="Q12" s="115">
        <f t="shared" si="5"/>
        <v>0.2727272727</v>
      </c>
      <c r="R12" s="71"/>
      <c r="S12" s="71"/>
      <c r="U12" s="71"/>
      <c r="Y12" s="103">
        <v>46198.0</v>
      </c>
      <c r="Z12" s="94">
        <v>2.0</v>
      </c>
    </row>
    <row r="13">
      <c r="A13" s="69">
        <f t="shared" si="6"/>
        <v>46327</v>
      </c>
      <c r="B13" s="72">
        <f>COUNTIFS('2026初客紀錄'!B:B, "&gt;=" &amp; A13,'2026初客紀錄'!B:B, "&lt;" &amp; EDATE(A13, 1))</f>
        <v>0</v>
      </c>
      <c r="C13" s="73">
        <f>COUNTIFS(
  '2025初客紀錄'!B:B,"&gt;=2026/1/1",
  '2025初客紀錄'!B:B,"&lt;=2026/1/31"
)</f>
        <v>0</v>
      </c>
      <c r="D13" s="71"/>
      <c r="E13" s="125">
        <v>11.0</v>
      </c>
      <c r="F13" s="76"/>
      <c r="G13" s="76"/>
      <c r="H13" s="76"/>
      <c r="I13" s="81">
        <f t="shared" si="7"/>
        <v>0</v>
      </c>
      <c r="J13" s="126"/>
      <c r="K13" s="126"/>
      <c r="L13" s="19"/>
      <c r="M13" s="113" t="s">
        <v>346</v>
      </c>
      <c r="N13" s="114" t="s">
        <v>74</v>
      </c>
      <c r="O13" s="114">
        <v>59.0</v>
      </c>
      <c r="P13" s="114">
        <v>13.0</v>
      </c>
      <c r="Q13" s="115">
        <f t="shared" si="5"/>
        <v>0.2203389831</v>
      </c>
      <c r="R13" s="71"/>
      <c r="S13" s="127"/>
      <c r="U13" s="71"/>
      <c r="Y13" s="103">
        <v>46199.0</v>
      </c>
      <c r="Z13" s="94">
        <v>1.0</v>
      </c>
    </row>
    <row r="14">
      <c r="A14" s="69">
        <f t="shared" si="6"/>
        <v>46357</v>
      </c>
      <c r="B14" s="72">
        <f>COUNTIFS('2026初客紀錄'!B:B, "&gt;=" &amp; A14,'2026初客紀錄'!B:B, "&lt;" &amp; EDATE(A14, 1))</f>
        <v>0</v>
      </c>
      <c r="C14" s="73">
        <f>COUNTIFS(
  '2025初客紀錄'!B:B,"&gt;=2026/2/1",
  '2025初客紀錄'!B:B,"&lt;=2026/2/28"
)</f>
        <v>0</v>
      </c>
      <c r="D14" s="71"/>
      <c r="E14" s="125">
        <v>12.0</v>
      </c>
      <c r="F14" s="76"/>
      <c r="G14" s="76"/>
      <c r="H14" s="76"/>
      <c r="I14" s="81">
        <f t="shared" si="7"/>
        <v>0</v>
      </c>
      <c r="J14" s="126"/>
      <c r="K14" s="126"/>
      <c r="L14" s="19"/>
      <c r="M14" s="113" t="s">
        <v>346</v>
      </c>
      <c r="N14" s="114" t="s">
        <v>338</v>
      </c>
      <c r="O14" s="114">
        <v>1.0</v>
      </c>
      <c r="P14" s="114">
        <v>1.0</v>
      </c>
      <c r="Q14" s="115">
        <f t="shared" si="5"/>
        <v>1</v>
      </c>
      <c r="R14" s="71"/>
      <c r="S14" s="71"/>
      <c r="U14" s="71"/>
      <c r="Y14" s="103">
        <v>46200.0</v>
      </c>
      <c r="Z14" s="94">
        <v>3.0</v>
      </c>
    </row>
    <row r="15">
      <c r="E15" s="128"/>
      <c r="F15" s="71"/>
      <c r="G15" s="71"/>
      <c r="H15" s="71"/>
      <c r="K15" s="19"/>
      <c r="L15" s="19"/>
      <c r="M15" s="129" t="s">
        <v>365</v>
      </c>
      <c r="N15" s="86" t="s">
        <v>83</v>
      </c>
      <c r="O15" s="86">
        <v>19.0</v>
      </c>
      <c r="P15" s="86">
        <v>7.0</v>
      </c>
      <c r="Q15" s="88">
        <f t="shared" si="5"/>
        <v>0.3684210526</v>
      </c>
      <c r="Y15" s="103">
        <v>46203.0</v>
      </c>
      <c r="Z15" s="94">
        <v>3.0</v>
      </c>
    </row>
    <row r="16">
      <c r="A16" s="130" t="s">
        <v>367</v>
      </c>
      <c r="L16" s="19"/>
      <c r="M16" s="129" t="s">
        <v>365</v>
      </c>
      <c r="N16" s="86" t="s">
        <v>74</v>
      </c>
      <c r="O16" s="86">
        <v>67.0</v>
      </c>
      <c r="P16" s="86">
        <v>17.0</v>
      </c>
      <c r="Q16" s="88">
        <f t="shared" si="5"/>
        <v>0.2537313433</v>
      </c>
      <c r="Y16" s="94" t="s">
        <v>301</v>
      </c>
      <c r="Z16" s="94">
        <v>41.0</v>
      </c>
    </row>
    <row r="17">
      <c r="A17" s="27" t="s">
        <v>371</v>
      </c>
      <c r="B17" s="27" t="s">
        <v>42</v>
      </c>
      <c r="C17" s="27" t="s">
        <v>373</v>
      </c>
      <c r="D17" s="27" t="s">
        <v>374</v>
      </c>
      <c r="E17" s="27" t="s">
        <v>375</v>
      </c>
      <c r="F17" s="27" t="s">
        <v>376</v>
      </c>
      <c r="G17" s="27" t="s">
        <v>377</v>
      </c>
      <c r="H17" s="27" t="s">
        <v>378</v>
      </c>
      <c r="I17" s="131" t="s">
        <v>380</v>
      </c>
      <c r="J17" s="27" t="s">
        <v>382</v>
      </c>
      <c r="K17" s="27" t="s">
        <v>61</v>
      </c>
      <c r="L17" s="36"/>
      <c r="M17" s="132" t="s">
        <v>365</v>
      </c>
      <c r="N17" s="133" t="s">
        <v>338</v>
      </c>
      <c r="O17" s="133">
        <v>6.0</v>
      </c>
      <c r="P17" s="133">
        <v>1.0</v>
      </c>
      <c r="Q17" s="134">
        <f t="shared" si="5"/>
        <v>0.1666666667</v>
      </c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</row>
    <row r="18">
      <c r="A18" s="137" t="s">
        <v>385</v>
      </c>
      <c r="B18" s="138">
        <f>COUNTIF('2026初客紀錄'!C:C,"現場")</f>
        <v>5</v>
      </c>
      <c r="C18" s="139">
        <f t="shared" ref="C18:C24" si="8">B18-D18</f>
        <v>1</v>
      </c>
      <c r="D18" s="139">
        <f>COUNTIFS('2026初客紀錄'!C:C,"現場",'2026初客紀錄'!J:J,"&lt;&gt;")</f>
        <v>4</v>
      </c>
      <c r="E18" s="139">
        <f t="shared" ref="E18:E24" si="9">D18-F18-G18</f>
        <v>4</v>
      </c>
      <c r="F18" s="138">
        <f>COUNTIFS('2026初客紀錄'!C:C,"現場",'2026初客紀錄'!M:M,"未接")+COUNTIFS('2026初客紀錄'!C:C,"現場",'2026初客紀錄'!M:M,"語音")</f>
        <v>0</v>
      </c>
      <c r="G18" s="138">
        <f>COUNTIFS('2026初客紀錄'!C:C,"現場",'2026初客紀錄'!K:K,"X")</f>
        <v>0</v>
      </c>
      <c r="H18" s="138">
        <f t="shared" ref="H18:H24" si="10">E18-J18</f>
        <v>2</v>
      </c>
      <c r="I18" s="140"/>
      <c r="J18" s="138">
        <f>COUNTIFS('2026初客紀錄'!C:C,"現場",'2026初客紀錄'!K:K,"&lt;&gt;")</f>
        <v>2</v>
      </c>
      <c r="K18" s="141">
        <f t="shared" ref="K18:K24" si="11">J18/D18</f>
        <v>0.5</v>
      </c>
      <c r="M18" s="113" t="s">
        <v>400</v>
      </c>
      <c r="N18" s="22" t="s">
        <v>83</v>
      </c>
      <c r="O18" s="22">
        <v>46.0</v>
      </c>
      <c r="P18" s="22">
        <v>13.0</v>
      </c>
      <c r="Q18" s="142">
        <f t="shared" si="5"/>
        <v>0.2826086957</v>
      </c>
    </row>
    <row r="19">
      <c r="A19" s="143" t="s">
        <v>404</v>
      </c>
      <c r="B19" s="144">
        <f>COUNTIF('2026初客紀錄'!C:C,"TEL")</f>
        <v>126</v>
      </c>
      <c r="C19" s="72">
        <f t="shared" si="8"/>
        <v>6</v>
      </c>
      <c r="D19" s="72">
        <f>COUNTIFS('2026初客紀錄'!C:C,"TEL",'2026初客紀錄'!J:J,"&lt;&gt;")</f>
        <v>120</v>
      </c>
      <c r="E19" s="72">
        <f t="shared" si="9"/>
        <v>114</v>
      </c>
      <c r="F19" s="144">
        <f>COUNTIFS('2026初客紀錄'!C:C,"TEL",'2026初客紀錄'!M:M,"未接")+COUNTIFS('2026初客紀錄'!C:C,"TEL",'2026初客紀錄'!M:M,"語音")</f>
        <v>6</v>
      </c>
      <c r="G19" s="144">
        <f>COUNTIFS('2026初客紀錄'!C:C,"TEL",'2026初客紀錄'!K:K,"X")</f>
        <v>0</v>
      </c>
      <c r="H19" s="144">
        <f t="shared" si="10"/>
        <v>64</v>
      </c>
      <c r="I19" s="140"/>
      <c r="J19" s="144">
        <f>COUNTIFS('2026初客紀錄'!C:C,"TEL",'2026初客紀錄'!K:K,"&lt;&gt;")</f>
        <v>50</v>
      </c>
      <c r="K19" s="145">
        <f t="shared" si="11"/>
        <v>0.4166666667</v>
      </c>
      <c r="L19" s="19"/>
      <c r="M19" s="113" t="s">
        <v>400</v>
      </c>
      <c r="N19" s="22" t="s">
        <v>338</v>
      </c>
      <c r="O19" s="22">
        <v>16.0</v>
      </c>
      <c r="P19" s="22">
        <v>3.0</v>
      </c>
      <c r="Q19" s="142">
        <f t="shared" si="5"/>
        <v>0.1875</v>
      </c>
    </row>
    <row r="20">
      <c r="A20" s="147" t="s">
        <v>418</v>
      </c>
      <c r="B20" s="73">
        <f>COUNTIF('2026初客紀錄'!C:C,"後台")</f>
        <v>29</v>
      </c>
      <c r="C20" s="148">
        <f t="shared" si="8"/>
        <v>1</v>
      </c>
      <c r="D20" s="148">
        <f>COUNTIFS('2026初客紀錄'!C:C,"後台",'2026初客紀錄'!J:J,"&lt;&gt;")</f>
        <v>28</v>
      </c>
      <c r="E20" s="148">
        <f t="shared" si="9"/>
        <v>26</v>
      </c>
      <c r="F20" s="73">
        <f>COUNTIFS('2026初客紀錄'!C:C,"後台",'2026初客紀錄'!M:M,"未接")+COUNTIFS('2026初客紀錄'!C:C,"後台",'2026初客紀錄'!M:M,"語音")</f>
        <v>2</v>
      </c>
      <c r="G20" s="73">
        <f>COUNTIFS('2026初客紀錄'!C:C,"後台",'2026初客紀錄'!K:K,"X")</f>
        <v>0</v>
      </c>
      <c r="H20" s="73">
        <f t="shared" si="10"/>
        <v>13</v>
      </c>
      <c r="I20" s="140"/>
      <c r="J20" s="73">
        <f>COUNTIFS('2026初客紀錄'!C:C,"後台",'2026初客紀錄'!K:K,"&lt;&gt;")</f>
        <v>13</v>
      </c>
      <c r="K20" s="150">
        <f t="shared" si="11"/>
        <v>0.4642857143</v>
      </c>
      <c r="L20" s="19"/>
      <c r="M20" s="113" t="s">
        <v>400</v>
      </c>
      <c r="N20" s="151" t="s">
        <v>435</v>
      </c>
      <c r="O20" s="152"/>
      <c r="P20" s="153">
        <v>41.0</v>
      </c>
      <c r="Q20" s="152"/>
    </row>
    <row r="21">
      <c r="A21" s="147" t="s">
        <v>439</v>
      </c>
      <c r="B21" s="73">
        <f>COUNTIF('2026初客紀錄'!C:C,"WIX")</f>
        <v>7</v>
      </c>
      <c r="C21" s="148">
        <f t="shared" si="8"/>
        <v>0</v>
      </c>
      <c r="D21" s="148">
        <f>COUNTIFS('2026初客紀錄'!C:C,"WIX",'2026初客紀錄'!J:J,"&lt;&gt;")</f>
        <v>7</v>
      </c>
      <c r="E21" s="148">
        <f t="shared" si="9"/>
        <v>6</v>
      </c>
      <c r="F21" s="73">
        <f>COUNTIFS('2026初客紀錄'!C:C,"WIX",'2026初客紀錄'!M:M,"未接")+COUNTIFS('2026初客紀錄'!C:C,"WIX",'2026初客紀錄'!M:M,"語音")</f>
        <v>1</v>
      </c>
      <c r="G21" s="73">
        <f>COUNTIFS('2026初客紀錄'!C:C,"WIX",'2026初客紀錄'!K:K,"X")</f>
        <v>0</v>
      </c>
      <c r="H21" s="73">
        <f t="shared" si="10"/>
        <v>4</v>
      </c>
      <c r="I21" s="140"/>
      <c r="J21" s="73">
        <f>COUNTIFS('2026初客紀錄'!C:C,"WIX",'2026初客紀錄'!K:K,"&lt;&gt;")</f>
        <v>2</v>
      </c>
      <c r="K21" s="150">
        <f t="shared" si="11"/>
        <v>0.2857142857</v>
      </c>
      <c r="L21" s="19"/>
    </row>
    <row r="22">
      <c r="A22" s="155" t="s">
        <v>452</v>
      </c>
      <c r="B22" s="156">
        <f>COUNTIF('2026初客紀錄'!C:C,"LINE")</f>
        <v>217</v>
      </c>
      <c r="C22" s="157">
        <f t="shared" si="8"/>
        <v>7</v>
      </c>
      <c r="D22" s="157">
        <f>COUNTIFS('2026初客紀錄'!C:C,"LINE",'2026初客紀錄'!J:J,"&lt;&gt;")</f>
        <v>210</v>
      </c>
      <c r="E22" s="157">
        <f t="shared" si="9"/>
        <v>197</v>
      </c>
      <c r="F22" s="156">
        <f>COUNTIFS('2026初客紀錄'!C:C,"LINE",'2026初客紀錄'!M:M,"未接")+COUNTIFS('2026初客紀錄'!C:C,"LINE",'2026初客紀錄'!M:M,"語音")</f>
        <v>12</v>
      </c>
      <c r="G22" s="156">
        <f>COUNTIFS('2026初客紀錄'!C:C,"LINE",'2026初客紀錄'!K:K,"X")</f>
        <v>1</v>
      </c>
      <c r="H22" s="156">
        <f t="shared" si="10"/>
        <v>114</v>
      </c>
      <c r="I22" s="140"/>
      <c r="J22" s="156">
        <f>COUNTIFS('2026初客紀錄'!C:C,"LINE",'2026初客紀錄'!K:K,"&lt;&gt;")</f>
        <v>83</v>
      </c>
      <c r="K22" s="158">
        <f t="shared" si="11"/>
        <v>0.3952380952</v>
      </c>
      <c r="L22" s="19"/>
    </row>
    <row r="23">
      <c r="A23" s="159" t="s">
        <v>469</v>
      </c>
      <c r="B23" s="160">
        <f>COUNTIF('2026初客紀錄'!C:C,"FB名單")</f>
        <v>461</v>
      </c>
      <c r="C23" s="161">
        <f t="shared" si="8"/>
        <v>14</v>
      </c>
      <c r="D23" s="161">
        <f>COUNTIFS('2026初客紀錄'!C:C,"FB名單",'2026初客紀錄'!J:J,"&lt;&gt;")</f>
        <v>447</v>
      </c>
      <c r="E23" s="160">
        <f t="shared" si="9"/>
        <v>334</v>
      </c>
      <c r="F23" s="160">
        <f>COUNTIFS('2026初客紀錄'!C:C,"FB名單",'2026初客紀錄'!M:M,"未接")+COUNTIFS('2026初客紀錄'!C:C,"FB名單",'2026初客紀錄'!M:M,"語音")</f>
        <v>103</v>
      </c>
      <c r="G23" s="160">
        <f>COUNTIFS('2026初客紀錄'!C:C,"FB名單",'2026初客紀錄'!K:K,"X")</f>
        <v>10</v>
      </c>
      <c r="H23" s="160">
        <f t="shared" si="10"/>
        <v>293</v>
      </c>
      <c r="I23" s="140"/>
      <c r="J23" s="160">
        <f>COUNTIFS('2026初客紀錄'!C:C,"FB名單",'2026初客紀錄'!K:K,"&lt;&gt;")</f>
        <v>41</v>
      </c>
      <c r="K23" s="162">
        <f t="shared" si="11"/>
        <v>0.09172259508</v>
      </c>
    </row>
    <row r="24">
      <c r="A24" s="159" t="s">
        <v>488</v>
      </c>
      <c r="B24" s="160">
        <f>COUNTIF('2026初客紀錄'!C:C,"FB")</f>
        <v>14</v>
      </c>
      <c r="C24" s="161">
        <f t="shared" si="8"/>
        <v>0</v>
      </c>
      <c r="D24" s="161">
        <f>COUNTIFS('2026初客紀錄'!C:C,"FB",'2026初客紀錄'!J:J,"&lt;&gt;")</f>
        <v>14</v>
      </c>
      <c r="E24" s="160">
        <f t="shared" si="9"/>
        <v>14</v>
      </c>
      <c r="F24" s="160">
        <f>COUNTIFS('2026初客紀錄'!C:C,"FB",'2026初客紀錄'!M:M,"未接")+COUNTIFS('2026初客紀錄'!C:C,"FB",'2026初客紀錄'!M:M,"語音")</f>
        <v>0</v>
      </c>
      <c r="G24" s="160">
        <f>COUNTIFS('2026初客紀錄'!C:C,"FB",'2026初客紀錄'!K:K,"X")</f>
        <v>0</v>
      </c>
      <c r="H24" s="160">
        <f t="shared" si="10"/>
        <v>14</v>
      </c>
      <c r="I24" s="140"/>
      <c r="J24" s="160">
        <f>COUNTIFS('2026初客紀錄'!C:C,"FB",'2026初客紀錄'!K:K,"&lt;&gt;")</f>
        <v>0</v>
      </c>
      <c r="K24" s="162">
        <f t="shared" si="11"/>
        <v>0</v>
      </c>
    </row>
    <row r="25">
      <c r="A25" s="131" t="s">
        <v>495</v>
      </c>
      <c r="B25" s="131">
        <f>COUNTIF('2026初客紀錄'!C:C,"家具")</f>
        <v>15</v>
      </c>
      <c r="C25" s="131"/>
      <c r="D25" s="131">
        <f>COUNTIFS('2026初客紀錄'!C:C,"家具",'2026初客紀錄'!J:J,"&lt;&gt;")</f>
        <v>11</v>
      </c>
      <c r="E25" s="131"/>
      <c r="F25" s="131"/>
      <c r="G25" s="131"/>
      <c r="H25" s="131"/>
      <c r="I25" s="131"/>
      <c r="J25" s="131">
        <f>COUNTIFS('2026初客紀錄'!C:C,"家具",'2026初客紀錄'!J:J,"&lt;&gt;")</f>
        <v>11</v>
      </c>
      <c r="K25" s="163">
        <f>J24/D24</f>
        <v>0</v>
      </c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</row>
    <row r="26">
      <c r="A26" s="27" t="s">
        <v>510</v>
      </c>
      <c r="B26" s="27" t="s">
        <v>42</v>
      </c>
      <c r="C26" s="27" t="s">
        <v>373</v>
      </c>
      <c r="D26" s="27" t="s">
        <v>374</v>
      </c>
      <c r="E26" s="27" t="s">
        <v>375</v>
      </c>
      <c r="F26" s="27" t="s">
        <v>376</v>
      </c>
      <c r="G26" s="27" t="s">
        <v>377</v>
      </c>
      <c r="H26" s="27" t="s">
        <v>378</v>
      </c>
      <c r="I26" s="131" t="s">
        <v>380</v>
      </c>
      <c r="J26" s="27" t="s">
        <v>382</v>
      </c>
      <c r="K26" s="164" t="s">
        <v>61</v>
      </c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</row>
    <row r="27">
      <c r="A27" s="143" t="s">
        <v>144</v>
      </c>
      <c r="B27" s="140">
        <f>COUNTIFS('2026初客紀錄'!B:B,"&gt;=2026/1/1",'2026初客紀錄'!B:B,"&lt;=2026/1/31")</f>
        <v>218</v>
      </c>
      <c r="C27" s="72">
        <f t="shared" ref="C27:C33" si="12">B27-D27</f>
        <v>2</v>
      </c>
      <c r="D27" s="156">
        <f>COUNTIFS('2026初客紀錄'!B:B,"&gt;=2026/1/1",'2026初客紀錄'!B:B,"&lt;=2026/1/31",'2026初客紀錄'!J:J,"&lt;&gt;")</f>
        <v>216</v>
      </c>
      <c r="E27" s="156">
        <f t="shared" ref="E27:E33" si="13">D27-F27-G27</f>
        <v>176</v>
      </c>
      <c r="F27" s="157">
        <f>COUNTIFS('2026初客紀錄'!B:B,"&gt;=2026/1/1",'2026初客紀錄'!B:B,"&lt;=2026/1/31",'2026初客紀錄'!M:M,"未接")+COUNTIFS('2026初客紀錄'!B:B,"&gt;=2026/1/1",'2026初客紀錄'!B:B,"&lt;=2026/1/31",'2026初客紀錄'!M:M,"語音")</f>
        <v>40</v>
      </c>
      <c r="G27" s="157">
        <f>COUNTIFS(
'2026初客紀錄'!B:B,"&gt;="&amp;DATE(2026,1,1),
'2026初客紀錄'!B:B,"&lt;"&amp;DATE(2026,1,31),
'2026初客紀錄'!K:K,"X"
)</f>
        <v>0</v>
      </c>
      <c r="H27" s="157">
        <f t="shared" ref="H27:H33" si="14">E27-J27</f>
        <v>133</v>
      </c>
      <c r="I27" s="165">
        <f>COUNTIFS(
'2026初客紀錄'!B:B,"&gt;="&amp;DATE(2026,1,1),
'2026初客紀錄'!B:B,"&lt;"&amp;DATE(2026,1,31),
'2026初客紀錄'!C:C,"家具"
)</f>
        <v>2</v>
      </c>
      <c r="J27" s="157">
        <f>COUNTIFS('2026初客紀錄'!B:B,"&gt;=2026/1/1",'2026初客紀錄'!B:B,"&lt;=2026/1/31",'2026初客紀錄'!K:K,"&lt;&gt;")</f>
        <v>43</v>
      </c>
      <c r="K27" s="167">
        <f t="shared" ref="K27:K33" si="15">J27/(D27-I27)</f>
        <v>0.2009345794</v>
      </c>
    </row>
    <row r="28">
      <c r="A28" s="143" t="s">
        <v>291</v>
      </c>
      <c r="B28" s="140">
        <f>COUNTIFS('2026初客紀錄'!B:B,"&gt;=2026/2/1",'2026初客紀錄'!B:B,"&lt;=2026/2/28")</f>
        <v>107</v>
      </c>
      <c r="C28" s="72">
        <f t="shared" si="12"/>
        <v>2</v>
      </c>
      <c r="D28" s="156">
        <f>COUNTIFS('2026初客紀錄'!B:B,"&gt;=2026/2/1",'2026初客紀錄'!B:B,"&lt;=2026/2/28",'2026初客紀錄'!J:J,"&lt;&gt;")</f>
        <v>105</v>
      </c>
      <c r="E28" s="156">
        <f t="shared" si="13"/>
        <v>93</v>
      </c>
      <c r="F28" s="157">
        <f>COUNTIFS('2026初客紀錄'!B:B,"&gt;=2026/2/1",'2026初客紀錄'!B:B,"&lt;=2026/2/28",'2026初客紀錄'!M:M,"未接")+COUNTIFS('2026初客紀錄'!B:B,"&gt;=2026/2/1",'2026初客紀錄'!B:B,"&lt;=2026/2/28",'2026初客紀錄'!M:M,"語音")</f>
        <v>12</v>
      </c>
      <c r="G28" s="157">
        <f>COUNTIFS(
'2026初客紀錄'!B:B,"&gt;="&amp;DATE(2026,2,1),
'2026初客紀錄'!B:B,"&lt;"&amp;DATE(2026,2,28),
'2026初客紀錄'!K:K,"X"
)</f>
        <v>0</v>
      </c>
      <c r="H28" s="157">
        <f t="shared" si="14"/>
        <v>79</v>
      </c>
      <c r="I28" s="165">
        <f>COUNTIFS(
'2026初客紀錄'!B:B,"&gt;="&amp;DATE(2026,2,1),
'2026初客紀錄'!B:B,"&lt;"&amp;DATE(2026,2,28),
'2026初客紀錄'!C:C,"家具"
)</f>
        <v>3</v>
      </c>
      <c r="J28" s="157">
        <f>COUNTIFS('2026初客紀錄'!B:B,"&gt;=2026/2/1",'2026初客紀錄'!B:B,"&lt;=2026/2/28",'2026初客紀錄'!K:K,"&lt;&gt;")</f>
        <v>14</v>
      </c>
      <c r="K28" s="167">
        <f t="shared" si="15"/>
        <v>0.137254902</v>
      </c>
    </row>
    <row r="29">
      <c r="A29" s="143" t="s">
        <v>320</v>
      </c>
      <c r="B29" s="140">
        <f>COUNTIFS('2026初客紀錄'!B:B,"&gt;=2026/3/1",'2026初客紀錄'!B:B,"&lt;=2026/3/31")</f>
        <v>135</v>
      </c>
      <c r="C29" s="72">
        <f t="shared" si="12"/>
        <v>5</v>
      </c>
      <c r="D29" s="156">
        <f>COUNTIFS('2026初客紀錄'!B:B,"&gt;=2026/3/1",'2026初客紀錄'!B:B,"&lt;=2026/3/31",'2026初客紀錄'!J:J,"&lt;&gt;")</f>
        <v>130</v>
      </c>
      <c r="E29" s="156">
        <f t="shared" si="13"/>
        <v>124</v>
      </c>
      <c r="F29" s="157">
        <f>COUNTIFS('2026初客紀錄'!B:B,"&gt;=2026/3/1",'2026初客紀錄'!B:B,"&lt;=2026/3/31",'2026初客紀錄'!M:M,"未接")+COUNTIFS('2026初客紀錄'!B:B,"&gt;=2026/3/1",'2026初客紀錄'!B:B,"&lt;=2026/3/31",'2026初客紀錄'!M:M,"語音")</f>
        <v>6</v>
      </c>
      <c r="G29" s="157">
        <f>COUNTIFS(
'2026初客紀錄'!B:B,"&gt;="&amp;DATE(2026,3,1),
'2026初客紀錄'!B:B,"&lt;"&amp;DATE(2026,3,31),
'2026初客紀錄'!K:K,"X"
)</f>
        <v>0</v>
      </c>
      <c r="H29" s="157">
        <f t="shared" si="14"/>
        <v>87</v>
      </c>
      <c r="I29" s="165">
        <f>COUNTIFS(
'2026初客紀錄'!B:B,"&gt;="&amp;DATE(2026,3,1),
'2026初客紀錄'!B:B,"&lt;"&amp;DATE(2026,3,31),
'2026初客紀錄'!C:C,"家具"
)</f>
        <v>1</v>
      </c>
      <c r="J29" s="157">
        <f>COUNTIFS('2026初客紀錄'!B:B,"&gt;=2026/3/1",'2026初客紀錄'!B:B,"&lt;=2026/3/31",'2026初客紀錄'!K:K,"&lt;&gt;")</f>
        <v>37</v>
      </c>
      <c r="K29" s="167">
        <f t="shared" si="15"/>
        <v>0.2868217054</v>
      </c>
    </row>
    <row r="30">
      <c r="A30" s="143" t="s">
        <v>346</v>
      </c>
      <c r="B30" s="140">
        <f>COUNTIFS('2026初客紀錄'!B:B,"&gt;=2026/4/1",'2026初客紀錄'!B:B,"&lt;=2026/4/30")</f>
        <v>46</v>
      </c>
      <c r="C30" s="72">
        <f t="shared" si="12"/>
        <v>1</v>
      </c>
      <c r="D30" s="156">
        <f>COUNTIFS('2026初客紀錄'!B:B,"&gt;=2026/4/1",'2026初客紀錄'!B:B,"&lt;=2026/4/30",'2026初客紀錄'!J:J,"&lt;&gt;")</f>
        <v>45</v>
      </c>
      <c r="E30" s="156">
        <f t="shared" si="13"/>
        <v>42</v>
      </c>
      <c r="F30" s="157">
        <f>COUNTIFS('2026初客紀錄'!B:B,"&gt;=2026/4/1",'2026初客紀錄'!B:B,"&lt;=2026/4/30",'2026初客紀錄'!M:M,"未接")+COUNTIFS('2026初客紀錄'!B:B,"&gt;=2026/4/1",'2026初客紀錄'!B:B,"&lt;=2026/4/30",'2026初客紀錄'!M:M,"語音")</f>
        <v>3</v>
      </c>
      <c r="G30" s="157">
        <f>COUNTIFS(
'2026初客紀錄'!B:B,"&gt;="&amp;DATE(2026,4,1),
'2026初客紀錄'!B:B,"&lt;"&amp;DATE(2026,4,30),
'2026初客紀錄'!K:K,"X"
)</f>
        <v>0</v>
      </c>
      <c r="H30" s="157">
        <f t="shared" si="14"/>
        <v>31</v>
      </c>
      <c r="I30" s="165">
        <f>COUNTIFS(
'2026初客紀錄'!B:B,"&gt;="&amp;DATE(2026,4,1),
'2026初客紀錄'!B:B,"&lt;"&amp;DATE(2026,4,30),
'2026初客紀錄'!C:C,"家具"
)</f>
        <v>2</v>
      </c>
      <c r="J30" s="157">
        <f>COUNTIFS('2026初客紀錄'!B:B,"&gt;=2026/4/1",'2026初客紀錄'!B:B,"&lt;=2026/4/30",'2026初客紀錄'!K:K,"&lt;&gt;")</f>
        <v>11</v>
      </c>
      <c r="K30" s="167">
        <f t="shared" si="15"/>
        <v>0.2558139535</v>
      </c>
    </row>
    <row r="31">
      <c r="A31" s="143" t="s">
        <v>365</v>
      </c>
      <c r="B31" s="169">
        <f>COUNTIFS('2026初客紀錄'!B:B,"&gt;=2026/5/1",'2026初客紀錄'!B:B,"&lt;=2026/5/31")</f>
        <v>97</v>
      </c>
      <c r="C31" s="72">
        <f t="shared" si="12"/>
        <v>3</v>
      </c>
      <c r="D31" s="156">
        <f>COUNTIFS('2026初客紀錄'!B:B,"&gt;=2026/5/1",'2026初客紀錄'!B:B,"&lt;=2026/5/31",'2026初客紀錄'!J:J,"&lt;&gt;")</f>
        <v>94</v>
      </c>
      <c r="E31" s="156">
        <f t="shared" si="13"/>
        <v>87</v>
      </c>
      <c r="F31" s="157">
        <f>COUNTIFS('2026初客紀錄'!B:B,"&gt;=2026/5/1",'2026初客紀錄'!B:B,"&lt;=2026/5/31",'2026初客紀錄'!M:M,"未接")+COUNTIFS('2026初客紀錄'!B:B,"&gt;=2026/7/1",'2026初客紀錄'!B:B,"&lt;=2026/7/31",'2026初客紀錄'!M:M,"語音")</f>
        <v>7</v>
      </c>
      <c r="G31" s="157">
        <f>COUNTIFS(
'2026初客紀錄'!B:B,"&gt;="&amp;DATE(2026,5,1),
'2026初客紀錄'!B:B,"&lt;"&amp;DATE(2026,5,31),
'2026初客紀錄'!K:K,"X"
)</f>
        <v>0</v>
      </c>
      <c r="H31" s="157">
        <f t="shared" si="14"/>
        <v>63</v>
      </c>
      <c r="I31" s="165">
        <f>COUNTIFS(
'2026初客紀錄'!B:B,"&gt;="&amp;DATE(2026,5,1),
'2026初客紀錄'!B:B,"&lt;"&amp;DATE(2026,5,31),
'2026初客紀錄'!C:C,"家具"
)</f>
        <v>0</v>
      </c>
      <c r="J31" s="157">
        <f>COUNTIFS('2026初客紀錄'!B:B,"&gt;=2026/5/1",'2026初客紀錄'!B:B,"&lt;=2026/5/31",'2026初客紀錄'!K:K,"&lt;&gt;")</f>
        <v>24</v>
      </c>
      <c r="K31" s="167">
        <f t="shared" si="15"/>
        <v>0.2553191489</v>
      </c>
    </row>
    <row r="32">
      <c r="A32" s="143" t="s">
        <v>400</v>
      </c>
      <c r="B32" s="169">
        <f>COUNTIFS('2026初客紀錄'!B:B,"&gt;=2026/6/1",'2026初客紀錄'!B:B,"&lt;=2026/6/30")</f>
        <v>141</v>
      </c>
      <c r="C32" s="72">
        <f t="shared" si="12"/>
        <v>5</v>
      </c>
      <c r="D32" s="156">
        <f>COUNTIFS('2026初客紀錄'!B:B,"&gt;=2026/6/1",'2026初客紀錄'!B:B,"&lt;=2026/6/30",'2026初客紀錄'!J:J,"&lt;&gt;")</f>
        <v>136</v>
      </c>
      <c r="E32" s="156">
        <f t="shared" si="13"/>
        <v>94</v>
      </c>
      <c r="F32" s="157">
        <f>COUNTIFS('2026初客紀錄'!B:B,"&gt;=2026/6/1",'2026初客紀錄'!B:B,"&lt;=2026/6/30",'2026初客紀錄'!M:M,"未接")+
COUNTIFS('2026初客紀錄'!B:B,"&gt;=2026/6/1",'2026初客紀錄'!B:B,"&lt;=2026/6/30",'2026初客紀錄'!M:M,"語音")</f>
        <v>34</v>
      </c>
      <c r="G32" s="157">
        <f>COUNTIFS(
'2026初客紀錄'!B:B,"&gt;="&amp;DATE(2026,6,1),
'2026初客紀錄'!B:B,"&lt;"&amp;DATE(2026,6,30),
'2026初客紀錄'!K:K,"X"
)</f>
        <v>8</v>
      </c>
      <c r="H32" s="157">
        <f t="shared" si="14"/>
        <v>63</v>
      </c>
      <c r="I32" s="165">
        <f>COUNTIFS(
'2026初客紀錄'!B:B,"&gt;="&amp;DATE(2026,6,1),
'2026初客紀錄'!B:B,"&lt;"&amp;DATE(2026,6,30),
'2026初客紀錄'!C:C,"家具"
)</f>
        <v>4</v>
      </c>
      <c r="J32" s="157">
        <f>COUNTIFS('2026初客紀錄'!B:B,"&gt;=2026/6/1",'2026初客紀錄'!B:B,"&lt;=2026/6/30",'2026初客紀錄'!K:K,"&lt;&gt;")</f>
        <v>31</v>
      </c>
      <c r="K32" s="167">
        <f t="shared" si="15"/>
        <v>0.2348484848</v>
      </c>
    </row>
    <row r="33">
      <c r="A33" s="143" t="s">
        <v>617</v>
      </c>
      <c r="B33" s="169">
        <f>COUNTIFS('2026初客紀錄'!B:B,"&gt;=2026/7/1",'2026初客紀錄'!B:B,"&lt;=2026/7/31")</f>
        <v>116</v>
      </c>
      <c r="C33" s="72">
        <f t="shared" si="12"/>
        <v>10</v>
      </c>
      <c r="D33" s="156">
        <f>COUNTIFS('2026初客紀錄'!B:B,"&gt;=2026/7/1",'2026初客紀錄'!B:B,"&lt;=2026/7/31",'2026初客紀錄'!J:J,"&lt;&gt;")</f>
        <v>106</v>
      </c>
      <c r="E33" s="156">
        <f t="shared" si="13"/>
        <v>80</v>
      </c>
      <c r="F33" s="157">
        <f>COUNTIFS('2026初客紀錄'!B:B,"&gt;=2026/7/1",'2026初客紀錄'!B:B,"&lt;=2026/7/31",'2026初客紀錄'!M:M,"未接")+COUNTIFS('2026初客紀錄'!B:B,"&gt;=2026/7/1",'2026初客紀錄'!B:B,"&lt;=2026/7/31",'2026初客紀錄'!M:M,"語音")</f>
        <v>26</v>
      </c>
      <c r="G33" s="157">
        <f>COUNTIFS(
'2026初客紀錄'!B:B,"&gt;="&amp;DATE(2026,7,1),
'2026初客紀錄'!B:B,"&lt;"&amp;DATE(2026,7/31),
'2026初客紀錄'!K:K,"X"
)</f>
        <v>0</v>
      </c>
      <c r="H33" s="157">
        <f t="shared" si="14"/>
        <v>48</v>
      </c>
      <c r="I33" s="165">
        <f>COUNTIFS(
'2026初客紀錄'!B:B,"&gt;="&amp;DATE(2026,7,1),
'2026初客紀錄'!B:B,"&lt;"&amp;DATE(2026,7,31),
'2026初客紀錄'!C:C,"家具"
)</f>
        <v>2</v>
      </c>
      <c r="J33" s="157">
        <f>COUNTIFS('2026初客紀錄'!B:B,"&gt;=2026/7/1",'2026初客紀錄'!B:B,"&lt;=2026/7/31",'2026初客紀錄'!K:K,"&lt;&gt;")</f>
        <v>32</v>
      </c>
      <c r="K33" s="167">
        <f t="shared" si="15"/>
        <v>0.3076923077</v>
      </c>
    </row>
    <row r="34">
      <c r="E34" s="118"/>
    </row>
    <row r="35">
      <c r="E35" s="118"/>
    </row>
    <row r="36">
      <c r="E36" s="118"/>
    </row>
    <row r="37">
      <c r="E37" s="118"/>
    </row>
    <row r="38">
      <c r="E38" s="118"/>
    </row>
    <row r="39">
      <c r="E39" s="118"/>
    </row>
    <row r="40">
      <c r="E40" s="118"/>
    </row>
    <row r="41">
      <c r="E41" s="118"/>
    </row>
    <row r="42">
      <c r="E42" s="118"/>
    </row>
    <row r="43">
      <c r="E43" s="118"/>
    </row>
    <row r="44">
      <c r="E44" s="118"/>
    </row>
    <row r="45">
      <c r="E45" s="118"/>
    </row>
    <row r="46">
      <c r="E46" s="118"/>
    </row>
    <row r="47">
      <c r="E47" s="118"/>
    </row>
    <row r="48">
      <c r="E48" s="118"/>
    </row>
    <row r="49">
      <c r="E49" s="118"/>
    </row>
    <row r="50">
      <c r="E50" s="118"/>
    </row>
    <row r="51">
      <c r="E51" s="118"/>
    </row>
    <row r="52">
      <c r="E52" s="118"/>
    </row>
    <row r="53">
      <c r="E53" s="118"/>
    </row>
    <row r="54">
      <c r="E54" s="118"/>
    </row>
    <row r="55">
      <c r="E55" s="118"/>
    </row>
    <row r="56">
      <c r="E56" s="118"/>
    </row>
    <row r="57">
      <c r="E57" s="118"/>
    </row>
    <row r="58">
      <c r="E58" s="118"/>
    </row>
    <row r="59">
      <c r="E59" s="118"/>
    </row>
    <row r="60">
      <c r="E60" s="118"/>
    </row>
    <row r="61">
      <c r="E61" s="118"/>
    </row>
    <row r="62">
      <c r="E62" s="118"/>
    </row>
    <row r="63">
      <c r="E63" s="118"/>
    </row>
    <row r="64">
      <c r="E64" s="118"/>
    </row>
    <row r="65">
      <c r="E65" s="118"/>
    </row>
    <row r="66">
      <c r="E66" s="118"/>
    </row>
    <row r="67">
      <c r="E67" s="118"/>
    </row>
    <row r="68">
      <c r="E68" s="118"/>
    </row>
    <row r="69">
      <c r="E69" s="118"/>
    </row>
    <row r="70">
      <c r="E70" s="118"/>
    </row>
    <row r="71">
      <c r="E71" s="118"/>
    </row>
    <row r="72">
      <c r="E72" s="118"/>
    </row>
    <row r="73">
      <c r="E73" s="118"/>
    </row>
    <row r="74">
      <c r="E74" s="118"/>
    </row>
    <row r="75">
      <c r="E75" s="118"/>
    </row>
    <row r="76">
      <c r="E76" s="118"/>
    </row>
    <row r="77">
      <c r="E77" s="118"/>
    </row>
    <row r="78">
      <c r="E78" s="118"/>
    </row>
    <row r="79">
      <c r="E79" s="118"/>
    </row>
    <row r="80">
      <c r="E80" s="118"/>
    </row>
    <row r="81">
      <c r="E81" s="118"/>
    </row>
    <row r="82">
      <c r="E82" s="118"/>
    </row>
    <row r="83">
      <c r="E83" s="118"/>
    </row>
    <row r="84">
      <c r="E84" s="118"/>
    </row>
    <row r="85">
      <c r="E85" s="118"/>
    </row>
    <row r="86">
      <c r="E86" s="118"/>
    </row>
    <row r="87">
      <c r="E87" s="118"/>
    </row>
    <row r="88">
      <c r="E88" s="118"/>
    </row>
    <row r="89">
      <c r="E89" s="118"/>
    </row>
    <row r="90">
      <c r="E90" s="118"/>
    </row>
    <row r="91">
      <c r="E91" s="118"/>
    </row>
    <row r="92">
      <c r="E92" s="118"/>
    </row>
    <row r="93">
      <c r="E93" s="118"/>
    </row>
    <row r="94">
      <c r="E94" s="118"/>
    </row>
    <row r="95">
      <c r="E95" s="118"/>
    </row>
    <row r="96">
      <c r="E96" s="118"/>
    </row>
    <row r="97">
      <c r="E97" s="118"/>
    </row>
    <row r="98">
      <c r="E98" s="118"/>
    </row>
    <row r="99">
      <c r="E99" s="118"/>
    </row>
    <row r="100">
      <c r="E100" s="118"/>
    </row>
    <row r="101">
      <c r="E101" s="118"/>
    </row>
    <row r="102">
      <c r="E102" s="118"/>
    </row>
    <row r="103">
      <c r="E103" s="118"/>
    </row>
    <row r="104">
      <c r="E104" s="118"/>
    </row>
    <row r="105">
      <c r="E105" s="118"/>
    </row>
    <row r="106">
      <c r="E106" s="118"/>
    </row>
    <row r="107">
      <c r="E107" s="118"/>
    </row>
    <row r="108">
      <c r="E108" s="118"/>
    </row>
    <row r="109">
      <c r="E109" s="118"/>
    </row>
    <row r="110">
      <c r="E110" s="118"/>
    </row>
    <row r="111">
      <c r="E111" s="118"/>
    </row>
    <row r="112">
      <c r="E112" s="118"/>
    </row>
    <row r="113">
      <c r="E113" s="118"/>
    </row>
    <row r="114">
      <c r="E114" s="118"/>
    </row>
    <row r="115">
      <c r="E115" s="118"/>
    </row>
    <row r="116">
      <c r="E116" s="118"/>
    </row>
    <row r="117">
      <c r="E117" s="118"/>
    </row>
    <row r="118">
      <c r="E118" s="118"/>
    </row>
    <row r="119">
      <c r="E119" s="118"/>
    </row>
    <row r="120">
      <c r="E120" s="118"/>
    </row>
    <row r="121">
      <c r="E121" s="118"/>
    </row>
    <row r="122">
      <c r="E122" s="118"/>
    </row>
    <row r="123">
      <c r="E123" s="118"/>
    </row>
    <row r="124">
      <c r="E124" s="118"/>
    </row>
    <row r="125">
      <c r="E125" s="118"/>
    </row>
    <row r="126">
      <c r="E126" s="118"/>
    </row>
    <row r="127">
      <c r="E127" s="118"/>
    </row>
    <row r="128">
      <c r="E128" s="118"/>
    </row>
    <row r="129">
      <c r="E129" s="118"/>
    </row>
    <row r="130">
      <c r="E130" s="118"/>
    </row>
    <row r="131">
      <c r="E131" s="118"/>
    </row>
    <row r="132">
      <c r="E132" s="118"/>
    </row>
    <row r="133">
      <c r="E133" s="118"/>
    </row>
    <row r="134">
      <c r="E134" s="118"/>
    </row>
    <row r="135">
      <c r="E135" s="118"/>
    </row>
    <row r="136">
      <c r="E136" s="118"/>
    </row>
    <row r="137">
      <c r="E137" s="118"/>
    </row>
    <row r="138">
      <c r="E138" s="118"/>
    </row>
    <row r="139">
      <c r="E139" s="118"/>
    </row>
    <row r="140">
      <c r="E140" s="118"/>
    </row>
    <row r="141">
      <c r="E141" s="118"/>
    </row>
    <row r="142">
      <c r="E142" s="118"/>
    </row>
    <row r="143">
      <c r="E143" s="118"/>
    </row>
    <row r="144">
      <c r="E144" s="118"/>
    </row>
    <row r="145">
      <c r="E145" s="118"/>
    </row>
    <row r="146">
      <c r="E146" s="118"/>
    </row>
    <row r="147">
      <c r="E147" s="118"/>
    </row>
    <row r="148">
      <c r="E148" s="118"/>
    </row>
    <row r="149">
      <c r="E149" s="118"/>
    </row>
    <row r="150">
      <c r="E150" s="118"/>
    </row>
    <row r="151">
      <c r="E151" s="118"/>
    </row>
    <row r="152">
      <c r="E152" s="118"/>
    </row>
    <row r="153">
      <c r="E153" s="118"/>
    </row>
    <row r="154">
      <c r="E154" s="118"/>
    </row>
    <row r="155">
      <c r="E155" s="118"/>
    </row>
    <row r="156">
      <c r="E156" s="118"/>
    </row>
    <row r="157">
      <c r="E157" s="118"/>
    </row>
    <row r="158">
      <c r="E158" s="118"/>
    </row>
    <row r="159">
      <c r="E159" s="118"/>
    </row>
    <row r="160">
      <c r="E160" s="118"/>
    </row>
    <row r="161">
      <c r="E161" s="118"/>
    </row>
    <row r="162">
      <c r="E162" s="118"/>
    </row>
    <row r="163">
      <c r="E163" s="118"/>
    </row>
    <row r="164">
      <c r="E164" s="118"/>
    </row>
    <row r="165">
      <c r="E165" s="118"/>
    </row>
    <row r="166">
      <c r="E166" s="118"/>
    </row>
    <row r="167">
      <c r="E167" s="118"/>
    </row>
    <row r="168">
      <c r="E168" s="118"/>
    </row>
    <row r="169">
      <c r="E169" s="118"/>
    </row>
    <row r="170">
      <c r="E170" s="118"/>
    </row>
    <row r="171">
      <c r="E171" s="118"/>
    </row>
    <row r="172">
      <c r="E172" s="118"/>
    </row>
    <row r="173">
      <c r="E173" s="118"/>
    </row>
    <row r="174">
      <c r="E174" s="118"/>
    </row>
    <row r="175">
      <c r="E175" s="118"/>
    </row>
    <row r="176">
      <c r="E176" s="118"/>
    </row>
    <row r="177">
      <c r="E177" s="118"/>
    </row>
    <row r="178">
      <c r="E178" s="118"/>
    </row>
    <row r="179">
      <c r="E179" s="118"/>
    </row>
    <row r="180">
      <c r="E180" s="118"/>
    </row>
    <row r="181">
      <c r="E181" s="118"/>
    </row>
    <row r="182">
      <c r="E182" s="118"/>
    </row>
    <row r="183">
      <c r="E183" s="118"/>
    </row>
    <row r="184">
      <c r="E184" s="118"/>
    </row>
    <row r="185">
      <c r="E185" s="118"/>
    </row>
    <row r="186">
      <c r="E186" s="118"/>
    </row>
    <row r="187">
      <c r="E187" s="118"/>
    </row>
    <row r="188">
      <c r="E188" s="118"/>
    </row>
    <row r="189">
      <c r="E189" s="118"/>
    </row>
    <row r="190">
      <c r="E190" s="118"/>
    </row>
    <row r="191">
      <c r="E191" s="118"/>
    </row>
    <row r="192">
      <c r="E192" s="118"/>
    </row>
    <row r="193">
      <c r="E193" s="118"/>
    </row>
    <row r="194">
      <c r="E194" s="118"/>
    </row>
    <row r="195">
      <c r="E195" s="118"/>
    </row>
    <row r="196">
      <c r="E196" s="118"/>
    </row>
    <row r="197">
      <c r="E197" s="118"/>
    </row>
    <row r="198">
      <c r="E198" s="118"/>
    </row>
    <row r="199">
      <c r="E199" s="118"/>
    </row>
    <row r="200">
      <c r="E200" s="118"/>
    </row>
    <row r="201">
      <c r="E201" s="118"/>
    </row>
    <row r="202">
      <c r="E202" s="118"/>
    </row>
    <row r="203">
      <c r="E203" s="118"/>
    </row>
    <row r="204">
      <c r="E204" s="118"/>
    </row>
    <row r="205">
      <c r="E205" s="118"/>
    </row>
    <row r="206">
      <c r="E206" s="118"/>
    </row>
    <row r="207">
      <c r="E207" s="118"/>
    </row>
    <row r="208">
      <c r="E208" s="118"/>
    </row>
    <row r="209">
      <c r="E209" s="118"/>
    </row>
    <row r="210">
      <c r="E210" s="118"/>
    </row>
    <row r="211">
      <c r="E211" s="118"/>
    </row>
    <row r="212">
      <c r="E212" s="118"/>
    </row>
    <row r="213">
      <c r="E213" s="118"/>
    </row>
    <row r="214">
      <c r="E214" s="118"/>
    </row>
    <row r="215">
      <c r="E215" s="118"/>
    </row>
    <row r="216">
      <c r="E216" s="118"/>
    </row>
    <row r="217">
      <c r="E217" s="118"/>
    </row>
    <row r="218">
      <c r="E218" s="118"/>
    </row>
    <row r="219">
      <c r="E219" s="118"/>
    </row>
    <row r="220">
      <c r="E220" s="118"/>
    </row>
    <row r="221">
      <c r="E221" s="118"/>
    </row>
    <row r="222">
      <c r="E222" s="118"/>
    </row>
    <row r="223">
      <c r="E223" s="118"/>
    </row>
    <row r="224">
      <c r="E224" s="118"/>
    </row>
    <row r="225">
      <c r="E225" s="118"/>
    </row>
    <row r="226">
      <c r="E226" s="118"/>
    </row>
    <row r="227">
      <c r="E227" s="118"/>
    </row>
    <row r="228">
      <c r="E228" s="118"/>
    </row>
    <row r="229">
      <c r="E229" s="118"/>
    </row>
    <row r="230">
      <c r="E230" s="118"/>
    </row>
    <row r="231">
      <c r="E231" s="118"/>
    </row>
    <row r="232">
      <c r="E232" s="118"/>
    </row>
    <row r="233">
      <c r="E233" s="118"/>
    </row>
    <row r="234">
      <c r="E234" s="118"/>
    </row>
    <row r="235">
      <c r="E235" s="118"/>
    </row>
    <row r="236">
      <c r="E236" s="118"/>
    </row>
    <row r="237">
      <c r="E237" s="118"/>
    </row>
    <row r="238">
      <c r="E238" s="118"/>
    </row>
    <row r="239">
      <c r="E239" s="118"/>
    </row>
    <row r="240">
      <c r="E240" s="118"/>
    </row>
    <row r="241">
      <c r="E241" s="118"/>
    </row>
    <row r="242">
      <c r="E242" s="118"/>
    </row>
    <row r="243">
      <c r="E243" s="118"/>
    </row>
    <row r="244">
      <c r="E244" s="118"/>
    </row>
    <row r="245">
      <c r="E245" s="118"/>
    </row>
    <row r="246">
      <c r="E246" s="118"/>
    </row>
    <row r="247">
      <c r="E247" s="118"/>
    </row>
    <row r="248">
      <c r="E248" s="118"/>
    </row>
    <row r="249">
      <c r="E249" s="118"/>
    </row>
    <row r="250">
      <c r="E250" s="118"/>
    </row>
    <row r="251">
      <c r="E251" s="118"/>
    </row>
    <row r="252">
      <c r="E252" s="118"/>
    </row>
    <row r="253">
      <c r="E253" s="118"/>
    </row>
    <row r="254">
      <c r="E254" s="118"/>
    </row>
    <row r="255">
      <c r="E255" s="118"/>
    </row>
    <row r="256">
      <c r="E256" s="118"/>
    </row>
    <row r="257">
      <c r="E257" s="118"/>
    </row>
    <row r="258">
      <c r="E258" s="118"/>
    </row>
    <row r="259">
      <c r="E259" s="118"/>
    </row>
    <row r="260">
      <c r="E260" s="118"/>
    </row>
    <row r="261">
      <c r="E261" s="118"/>
    </row>
    <row r="262">
      <c r="E262" s="118"/>
    </row>
    <row r="263">
      <c r="E263" s="118"/>
    </row>
    <row r="264">
      <c r="E264" s="118"/>
    </row>
    <row r="265">
      <c r="E265" s="118"/>
    </row>
    <row r="266">
      <c r="E266" s="118"/>
    </row>
    <row r="267">
      <c r="E267" s="118"/>
    </row>
    <row r="268">
      <c r="E268" s="118"/>
    </row>
    <row r="269">
      <c r="E269" s="118"/>
    </row>
    <row r="270">
      <c r="E270" s="118"/>
    </row>
    <row r="271">
      <c r="E271" s="118"/>
    </row>
    <row r="272">
      <c r="E272" s="118"/>
    </row>
    <row r="273">
      <c r="E273" s="118"/>
    </row>
    <row r="274">
      <c r="E274" s="118"/>
    </row>
    <row r="275">
      <c r="E275" s="118"/>
    </row>
    <row r="276">
      <c r="E276" s="118"/>
    </row>
    <row r="277">
      <c r="E277" s="118"/>
    </row>
    <row r="278">
      <c r="E278" s="118"/>
    </row>
    <row r="279">
      <c r="E279" s="118"/>
    </row>
    <row r="280">
      <c r="E280" s="118"/>
    </row>
    <row r="281">
      <c r="E281" s="118"/>
    </row>
    <row r="282">
      <c r="E282" s="118"/>
    </row>
    <row r="283">
      <c r="E283" s="118"/>
    </row>
    <row r="284">
      <c r="E284" s="118"/>
    </row>
    <row r="285">
      <c r="E285" s="118"/>
    </row>
    <row r="286">
      <c r="E286" s="118"/>
    </row>
    <row r="287">
      <c r="E287" s="118"/>
    </row>
    <row r="288">
      <c r="E288" s="118"/>
    </row>
    <row r="289">
      <c r="E289" s="118"/>
    </row>
    <row r="290">
      <c r="E290" s="118"/>
    </row>
    <row r="291">
      <c r="E291" s="118"/>
    </row>
    <row r="292">
      <c r="E292" s="118"/>
    </row>
    <row r="293">
      <c r="E293" s="118"/>
    </row>
    <row r="294">
      <c r="E294" s="118"/>
    </row>
    <row r="295">
      <c r="E295" s="118"/>
    </row>
    <row r="296">
      <c r="E296" s="118"/>
    </row>
    <row r="297">
      <c r="E297" s="118"/>
    </row>
    <row r="298">
      <c r="E298" s="118"/>
    </row>
    <row r="299">
      <c r="E299" s="118"/>
    </row>
    <row r="300">
      <c r="E300" s="118"/>
    </row>
    <row r="301">
      <c r="E301" s="118"/>
    </row>
    <row r="302">
      <c r="E302" s="118"/>
    </row>
    <row r="303">
      <c r="E303" s="118"/>
    </row>
    <row r="304">
      <c r="E304" s="118"/>
    </row>
    <row r="305">
      <c r="E305" s="118"/>
    </row>
    <row r="306">
      <c r="E306" s="118"/>
    </row>
    <row r="307">
      <c r="E307" s="118"/>
    </row>
    <row r="308">
      <c r="E308" s="118"/>
    </row>
    <row r="309">
      <c r="E309" s="118"/>
    </row>
    <row r="310">
      <c r="E310" s="118"/>
    </row>
    <row r="311">
      <c r="E311" s="118"/>
    </row>
    <row r="312">
      <c r="E312" s="118"/>
    </row>
    <row r="313">
      <c r="E313" s="118"/>
    </row>
    <row r="314">
      <c r="E314" s="118"/>
    </row>
    <row r="315">
      <c r="E315" s="118"/>
    </row>
    <row r="316">
      <c r="E316" s="118"/>
    </row>
    <row r="317">
      <c r="E317" s="118"/>
    </row>
    <row r="318">
      <c r="E318" s="118"/>
    </row>
    <row r="319">
      <c r="E319" s="118"/>
    </row>
    <row r="320">
      <c r="E320" s="118"/>
    </row>
    <row r="321">
      <c r="E321" s="118"/>
    </row>
    <row r="322">
      <c r="E322" s="118"/>
    </row>
    <row r="323">
      <c r="E323" s="118"/>
    </row>
    <row r="324">
      <c r="E324" s="118"/>
    </row>
    <row r="325">
      <c r="E325" s="118"/>
    </row>
    <row r="326">
      <c r="E326" s="118"/>
    </row>
    <row r="327">
      <c r="E327" s="118"/>
    </row>
    <row r="328">
      <c r="E328" s="118"/>
    </row>
    <row r="329">
      <c r="E329" s="118"/>
    </row>
    <row r="330">
      <c r="E330" s="118"/>
    </row>
    <row r="331">
      <c r="E331" s="118"/>
    </row>
    <row r="332">
      <c r="E332" s="118"/>
    </row>
    <row r="333">
      <c r="E333" s="118"/>
    </row>
    <row r="334">
      <c r="E334" s="118"/>
    </row>
    <row r="335">
      <c r="E335" s="118"/>
    </row>
    <row r="336">
      <c r="E336" s="118"/>
    </row>
    <row r="337">
      <c r="E337" s="118"/>
    </row>
    <row r="338">
      <c r="E338" s="118"/>
    </row>
    <row r="339">
      <c r="E339" s="118"/>
    </row>
    <row r="340">
      <c r="E340" s="118"/>
    </row>
    <row r="341">
      <c r="E341" s="118"/>
    </row>
    <row r="342">
      <c r="E342" s="118"/>
    </row>
    <row r="343">
      <c r="E343" s="118"/>
    </row>
    <row r="344">
      <c r="E344" s="118"/>
    </row>
    <row r="345">
      <c r="E345" s="118"/>
    </row>
    <row r="346">
      <c r="E346" s="118"/>
    </row>
    <row r="347">
      <c r="E347" s="118"/>
    </row>
    <row r="348">
      <c r="E348" s="118"/>
    </row>
    <row r="349">
      <c r="E349" s="118"/>
    </row>
    <row r="350">
      <c r="E350" s="118"/>
    </row>
    <row r="351">
      <c r="E351" s="118"/>
    </row>
    <row r="352">
      <c r="E352" s="118"/>
    </row>
    <row r="353">
      <c r="E353" s="118"/>
    </row>
    <row r="354">
      <c r="E354" s="118"/>
    </row>
    <row r="355">
      <c r="E355" s="118"/>
    </row>
    <row r="356">
      <c r="E356" s="118"/>
    </row>
    <row r="357">
      <c r="E357" s="118"/>
    </row>
    <row r="358">
      <c r="E358" s="118"/>
    </row>
    <row r="359">
      <c r="E359" s="118"/>
    </row>
    <row r="360">
      <c r="E360" s="118"/>
    </row>
    <row r="361">
      <c r="E361" s="118"/>
    </row>
    <row r="362">
      <c r="E362" s="118"/>
    </row>
    <row r="363">
      <c r="E363" s="118"/>
    </row>
    <row r="364">
      <c r="E364" s="118"/>
    </row>
    <row r="365">
      <c r="E365" s="118"/>
    </row>
    <row r="366">
      <c r="E366" s="118"/>
    </row>
    <row r="367">
      <c r="E367" s="118"/>
    </row>
    <row r="368">
      <c r="E368" s="118"/>
    </row>
    <row r="369">
      <c r="E369" s="118"/>
    </row>
    <row r="370">
      <c r="E370" s="118"/>
    </row>
    <row r="371">
      <c r="E371" s="118"/>
    </row>
    <row r="372">
      <c r="E372" s="118"/>
    </row>
    <row r="373">
      <c r="E373" s="118"/>
    </row>
    <row r="374">
      <c r="E374" s="118"/>
    </row>
    <row r="375">
      <c r="E375" s="118"/>
    </row>
    <row r="376">
      <c r="E376" s="118"/>
    </row>
    <row r="377">
      <c r="E377" s="118"/>
    </row>
    <row r="378">
      <c r="E378" s="118"/>
    </row>
    <row r="379">
      <c r="E379" s="118"/>
    </row>
    <row r="380">
      <c r="E380" s="118"/>
    </row>
    <row r="381">
      <c r="E381" s="118"/>
    </row>
    <row r="382">
      <c r="E382" s="118"/>
    </row>
    <row r="383">
      <c r="E383" s="118"/>
    </row>
    <row r="384">
      <c r="E384" s="118"/>
    </row>
    <row r="385">
      <c r="E385" s="118"/>
    </row>
    <row r="386">
      <c r="E386" s="118"/>
    </row>
    <row r="387">
      <c r="E387" s="118"/>
    </row>
    <row r="388">
      <c r="E388" s="118"/>
    </row>
    <row r="389">
      <c r="E389" s="118"/>
    </row>
    <row r="390">
      <c r="E390" s="118"/>
    </row>
    <row r="391">
      <c r="E391" s="118"/>
    </row>
    <row r="392">
      <c r="E392" s="118"/>
    </row>
    <row r="393">
      <c r="E393" s="118"/>
    </row>
    <row r="394">
      <c r="E394" s="118"/>
    </row>
    <row r="395">
      <c r="E395" s="118"/>
    </row>
    <row r="396">
      <c r="E396" s="118"/>
    </row>
    <row r="397">
      <c r="E397" s="118"/>
    </row>
    <row r="398">
      <c r="E398" s="118"/>
    </row>
    <row r="399">
      <c r="E399" s="118"/>
    </row>
    <row r="400">
      <c r="E400" s="118"/>
    </row>
    <row r="401">
      <c r="E401" s="118"/>
    </row>
    <row r="402">
      <c r="E402" s="118"/>
    </row>
    <row r="403">
      <c r="E403" s="118"/>
    </row>
    <row r="404">
      <c r="E404" s="118"/>
    </row>
    <row r="405">
      <c r="E405" s="118"/>
    </row>
    <row r="406">
      <c r="E406" s="118"/>
    </row>
    <row r="407">
      <c r="E407" s="118"/>
    </row>
    <row r="408">
      <c r="E408" s="118"/>
    </row>
    <row r="409">
      <c r="E409" s="118"/>
    </row>
    <row r="410">
      <c r="E410" s="118"/>
    </row>
    <row r="411">
      <c r="E411" s="118"/>
    </row>
    <row r="412">
      <c r="E412" s="118"/>
    </row>
    <row r="413">
      <c r="E413" s="118"/>
    </row>
    <row r="414">
      <c r="E414" s="118"/>
    </row>
    <row r="415">
      <c r="E415" s="118"/>
    </row>
    <row r="416">
      <c r="E416" s="118"/>
    </row>
    <row r="417">
      <c r="E417" s="118"/>
    </row>
    <row r="418">
      <c r="E418" s="118"/>
    </row>
    <row r="419">
      <c r="E419" s="118"/>
    </row>
    <row r="420">
      <c r="E420" s="118"/>
    </row>
    <row r="421">
      <c r="E421" s="118"/>
    </row>
    <row r="422">
      <c r="E422" s="118"/>
    </row>
    <row r="423">
      <c r="E423" s="118"/>
    </row>
    <row r="424">
      <c r="E424" s="118"/>
    </row>
    <row r="425">
      <c r="E425" s="118"/>
    </row>
    <row r="426">
      <c r="E426" s="118"/>
    </row>
    <row r="427">
      <c r="E427" s="118"/>
    </row>
    <row r="428">
      <c r="E428" s="118"/>
    </row>
    <row r="429">
      <c r="E429" s="118"/>
    </row>
    <row r="430">
      <c r="E430" s="118"/>
    </row>
    <row r="431">
      <c r="E431" s="118"/>
    </row>
    <row r="432">
      <c r="E432" s="118"/>
    </row>
    <row r="433">
      <c r="E433" s="118"/>
    </row>
    <row r="434">
      <c r="E434" s="118"/>
    </row>
    <row r="435">
      <c r="E435" s="118"/>
    </row>
    <row r="436">
      <c r="E436" s="118"/>
    </row>
    <row r="437">
      <c r="E437" s="118"/>
    </row>
    <row r="438">
      <c r="E438" s="118"/>
    </row>
    <row r="439">
      <c r="E439" s="118"/>
    </row>
    <row r="440">
      <c r="E440" s="118"/>
    </row>
    <row r="441">
      <c r="E441" s="118"/>
    </row>
    <row r="442">
      <c r="E442" s="118"/>
    </row>
    <row r="443">
      <c r="E443" s="118"/>
    </row>
    <row r="444">
      <c r="E444" s="118"/>
    </row>
    <row r="445">
      <c r="E445" s="118"/>
    </row>
    <row r="446">
      <c r="E446" s="118"/>
    </row>
    <row r="447">
      <c r="E447" s="118"/>
    </row>
    <row r="448">
      <c r="E448" s="118"/>
    </row>
    <row r="449">
      <c r="E449" s="118"/>
    </row>
    <row r="450">
      <c r="E450" s="118"/>
    </row>
    <row r="451">
      <c r="E451" s="118"/>
    </row>
    <row r="452">
      <c r="E452" s="118"/>
    </row>
    <row r="453">
      <c r="E453" s="118"/>
    </row>
    <row r="454">
      <c r="E454" s="118"/>
    </row>
    <row r="455">
      <c r="E455" s="118"/>
    </row>
    <row r="456">
      <c r="E456" s="118"/>
    </row>
    <row r="457">
      <c r="E457" s="118"/>
    </row>
    <row r="458">
      <c r="E458" s="118"/>
    </row>
    <row r="459">
      <c r="E459" s="118"/>
    </row>
    <row r="460">
      <c r="E460" s="118"/>
    </row>
    <row r="461">
      <c r="E461" s="118"/>
    </row>
    <row r="462">
      <c r="E462" s="118"/>
    </row>
    <row r="463">
      <c r="E463" s="118"/>
    </row>
    <row r="464">
      <c r="E464" s="118"/>
    </row>
    <row r="465">
      <c r="E465" s="118"/>
    </row>
    <row r="466">
      <c r="E466" s="118"/>
    </row>
    <row r="467">
      <c r="E467" s="118"/>
    </row>
    <row r="468">
      <c r="E468" s="118"/>
    </row>
    <row r="469">
      <c r="E469" s="118"/>
    </row>
    <row r="470">
      <c r="E470" s="118"/>
    </row>
    <row r="471">
      <c r="E471" s="118"/>
    </row>
    <row r="472">
      <c r="E472" s="118"/>
    </row>
    <row r="473">
      <c r="E473" s="118"/>
    </row>
    <row r="474">
      <c r="E474" s="118"/>
    </row>
    <row r="475">
      <c r="E475" s="118"/>
    </row>
    <row r="476">
      <c r="E476" s="118"/>
    </row>
    <row r="477">
      <c r="E477" s="118"/>
    </row>
    <row r="478">
      <c r="E478" s="118"/>
    </row>
    <row r="479">
      <c r="E479" s="118"/>
    </row>
    <row r="480">
      <c r="E480" s="118"/>
    </row>
    <row r="481">
      <c r="E481" s="118"/>
    </row>
    <row r="482">
      <c r="E482" s="118"/>
    </row>
    <row r="483">
      <c r="E483" s="118"/>
    </row>
    <row r="484">
      <c r="E484" s="118"/>
    </row>
    <row r="485">
      <c r="E485" s="118"/>
    </row>
    <row r="486">
      <c r="E486" s="118"/>
    </row>
    <row r="487">
      <c r="E487" s="118"/>
    </row>
    <row r="488">
      <c r="E488" s="118"/>
    </row>
    <row r="489">
      <c r="E489" s="118"/>
    </row>
    <row r="490">
      <c r="E490" s="118"/>
    </row>
    <row r="491">
      <c r="E491" s="118"/>
    </row>
    <row r="492">
      <c r="E492" s="118"/>
    </row>
    <row r="493">
      <c r="E493" s="118"/>
    </row>
    <row r="494">
      <c r="E494" s="118"/>
    </row>
    <row r="495">
      <c r="E495" s="118"/>
    </row>
    <row r="496">
      <c r="E496" s="118"/>
    </row>
    <row r="497">
      <c r="E497" s="118"/>
    </row>
    <row r="498">
      <c r="E498" s="118"/>
    </row>
    <row r="499">
      <c r="E499" s="118"/>
    </row>
    <row r="500">
      <c r="E500" s="118"/>
    </row>
    <row r="501">
      <c r="E501" s="118"/>
    </row>
    <row r="502">
      <c r="E502" s="118"/>
    </row>
    <row r="503">
      <c r="E503" s="118"/>
    </row>
    <row r="504">
      <c r="E504" s="118"/>
    </row>
    <row r="505">
      <c r="E505" s="118"/>
    </row>
    <row r="506">
      <c r="E506" s="118"/>
    </row>
    <row r="507">
      <c r="E507" s="118"/>
    </row>
    <row r="508">
      <c r="E508" s="118"/>
    </row>
    <row r="509">
      <c r="E509" s="118"/>
    </row>
    <row r="510">
      <c r="E510" s="118"/>
    </row>
    <row r="511">
      <c r="E511" s="118"/>
    </row>
    <row r="512">
      <c r="E512" s="118"/>
    </row>
    <row r="513">
      <c r="E513" s="118"/>
    </row>
    <row r="514">
      <c r="E514" s="118"/>
    </row>
    <row r="515">
      <c r="E515" s="118"/>
    </row>
    <row r="516">
      <c r="E516" s="118"/>
    </row>
    <row r="517">
      <c r="E517" s="118"/>
    </row>
    <row r="518">
      <c r="E518" s="118"/>
    </row>
    <row r="519">
      <c r="E519" s="118"/>
    </row>
    <row r="520">
      <c r="E520" s="118"/>
    </row>
    <row r="521">
      <c r="E521" s="118"/>
    </row>
    <row r="522">
      <c r="E522" s="118"/>
    </row>
    <row r="523">
      <c r="E523" s="118"/>
    </row>
    <row r="524">
      <c r="E524" s="118"/>
    </row>
    <row r="525">
      <c r="E525" s="118"/>
    </row>
    <row r="526">
      <c r="E526" s="118"/>
    </row>
    <row r="527">
      <c r="E527" s="118"/>
    </row>
    <row r="528">
      <c r="E528" s="118"/>
    </row>
    <row r="529">
      <c r="E529" s="118"/>
    </row>
    <row r="530">
      <c r="E530" s="118"/>
    </row>
    <row r="531">
      <c r="E531" s="118"/>
    </row>
    <row r="532">
      <c r="E532" s="118"/>
    </row>
    <row r="533">
      <c r="E533" s="118"/>
    </row>
    <row r="534">
      <c r="E534" s="118"/>
    </row>
    <row r="535">
      <c r="E535" s="118"/>
    </row>
    <row r="536">
      <c r="E536" s="118"/>
    </row>
    <row r="537">
      <c r="E537" s="118"/>
    </row>
    <row r="538">
      <c r="E538" s="118"/>
    </row>
    <row r="539">
      <c r="E539" s="118"/>
    </row>
    <row r="540">
      <c r="E540" s="118"/>
    </row>
    <row r="541">
      <c r="E541" s="118"/>
    </row>
    <row r="542">
      <c r="E542" s="118"/>
    </row>
    <row r="543">
      <c r="E543" s="118"/>
    </row>
    <row r="544">
      <c r="E544" s="118"/>
    </row>
    <row r="545">
      <c r="E545" s="118"/>
    </row>
    <row r="546">
      <c r="E546" s="118"/>
    </row>
    <row r="547">
      <c r="E547" s="118"/>
    </row>
    <row r="548">
      <c r="E548" s="118"/>
    </row>
    <row r="549">
      <c r="E549" s="118"/>
    </row>
    <row r="550">
      <c r="E550" s="118"/>
    </row>
    <row r="551">
      <c r="E551" s="118"/>
    </row>
    <row r="552">
      <c r="E552" s="118"/>
    </row>
    <row r="553">
      <c r="E553" s="118"/>
    </row>
    <row r="554">
      <c r="E554" s="118"/>
    </row>
    <row r="555">
      <c r="E555" s="118"/>
    </row>
    <row r="556">
      <c r="E556" s="118"/>
    </row>
    <row r="557">
      <c r="E557" s="118"/>
    </row>
    <row r="558">
      <c r="E558" s="118"/>
    </row>
    <row r="559">
      <c r="E559" s="118"/>
    </row>
    <row r="560">
      <c r="E560" s="118"/>
    </row>
    <row r="561">
      <c r="E561" s="118"/>
    </row>
    <row r="562">
      <c r="E562" s="118"/>
    </row>
    <row r="563">
      <c r="E563" s="118"/>
    </row>
    <row r="564">
      <c r="E564" s="118"/>
    </row>
    <row r="565">
      <c r="E565" s="118"/>
    </row>
    <row r="566">
      <c r="E566" s="118"/>
    </row>
    <row r="567">
      <c r="E567" s="118"/>
    </row>
    <row r="568">
      <c r="E568" s="118"/>
    </row>
    <row r="569">
      <c r="E569" s="118"/>
    </row>
    <row r="570">
      <c r="E570" s="118"/>
    </row>
    <row r="571">
      <c r="E571" s="118"/>
    </row>
    <row r="572">
      <c r="E572" s="118"/>
    </row>
    <row r="573">
      <c r="E573" s="118"/>
    </row>
    <row r="574">
      <c r="E574" s="118"/>
    </row>
    <row r="575">
      <c r="E575" s="118"/>
    </row>
    <row r="576">
      <c r="E576" s="118"/>
    </row>
    <row r="577">
      <c r="E577" s="118"/>
    </row>
    <row r="578">
      <c r="E578" s="118"/>
    </row>
    <row r="579">
      <c r="E579" s="118"/>
    </row>
    <row r="580">
      <c r="E580" s="118"/>
    </row>
    <row r="581">
      <c r="E581" s="118"/>
    </row>
    <row r="582">
      <c r="E582" s="118"/>
    </row>
    <row r="583">
      <c r="E583" s="118"/>
    </row>
    <row r="584">
      <c r="E584" s="118"/>
    </row>
    <row r="585">
      <c r="E585" s="118"/>
    </row>
    <row r="586">
      <c r="E586" s="118"/>
    </row>
    <row r="587">
      <c r="E587" s="118"/>
    </row>
    <row r="588">
      <c r="E588" s="118"/>
    </row>
    <row r="589">
      <c r="E589" s="118"/>
    </row>
    <row r="590">
      <c r="E590" s="118"/>
    </row>
    <row r="591">
      <c r="E591" s="118"/>
    </row>
    <row r="592">
      <c r="E592" s="118"/>
    </row>
    <row r="593">
      <c r="E593" s="118"/>
    </row>
    <row r="594">
      <c r="E594" s="118"/>
    </row>
    <row r="595">
      <c r="E595" s="118"/>
    </row>
    <row r="596">
      <c r="E596" s="118"/>
    </row>
    <row r="597">
      <c r="E597" s="118"/>
    </row>
    <row r="598">
      <c r="E598" s="118"/>
    </row>
    <row r="599">
      <c r="E599" s="118"/>
    </row>
    <row r="600">
      <c r="E600" s="118"/>
    </row>
    <row r="601">
      <c r="E601" s="118"/>
    </row>
    <row r="602">
      <c r="E602" s="118"/>
    </row>
    <row r="603">
      <c r="E603" s="118"/>
    </row>
    <row r="604">
      <c r="E604" s="118"/>
    </row>
    <row r="605">
      <c r="E605" s="118"/>
    </row>
    <row r="606">
      <c r="E606" s="118"/>
    </row>
    <row r="607">
      <c r="E607" s="118"/>
    </row>
    <row r="608">
      <c r="E608" s="118"/>
    </row>
    <row r="609">
      <c r="E609" s="118"/>
    </row>
    <row r="610">
      <c r="E610" s="118"/>
    </row>
    <row r="611">
      <c r="E611" s="118"/>
    </row>
    <row r="612">
      <c r="E612" s="118"/>
    </row>
    <row r="613">
      <c r="E613" s="118"/>
    </row>
    <row r="614">
      <c r="E614" s="118"/>
    </row>
    <row r="615">
      <c r="E615" s="118"/>
    </row>
    <row r="616">
      <c r="E616" s="118"/>
    </row>
    <row r="617">
      <c r="E617" s="118"/>
    </row>
    <row r="618">
      <c r="E618" s="118"/>
    </row>
    <row r="619">
      <c r="E619" s="118"/>
    </row>
    <row r="620">
      <c r="E620" s="118"/>
    </row>
    <row r="621">
      <c r="E621" s="118"/>
    </row>
    <row r="622">
      <c r="E622" s="118"/>
    </row>
    <row r="623">
      <c r="E623" s="118"/>
    </row>
    <row r="624">
      <c r="E624" s="118"/>
    </row>
    <row r="625">
      <c r="E625" s="118"/>
    </row>
    <row r="626">
      <c r="E626" s="118"/>
    </row>
    <row r="627">
      <c r="E627" s="118"/>
    </row>
    <row r="628">
      <c r="E628" s="118"/>
    </row>
    <row r="629">
      <c r="E629" s="118"/>
    </row>
    <row r="630">
      <c r="E630" s="118"/>
    </row>
    <row r="631">
      <c r="E631" s="118"/>
    </row>
    <row r="632">
      <c r="E632" s="118"/>
    </row>
    <row r="633">
      <c r="E633" s="118"/>
    </row>
    <row r="634">
      <c r="E634" s="118"/>
    </row>
    <row r="635">
      <c r="E635" s="118"/>
    </row>
    <row r="636">
      <c r="E636" s="118"/>
    </row>
    <row r="637">
      <c r="E637" s="118"/>
    </row>
    <row r="638">
      <c r="E638" s="118"/>
    </row>
    <row r="639">
      <c r="E639" s="118"/>
    </row>
    <row r="640">
      <c r="E640" s="118"/>
    </row>
    <row r="641">
      <c r="E641" s="118"/>
    </row>
    <row r="642">
      <c r="E642" s="118"/>
    </row>
    <row r="643">
      <c r="E643" s="118"/>
    </row>
    <row r="644">
      <c r="E644" s="118"/>
    </row>
    <row r="645">
      <c r="E645" s="118"/>
    </row>
    <row r="646">
      <c r="E646" s="118"/>
    </row>
    <row r="647">
      <c r="E647" s="118"/>
    </row>
    <row r="648">
      <c r="E648" s="118"/>
    </row>
    <row r="649">
      <c r="E649" s="118"/>
    </row>
    <row r="650">
      <c r="E650" s="118"/>
    </row>
    <row r="651">
      <c r="E651" s="118"/>
    </row>
    <row r="652">
      <c r="E652" s="118"/>
    </row>
    <row r="653">
      <c r="E653" s="118"/>
    </row>
    <row r="654">
      <c r="E654" s="118"/>
    </row>
    <row r="655">
      <c r="E655" s="118"/>
    </row>
    <row r="656">
      <c r="E656" s="118"/>
    </row>
    <row r="657">
      <c r="E657" s="118"/>
    </row>
    <row r="658">
      <c r="E658" s="118"/>
    </row>
    <row r="659">
      <c r="E659" s="118"/>
    </row>
    <row r="660">
      <c r="E660" s="118"/>
    </row>
    <row r="661">
      <c r="E661" s="118"/>
    </row>
    <row r="662">
      <c r="E662" s="118"/>
    </row>
    <row r="663">
      <c r="E663" s="118"/>
    </row>
    <row r="664">
      <c r="E664" s="118"/>
    </row>
    <row r="665">
      <c r="E665" s="118"/>
    </row>
    <row r="666">
      <c r="E666" s="118"/>
    </row>
    <row r="667">
      <c r="E667" s="118"/>
    </row>
    <row r="668">
      <c r="E668" s="118"/>
    </row>
    <row r="669">
      <c r="E669" s="118"/>
    </row>
    <row r="670">
      <c r="E670" s="118"/>
    </row>
    <row r="671">
      <c r="E671" s="118"/>
    </row>
    <row r="672">
      <c r="E672" s="118"/>
    </row>
    <row r="673">
      <c r="E673" s="118"/>
    </row>
    <row r="674">
      <c r="E674" s="118"/>
    </row>
    <row r="675">
      <c r="E675" s="118"/>
    </row>
    <row r="676">
      <c r="E676" s="118"/>
    </row>
    <row r="677">
      <c r="E677" s="118"/>
    </row>
    <row r="678">
      <c r="E678" s="118"/>
    </row>
    <row r="679">
      <c r="E679" s="118"/>
    </row>
    <row r="680">
      <c r="E680" s="118"/>
    </row>
    <row r="681">
      <c r="E681" s="118"/>
    </row>
    <row r="682">
      <c r="E682" s="118"/>
    </row>
    <row r="683">
      <c r="E683" s="118"/>
    </row>
    <row r="684">
      <c r="E684" s="118"/>
    </row>
    <row r="685">
      <c r="E685" s="118"/>
    </row>
    <row r="686">
      <c r="E686" s="118"/>
    </row>
    <row r="687">
      <c r="E687" s="118"/>
    </row>
    <row r="688">
      <c r="E688" s="118"/>
    </row>
    <row r="689">
      <c r="E689" s="118"/>
    </row>
    <row r="690">
      <c r="E690" s="118"/>
    </row>
    <row r="691">
      <c r="E691" s="118"/>
    </row>
    <row r="692">
      <c r="E692" s="118"/>
    </row>
    <row r="693">
      <c r="E693" s="118"/>
    </row>
    <row r="694">
      <c r="E694" s="118"/>
    </row>
    <row r="695">
      <c r="E695" s="118"/>
    </row>
    <row r="696">
      <c r="E696" s="118"/>
    </row>
    <row r="697">
      <c r="E697" s="118"/>
    </row>
    <row r="698">
      <c r="E698" s="118"/>
    </row>
    <row r="699">
      <c r="E699" s="118"/>
    </row>
    <row r="700">
      <c r="E700" s="118"/>
    </row>
    <row r="701">
      <c r="E701" s="118"/>
    </row>
    <row r="702">
      <c r="E702" s="118"/>
    </row>
    <row r="703">
      <c r="E703" s="118"/>
    </row>
    <row r="704">
      <c r="E704" s="118"/>
    </row>
    <row r="705">
      <c r="E705" s="118"/>
    </row>
    <row r="706">
      <c r="E706" s="118"/>
    </row>
    <row r="707">
      <c r="E707" s="118"/>
    </row>
    <row r="708">
      <c r="E708" s="118"/>
    </row>
    <row r="709">
      <c r="E709" s="118"/>
    </row>
    <row r="710">
      <c r="E710" s="118"/>
    </row>
    <row r="711">
      <c r="E711" s="118"/>
    </row>
    <row r="712">
      <c r="E712" s="118"/>
    </row>
    <row r="713">
      <c r="E713" s="118"/>
    </row>
    <row r="714">
      <c r="E714" s="118"/>
    </row>
    <row r="715">
      <c r="E715" s="118"/>
    </row>
    <row r="716">
      <c r="E716" s="118"/>
    </row>
    <row r="717">
      <c r="E717" s="118"/>
    </row>
    <row r="718">
      <c r="E718" s="118"/>
    </row>
    <row r="719">
      <c r="E719" s="118"/>
    </row>
    <row r="720">
      <c r="E720" s="118"/>
    </row>
    <row r="721">
      <c r="E721" s="118"/>
    </row>
    <row r="722">
      <c r="E722" s="118"/>
    </row>
    <row r="723">
      <c r="E723" s="118"/>
    </row>
    <row r="724">
      <c r="E724" s="118"/>
    </row>
    <row r="725">
      <c r="E725" s="118"/>
    </row>
    <row r="726">
      <c r="E726" s="118"/>
    </row>
    <row r="727">
      <c r="E727" s="118"/>
    </row>
    <row r="728">
      <c r="E728" s="118"/>
    </row>
    <row r="729">
      <c r="E729" s="118"/>
    </row>
    <row r="730">
      <c r="E730" s="118"/>
    </row>
    <row r="731">
      <c r="E731" s="118"/>
    </row>
    <row r="732">
      <c r="E732" s="118"/>
    </row>
    <row r="733">
      <c r="E733" s="118"/>
    </row>
    <row r="734">
      <c r="E734" s="118"/>
    </row>
    <row r="735">
      <c r="E735" s="118"/>
    </row>
    <row r="736">
      <c r="E736" s="118"/>
    </row>
    <row r="737">
      <c r="E737" s="118"/>
    </row>
    <row r="738">
      <c r="E738" s="118"/>
    </row>
    <row r="739">
      <c r="E739" s="118"/>
    </row>
    <row r="740">
      <c r="E740" s="118"/>
    </row>
    <row r="741">
      <c r="E741" s="118"/>
    </row>
    <row r="742">
      <c r="E742" s="118"/>
    </row>
    <row r="743">
      <c r="E743" s="118"/>
    </row>
    <row r="744">
      <c r="E744" s="118"/>
    </row>
    <row r="745">
      <c r="E745" s="118"/>
    </row>
    <row r="746">
      <c r="E746" s="118"/>
    </row>
    <row r="747">
      <c r="E747" s="118"/>
    </row>
    <row r="748">
      <c r="E748" s="118"/>
    </row>
    <row r="749">
      <c r="E749" s="118"/>
    </row>
    <row r="750">
      <c r="E750" s="118"/>
    </row>
    <row r="751">
      <c r="E751" s="118"/>
    </row>
    <row r="752">
      <c r="E752" s="118"/>
    </row>
    <row r="753">
      <c r="E753" s="118"/>
    </row>
    <row r="754">
      <c r="E754" s="118"/>
    </row>
    <row r="755">
      <c r="E755" s="118"/>
    </row>
    <row r="756">
      <c r="E756" s="118"/>
    </row>
    <row r="757">
      <c r="E757" s="118"/>
    </row>
    <row r="758">
      <c r="E758" s="118"/>
    </row>
    <row r="759">
      <c r="E759" s="118"/>
    </row>
    <row r="760">
      <c r="E760" s="118"/>
    </row>
    <row r="761">
      <c r="E761" s="118"/>
    </row>
    <row r="762">
      <c r="E762" s="118"/>
    </row>
    <row r="763">
      <c r="E763" s="118"/>
    </row>
    <row r="764">
      <c r="E764" s="118"/>
    </row>
    <row r="765">
      <c r="E765" s="118"/>
    </row>
    <row r="766">
      <c r="E766" s="118"/>
    </row>
    <row r="767">
      <c r="E767" s="118"/>
    </row>
    <row r="768">
      <c r="E768" s="118"/>
    </row>
    <row r="769">
      <c r="E769" s="118"/>
    </row>
    <row r="770">
      <c r="E770" s="118"/>
    </row>
    <row r="771">
      <c r="E771" s="118"/>
    </row>
    <row r="772">
      <c r="E772" s="118"/>
    </row>
    <row r="773">
      <c r="E773" s="118"/>
    </row>
    <row r="774">
      <c r="E774" s="118"/>
    </row>
    <row r="775">
      <c r="E775" s="118"/>
    </row>
    <row r="776">
      <c r="E776" s="118"/>
    </row>
    <row r="777">
      <c r="E777" s="118"/>
    </row>
    <row r="778">
      <c r="E778" s="118"/>
    </row>
    <row r="779">
      <c r="E779" s="118"/>
    </row>
    <row r="780">
      <c r="E780" s="118"/>
    </row>
    <row r="781">
      <c r="E781" s="118"/>
    </row>
    <row r="782">
      <c r="E782" s="118"/>
    </row>
    <row r="783">
      <c r="E783" s="118"/>
    </row>
    <row r="784">
      <c r="E784" s="118"/>
    </row>
    <row r="785">
      <c r="E785" s="118"/>
    </row>
    <row r="786">
      <c r="E786" s="118"/>
    </row>
    <row r="787">
      <c r="E787" s="118"/>
    </row>
    <row r="788">
      <c r="E788" s="118"/>
    </row>
    <row r="789">
      <c r="E789" s="118"/>
    </row>
    <row r="790">
      <c r="E790" s="118"/>
    </row>
    <row r="791">
      <c r="E791" s="118"/>
    </row>
    <row r="792">
      <c r="E792" s="118"/>
    </row>
    <row r="793">
      <c r="E793" s="118"/>
    </row>
    <row r="794">
      <c r="E794" s="118"/>
    </row>
    <row r="795">
      <c r="E795" s="118"/>
    </row>
    <row r="796">
      <c r="E796" s="118"/>
    </row>
    <row r="797">
      <c r="E797" s="118"/>
    </row>
    <row r="798">
      <c r="E798" s="118"/>
    </row>
    <row r="799">
      <c r="E799" s="118"/>
    </row>
    <row r="800">
      <c r="E800" s="118"/>
    </row>
    <row r="801">
      <c r="E801" s="118"/>
    </row>
    <row r="802">
      <c r="E802" s="118"/>
    </row>
    <row r="803">
      <c r="E803" s="118"/>
    </row>
    <row r="804">
      <c r="E804" s="118"/>
    </row>
    <row r="805">
      <c r="E805" s="118"/>
    </row>
    <row r="806">
      <c r="E806" s="118"/>
    </row>
    <row r="807">
      <c r="E807" s="118"/>
    </row>
    <row r="808">
      <c r="E808" s="118"/>
    </row>
    <row r="809">
      <c r="E809" s="118"/>
    </row>
    <row r="810">
      <c r="E810" s="118"/>
    </row>
    <row r="811">
      <c r="E811" s="118"/>
    </row>
    <row r="812">
      <c r="E812" s="118"/>
    </row>
    <row r="813">
      <c r="E813" s="118"/>
    </row>
    <row r="814">
      <c r="E814" s="118"/>
    </row>
    <row r="815">
      <c r="E815" s="118"/>
    </row>
    <row r="816">
      <c r="E816" s="118"/>
    </row>
    <row r="817">
      <c r="E817" s="118"/>
    </row>
    <row r="818">
      <c r="E818" s="118"/>
    </row>
    <row r="819">
      <c r="E819" s="118"/>
    </row>
    <row r="820">
      <c r="E820" s="118"/>
    </row>
    <row r="821">
      <c r="E821" s="118"/>
    </row>
    <row r="822">
      <c r="E822" s="118"/>
    </row>
    <row r="823">
      <c r="E823" s="118"/>
    </row>
    <row r="824">
      <c r="E824" s="118"/>
    </row>
    <row r="825">
      <c r="E825" s="118"/>
    </row>
    <row r="826">
      <c r="E826" s="118"/>
    </row>
    <row r="827">
      <c r="E827" s="118"/>
    </row>
    <row r="828">
      <c r="E828" s="118"/>
    </row>
    <row r="829">
      <c r="E829" s="118"/>
    </row>
    <row r="830">
      <c r="E830" s="118"/>
    </row>
    <row r="831">
      <c r="E831" s="118"/>
    </row>
    <row r="832">
      <c r="E832" s="118"/>
    </row>
    <row r="833">
      <c r="E833" s="118"/>
    </row>
    <row r="834">
      <c r="E834" s="118"/>
    </row>
    <row r="835">
      <c r="E835" s="118"/>
    </row>
    <row r="836">
      <c r="E836" s="118"/>
    </row>
    <row r="837">
      <c r="E837" s="118"/>
    </row>
    <row r="838">
      <c r="E838" s="118"/>
    </row>
    <row r="839">
      <c r="E839" s="118"/>
    </row>
    <row r="840">
      <c r="E840" s="118"/>
    </row>
    <row r="841">
      <c r="E841" s="118"/>
    </row>
    <row r="842">
      <c r="E842" s="118"/>
    </row>
    <row r="843">
      <c r="E843" s="118"/>
    </row>
    <row r="844">
      <c r="E844" s="118"/>
    </row>
    <row r="845">
      <c r="E845" s="118"/>
    </row>
    <row r="846">
      <c r="E846" s="118"/>
    </row>
    <row r="847">
      <c r="E847" s="118"/>
    </row>
    <row r="848">
      <c r="E848" s="118"/>
    </row>
    <row r="849">
      <c r="E849" s="118"/>
    </row>
    <row r="850">
      <c r="E850" s="118"/>
    </row>
    <row r="851">
      <c r="E851" s="118"/>
    </row>
    <row r="852">
      <c r="E852" s="118"/>
    </row>
    <row r="853">
      <c r="E853" s="118"/>
    </row>
    <row r="854">
      <c r="E854" s="118"/>
    </row>
    <row r="855">
      <c r="E855" s="118"/>
    </row>
    <row r="856">
      <c r="E856" s="118"/>
    </row>
    <row r="857">
      <c r="E857" s="118"/>
    </row>
    <row r="858">
      <c r="E858" s="118"/>
    </row>
    <row r="859">
      <c r="E859" s="118"/>
    </row>
    <row r="860">
      <c r="E860" s="118"/>
    </row>
    <row r="861">
      <c r="E861" s="118"/>
    </row>
    <row r="862">
      <c r="E862" s="118"/>
    </row>
    <row r="863">
      <c r="E863" s="118"/>
    </row>
    <row r="864">
      <c r="E864" s="118"/>
    </row>
    <row r="865">
      <c r="E865" s="118"/>
    </row>
    <row r="866">
      <c r="E866" s="118"/>
    </row>
    <row r="867">
      <c r="E867" s="118"/>
    </row>
    <row r="868">
      <c r="E868" s="118"/>
    </row>
    <row r="869">
      <c r="E869" s="118"/>
    </row>
    <row r="870">
      <c r="E870" s="118"/>
    </row>
    <row r="871">
      <c r="E871" s="118"/>
    </row>
    <row r="872">
      <c r="E872" s="118"/>
    </row>
    <row r="873">
      <c r="E873" s="118"/>
    </row>
    <row r="874">
      <c r="E874" s="118"/>
    </row>
    <row r="875">
      <c r="E875" s="118"/>
    </row>
    <row r="876">
      <c r="E876" s="118"/>
    </row>
    <row r="877">
      <c r="E877" s="118"/>
    </row>
    <row r="878">
      <c r="E878" s="118"/>
    </row>
    <row r="879">
      <c r="E879" s="118"/>
    </row>
    <row r="880">
      <c r="E880" s="118"/>
    </row>
    <row r="881">
      <c r="E881" s="118"/>
    </row>
    <row r="882">
      <c r="E882" s="118"/>
    </row>
    <row r="883">
      <c r="E883" s="118"/>
    </row>
    <row r="884">
      <c r="E884" s="118"/>
    </row>
    <row r="885">
      <c r="E885" s="118"/>
    </row>
    <row r="886">
      <c r="E886" s="118"/>
    </row>
    <row r="887">
      <c r="E887" s="118"/>
    </row>
    <row r="888">
      <c r="E888" s="118"/>
    </row>
    <row r="889">
      <c r="E889" s="118"/>
    </row>
    <row r="890">
      <c r="E890" s="118"/>
    </row>
    <row r="891">
      <c r="E891" s="118"/>
    </row>
    <row r="892">
      <c r="E892" s="118"/>
    </row>
    <row r="893">
      <c r="E893" s="118"/>
    </row>
    <row r="894">
      <c r="E894" s="118"/>
    </row>
    <row r="895">
      <c r="E895" s="118"/>
    </row>
    <row r="896">
      <c r="E896" s="118"/>
    </row>
    <row r="897">
      <c r="E897" s="118"/>
    </row>
    <row r="898">
      <c r="E898" s="118"/>
    </row>
    <row r="899">
      <c r="E899" s="118"/>
    </row>
    <row r="900">
      <c r="E900" s="118"/>
    </row>
    <row r="901">
      <c r="E901" s="118"/>
    </row>
    <row r="902">
      <c r="E902" s="118"/>
    </row>
    <row r="903">
      <c r="E903" s="118"/>
    </row>
    <row r="904">
      <c r="E904" s="118"/>
    </row>
    <row r="905">
      <c r="E905" s="118"/>
    </row>
    <row r="906">
      <c r="E906" s="118"/>
    </row>
    <row r="907">
      <c r="E907" s="118"/>
    </row>
    <row r="908">
      <c r="E908" s="118"/>
    </row>
    <row r="909">
      <c r="E909" s="118"/>
    </row>
    <row r="910">
      <c r="E910" s="118"/>
    </row>
    <row r="911">
      <c r="E911" s="118"/>
    </row>
    <row r="912">
      <c r="E912" s="118"/>
    </row>
    <row r="913">
      <c r="E913" s="118"/>
    </row>
    <row r="914">
      <c r="E914" s="118"/>
    </row>
    <row r="915">
      <c r="E915" s="118"/>
    </row>
    <row r="916">
      <c r="E916" s="118"/>
    </row>
    <row r="917">
      <c r="E917" s="118"/>
    </row>
    <row r="918">
      <c r="E918" s="118"/>
    </row>
    <row r="919">
      <c r="E919" s="118"/>
    </row>
    <row r="920">
      <c r="E920" s="118"/>
    </row>
    <row r="921">
      <c r="E921" s="118"/>
    </row>
    <row r="922">
      <c r="E922" s="118"/>
    </row>
    <row r="923">
      <c r="E923" s="118"/>
    </row>
    <row r="924">
      <c r="E924" s="118"/>
    </row>
    <row r="925">
      <c r="E925" s="118"/>
    </row>
    <row r="926">
      <c r="E926" s="118"/>
    </row>
    <row r="927">
      <c r="E927" s="118"/>
    </row>
    <row r="928">
      <c r="E928" s="118"/>
    </row>
    <row r="929">
      <c r="E929" s="118"/>
    </row>
    <row r="930">
      <c r="E930" s="118"/>
    </row>
    <row r="931">
      <c r="E931" s="118"/>
    </row>
    <row r="932">
      <c r="E932" s="118"/>
    </row>
    <row r="933">
      <c r="E933" s="118"/>
    </row>
    <row r="934">
      <c r="E934" s="118"/>
    </row>
    <row r="935">
      <c r="E935" s="118"/>
    </row>
    <row r="936">
      <c r="E936" s="118"/>
    </row>
    <row r="937">
      <c r="E937" s="118"/>
    </row>
    <row r="938">
      <c r="E938" s="118"/>
    </row>
    <row r="939">
      <c r="E939" s="118"/>
    </row>
    <row r="940">
      <c r="E940" s="118"/>
    </row>
    <row r="941">
      <c r="E941" s="118"/>
    </row>
    <row r="942">
      <c r="E942" s="118"/>
    </row>
    <row r="943">
      <c r="E943" s="118"/>
    </row>
    <row r="944">
      <c r="E944" s="118"/>
    </row>
    <row r="945">
      <c r="E945" s="118"/>
    </row>
    <row r="946">
      <c r="E946" s="118"/>
    </row>
    <row r="947">
      <c r="E947" s="118"/>
    </row>
    <row r="948">
      <c r="E948" s="118"/>
    </row>
    <row r="949">
      <c r="E949" s="118"/>
    </row>
    <row r="950">
      <c r="E950" s="118"/>
    </row>
    <row r="951">
      <c r="E951" s="118"/>
    </row>
    <row r="952">
      <c r="E952" s="118"/>
    </row>
    <row r="953">
      <c r="E953" s="118"/>
    </row>
    <row r="954">
      <c r="E954" s="118"/>
    </row>
    <row r="955">
      <c r="E955" s="118"/>
    </row>
    <row r="956">
      <c r="E956" s="118"/>
    </row>
    <row r="957">
      <c r="E957" s="118"/>
    </row>
    <row r="958">
      <c r="E958" s="118"/>
    </row>
    <row r="959">
      <c r="E959" s="118"/>
    </row>
    <row r="960">
      <c r="E960" s="118"/>
    </row>
    <row r="961">
      <c r="E961" s="118"/>
    </row>
    <row r="962">
      <c r="E962" s="118"/>
    </row>
    <row r="963">
      <c r="E963" s="118"/>
    </row>
    <row r="964">
      <c r="E964" s="118"/>
    </row>
    <row r="965">
      <c r="E965" s="118"/>
    </row>
    <row r="966">
      <c r="E966" s="118"/>
    </row>
    <row r="967">
      <c r="E967" s="118"/>
    </row>
    <row r="968">
      <c r="E968" s="118"/>
    </row>
    <row r="969">
      <c r="E969" s="118"/>
    </row>
    <row r="970">
      <c r="E970" s="118"/>
    </row>
    <row r="971">
      <c r="E971" s="118"/>
    </row>
    <row r="972">
      <c r="E972" s="118"/>
    </row>
    <row r="973">
      <c r="E973" s="118"/>
    </row>
    <row r="974">
      <c r="E974" s="118"/>
    </row>
    <row r="975">
      <c r="E975" s="118"/>
    </row>
    <row r="976">
      <c r="E976" s="118"/>
    </row>
    <row r="977">
      <c r="E977" s="118"/>
    </row>
    <row r="978">
      <c r="E978" s="118"/>
    </row>
    <row r="979">
      <c r="E979" s="118"/>
    </row>
    <row r="980">
      <c r="E980" s="118"/>
    </row>
    <row r="981">
      <c r="E981" s="118"/>
    </row>
    <row r="982">
      <c r="E982" s="118"/>
    </row>
    <row r="983">
      <c r="E983" s="118"/>
    </row>
    <row r="984">
      <c r="E984" s="118"/>
    </row>
    <row r="985">
      <c r="E985" s="118"/>
    </row>
    <row r="986">
      <c r="E986" s="118"/>
    </row>
    <row r="987">
      <c r="E987" s="118"/>
    </row>
    <row r="988">
      <c r="E988" s="118"/>
    </row>
    <row r="989">
      <c r="E989" s="118"/>
    </row>
    <row r="990">
      <c r="E990" s="118"/>
    </row>
    <row r="991">
      <c r="E991" s="118"/>
    </row>
    <row r="992">
      <c r="E992" s="118"/>
    </row>
    <row r="993">
      <c r="E993" s="118"/>
    </row>
    <row r="994">
      <c r="E994" s="118"/>
    </row>
    <row r="995">
      <c r="E995" s="118"/>
    </row>
    <row r="996">
      <c r="E996" s="118"/>
    </row>
    <row r="997">
      <c r="E997" s="118"/>
    </row>
  </sheetData>
  <autoFilter ref="$S$1:$T$14"/>
  <mergeCells count="5">
    <mergeCell ref="A1:C1"/>
    <mergeCell ref="E1:E2"/>
    <mergeCell ref="F1:H1"/>
    <mergeCell ref="I1:K1"/>
    <mergeCell ref="A16:K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2" width="18.5"/>
    <col customWidth="1" min="4" max="4" width="22.0"/>
    <col customWidth="1" min="5" max="6" width="8.25"/>
    <col customWidth="1" min="7" max="7" width="14.88"/>
    <col customWidth="1" min="8" max="8" width="7.5"/>
    <col customWidth="1" min="10" max="10" width="23.5"/>
    <col customWidth="1" min="11" max="12" width="17.75"/>
  </cols>
  <sheetData>
    <row r="1" ht="29.25" customHeight="1">
      <c r="A1" s="1"/>
      <c r="B1" s="1"/>
      <c r="C1" s="1"/>
      <c r="D1" s="1"/>
      <c r="E1" s="1"/>
      <c r="F1" s="1"/>
      <c r="G1" s="4" t="s">
        <v>1</v>
      </c>
      <c r="H1" s="1"/>
      <c r="I1" s="1"/>
      <c r="J1" s="1"/>
      <c r="K1" s="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8.75" customHeight="1">
      <c r="A2" s="1" t="s">
        <v>6</v>
      </c>
      <c r="B2" s="1" t="s">
        <v>7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16</v>
      </c>
      <c r="J2" s="1" t="s">
        <v>17</v>
      </c>
      <c r="K2" s="1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8.75" customHeight="1">
      <c r="A3" s="15" t="s">
        <v>21</v>
      </c>
      <c r="B3" s="15" t="s">
        <v>22</v>
      </c>
      <c r="C3" s="15" t="s">
        <v>24</v>
      </c>
      <c r="D3" s="15"/>
      <c r="E3" s="15"/>
      <c r="F3" s="15" t="s">
        <v>28</v>
      </c>
      <c r="G3" s="23"/>
      <c r="H3" s="15" t="s">
        <v>32</v>
      </c>
      <c r="I3" s="15" t="s">
        <v>34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ht="18.75" customHeight="1">
      <c r="A4" s="23"/>
      <c r="B4" s="15" t="s">
        <v>37</v>
      </c>
      <c r="C4" s="15" t="s">
        <v>39</v>
      </c>
      <c r="D4" s="15" t="s">
        <v>40</v>
      </c>
      <c r="E4" s="15"/>
      <c r="F4" s="15" t="s">
        <v>28</v>
      </c>
      <c r="G4" s="23"/>
      <c r="H4" s="15" t="s">
        <v>32</v>
      </c>
      <c r="I4" s="23"/>
      <c r="J4" s="15" t="s">
        <v>41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ht="18.75" customHeight="1">
      <c r="A5" s="23"/>
      <c r="B5" s="15" t="s">
        <v>44</v>
      </c>
      <c r="C5" s="15" t="s">
        <v>39</v>
      </c>
      <c r="D5" s="15" t="s">
        <v>47</v>
      </c>
      <c r="E5" s="15"/>
      <c r="F5" s="15" t="s">
        <v>48</v>
      </c>
      <c r="G5" s="15" t="s">
        <v>49</v>
      </c>
      <c r="H5" s="15" t="s">
        <v>50</v>
      </c>
      <c r="I5" s="23"/>
      <c r="J5" s="23"/>
      <c r="K5" s="15" t="s">
        <v>51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ht="18.75" customHeight="1">
      <c r="A6" s="23"/>
      <c r="B6" s="15" t="s">
        <v>52</v>
      </c>
      <c r="C6" s="15" t="s">
        <v>39</v>
      </c>
      <c r="D6" s="23"/>
      <c r="E6" s="15"/>
      <c r="F6" s="15" t="s">
        <v>48</v>
      </c>
      <c r="G6" s="23"/>
      <c r="H6" s="15" t="s">
        <v>50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ht="18.75" customHeight="1">
      <c r="A7" s="42"/>
      <c r="B7" s="45" t="s">
        <v>62</v>
      </c>
      <c r="C7" s="45" t="s">
        <v>39</v>
      </c>
      <c r="D7" s="45" t="s">
        <v>63</v>
      </c>
      <c r="E7" s="45"/>
      <c r="F7" s="45" t="s">
        <v>28</v>
      </c>
      <c r="G7" s="42"/>
      <c r="H7" s="45" t="s">
        <v>32</v>
      </c>
      <c r="I7" s="42"/>
      <c r="J7" s="42"/>
      <c r="K7" s="45" t="s">
        <v>64</v>
      </c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 ht="18.75" customHeight="1">
      <c r="A8" s="15" t="s">
        <v>69</v>
      </c>
      <c r="B8" s="15" t="s">
        <v>70</v>
      </c>
      <c r="C8" s="15" t="s">
        <v>39</v>
      </c>
      <c r="D8" s="15" t="s">
        <v>73</v>
      </c>
      <c r="E8" s="15"/>
      <c r="F8" s="15" t="s">
        <v>48</v>
      </c>
      <c r="G8" s="23"/>
      <c r="H8" s="15" t="s">
        <v>50</v>
      </c>
      <c r="I8" s="15" t="s">
        <v>75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ht="18.75" customHeight="1">
      <c r="A9" s="23"/>
      <c r="B9" s="15" t="s">
        <v>77</v>
      </c>
      <c r="C9" s="15" t="s">
        <v>24</v>
      </c>
      <c r="D9" s="15" t="s">
        <v>78</v>
      </c>
      <c r="E9" s="15"/>
      <c r="F9" s="15" t="s">
        <v>79</v>
      </c>
      <c r="G9" s="15" t="s">
        <v>80</v>
      </c>
      <c r="H9" s="15" t="s">
        <v>81</v>
      </c>
      <c r="I9" s="23"/>
      <c r="J9" s="23"/>
      <c r="K9" s="15" t="s">
        <v>82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ht="18.75" customHeight="1">
      <c r="A10" s="42"/>
      <c r="B10" s="45" t="s">
        <v>84</v>
      </c>
      <c r="C10" s="45" t="s">
        <v>24</v>
      </c>
      <c r="D10" s="45" t="s">
        <v>85</v>
      </c>
      <c r="E10" s="45"/>
      <c r="F10" s="45" t="s">
        <v>28</v>
      </c>
      <c r="G10" s="42"/>
      <c r="H10" s="45" t="s">
        <v>32</v>
      </c>
      <c r="I10" s="42"/>
      <c r="J10" s="42"/>
      <c r="K10" s="45" t="s">
        <v>87</v>
      </c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 ht="18.75" customHeight="1">
      <c r="A11" s="15" t="s">
        <v>91</v>
      </c>
      <c r="B11" s="15" t="s">
        <v>92</v>
      </c>
      <c r="C11" s="15" t="s">
        <v>39</v>
      </c>
      <c r="D11" s="15" t="s">
        <v>93</v>
      </c>
      <c r="E11" s="15"/>
      <c r="F11" s="15" t="s">
        <v>28</v>
      </c>
      <c r="G11" s="23"/>
      <c r="H11" s="15" t="s">
        <v>32</v>
      </c>
      <c r="I11" s="23"/>
      <c r="J11" s="23"/>
      <c r="K11" s="15" t="s">
        <v>94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ht="18.75" customHeight="1">
      <c r="A12" s="42"/>
      <c r="B12" s="45" t="s">
        <v>96</v>
      </c>
      <c r="C12" s="45" t="s">
        <v>24</v>
      </c>
      <c r="D12" s="45" t="s">
        <v>40</v>
      </c>
      <c r="E12" s="45"/>
      <c r="F12" s="45" t="s">
        <v>28</v>
      </c>
      <c r="G12" s="45" t="s">
        <v>97</v>
      </c>
      <c r="H12" s="45" t="s">
        <v>50</v>
      </c>
      <c r="I12" s="42"/>
      <c r="J12" s="42"/>
      <c r="K12" s="45" t="s">
        <v>99</v>
      </c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ht="18.75" customHeight="1">
      <c r="A13" s="15" t="s">
        <v>101</v>
      </c>
      <c r="B13" s="15" t="s">
        <v>103</v>
      </c>
      <c r="C13" s="15" t="s">
        <v>24</v>
      </c>
      <c r="D13" s="15" t="s">
        <v>34</v>
      </c>
      <c r="E13" s="15"/>
      <c r="F13" s="15" t="s">
        <v>48</v>
      </c>
      <c r="G13" s="15" t="s">
        <v>104</v>
      </c>
      <c r="H13" s="15" t="s">
        <v>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ht="18.75" customHeight="1">
      <c r="A14" s="23"/>
      <c r="B14" s="15" t="s">
        <v>106</v>
      </c>
      <c r="C14" s="15" t="s">
        <v>39</v>
      </c>
      <c r="D14" s="15" t="s">
        <v>107</v>
      </c>
      <c r="E14" s="15"/>
      <c r="F14" s="15" t="s">
        <v>28</v>
      </c>
      <c r="G14" s="15" t="s">
        <v>109</v>
      </c>
      <c r="H14" s="15" t="s">
        <v>32</v>
      </c>
      <c r="I14" s="15" t="s">
        <v>110</v>
      </c>
      <c r="J14" s="23"/>
      <c r="K14" s="15" t="s">
        <v>111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ht="18.75" customHeight="1">
      <c r="A15" s="42"/>
      <c r="B15" s="45" t="s">
        <v>114</v>
      </c>
      <c r="C15" s="45" t="s">
        <v>115</v>
      </c>
      <c r="D15" s="45" t="s">
        <v>116</v>
      </c>
      <c r="E15" s="45"/>
      <c r="F15" s="45" t="s">
        <v>28</v>
      </c>
      <c r="G15" s="45" t="s">
        <v>109</v>
      </c>
      <c r="H15" s="45" t="s">
        <v>32</v>
      </c>
      <c r="I15" s="45" t="s">
        <v>117</v>
      </c>
      <c r="J15" s="42"/>
      <c r="K15" s="45" t="s">
        <v>118</v>
      </c>
      <c r="L15" s="45" t="s">
        <v>119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 ht="18.75" customHeight="1">
      <c r="A16" s="15" t="s">
        <v>121</v>
      </c>
      <c r="B16" s="15" t="s">
        <v>122</v>
      </c>
      <c r="C16" s="15" t="s">
        <v>24</v>
      </c>
      <c r="D16" s="15" t="s">
        <v>123</v>
      </c>
      <c r="E16" s="15"/>
      <c r="F16" s="15" t="s">
        <v>79</v>
      </c>
      <c r="G16" s="23"/>
      <c r="H16" s="15" t="s">
        <v>50</v>
      </c>
      <c r="I16" s="23"/>
      <c r="J16" s="23"/>
      <c r="K16" s="15" t="s">
        <v>124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ht="18.75" customHeight="1">
      <c r="A17" s="23"/>
      <c r="B17" s="15" t="s">
        <v>127</v>
      </c>
      <c r="C17" s="15" t="s">
        <v>24</v>
      </c>
      <c r="D17" s="15" t="s">
        <v>129</v>
      </c>
      <c r="E17" s="15"/>
      <c r="F17" s="15" t="s">
        <v>79</v>
      </c>
      <c r="G17" s="23"/>
      <c r="H17" s="15" t="s">
        <v>81</v>
      </c>
      <c r="I17" s="23"/>
      <c r="J17" s="23"/>
      <c r="K17" s="15" t="s">
        <v>130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ht="18.75" customHeight="1">
      <c r="A18" s="23"/>
      <c r="B18" s="80" t="s">
        <v>132</v>
      </c>
      <c r="C18" s="15" t="s">
        <v>115</v>
      </c>
      <c r="D18" s="15" t="s">
        <v>133</v>
      </c>
      <c r="E18" s="15"/>
      <c r="F18" s="15" t="s">
        <v>79</v>
      </c>
      <c r="G18" s="23"/>
      <c r="H18" s="15" t="s">
        <v>50</v>
      </c>
      <c r="I18" s="82" t="s">
        <v>136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ht="18.75" customHeight="1">
      <c r="A19" s="23"/>
      <c r="B19" s="83" t="s">
        <v>139</v>
      </c>
      <c r="C19" s="15" t="s">
        <v>115</v>
      </c>
      <c r="D19" s="15" t="s">
        <v>140</v>
      </c>
      <c r="E19" s="15"/>
      <c r="F19" s="15" t="s">
        <v>79</v>
      </c>
      <c r="G19" s="23"/>
      <c r="H19" s="15" t="s">
        <v>50</v>
      </c>
      <c r="I19" s="82" t="s">
        <v>136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ht="18.75" customHeight="1">
      <c r="A20" s="42"/>
      <c r="B20" s="87" t="s">
        <v>145</v>
      </c>
      <c r="C20" s="45" t="s">
        <v>115</v>
      </c>
      <c r="D20" s="45" t="s">
        <v>140</v>
      </c>
      <c r="E20" s="45"/>
      <c r="F20" s="45" t="s">
        <v>79</v>
      </c>
      <c r="G20" s="42"/>
      <c r="H20" s="45" t="s">
        <v>50</v>
      </c>
      <c r="I20" s="90" t="s">
        <v>136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ht="18.75" customHeight="1">
      <c r="A21" s="15" t="s">
        <v>152</v>
      </c>
      <c r="B21" s="15" t="s">
        <v>153</v>
      </c>
      <c r="C21" s="15" t="s">
        <v>39</v>
      </c>
      <c r="D21" s="23"/>
      <c r="E21" s="15"/>
      <c r="F21" s="15" t="s">
        <v>28</v>
      </c>
      <c r="G21" s="23"/>
      <c r="H21" s="15" t="s">
        <v>50</v>
      </c>
      <c r="I21" s="23"/>
      <c r="J21" s="23"/>
      <c r="K21" s="15" t="s">
        <v>154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ht="18.75" customHeight="1">
      <c r="A22" s="23"/>
      <c r="B22" s="15" t="s">
        <v>156</v>
      </c>
      <c r="C22" s="15" t="s">
        <v>24</v>
      </c>
      <c r="D22" s="23"/>
      <c r="E22" s="15"/>
      <c r="F22" s="15" t="s">
        <v>79</v>
      </c>
      <c r="G22" s="23"/>
      <c r="H22" s="15" t="s">
        <v>50</v>
      </c>
      <c r="I22" s="23"/>
      <c r="J22" s="23"/>
      <c r="K22" s="15" t="s">
        <v>158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ht="18.75" customHeight="1">
      <c r="A23" s="23"/>
      <c r="B23" s="15" t="s">
        <v>161</v>
      </c>
      <c r="C23" s="15" t="s">
        <v>39</v>
      </c>
      <c r="D23" s="23"/>
      <c r="E23" s="15"/>
      <c r="F23" s="15" t="s">
        <v>79</v>
      </c>
      <c r="G23" s="23"/>
      <c r="H23" s="15" t="s">
        <v>81</v>
      </c>
      <c r="I23" s="23"/>
      <c r="J23" s="15"/>
      <c r="K23" s="15" t="s">
        <v>162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 ht="63.0" customHeight="1">
      <c r="A24" s="42"/>
      <c r="B24" s="45" t="s">
        <v>165</v>
      </c>
      <c r="C24" s="45" t="s">
        <v>39</v>
      </c>
      <c r="D24" s="45" t="s">
        <v>167</v>
      </c>
      <c r="E24" s="45"/>
      <c r="F24" s="45" t="s">
        <v>28</v>
      </c>
      <c r="G24" s="45" t="s">
        <v>170</v>
      </c>
      <c r="H24" s="45" t="s">
        <v>50</v>
      </c>
      <c r="I24" s="42"/>
      <c r="J24" s="42"/>
      <c r="K24" s="45" t="s">
        <v>171</v>
      </c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 ht="69.0" customHeight="1">
      <c r="A25" s="96" t="s">
        <v>173</v>
      </c>
      <c r="B25" s="96" t="s">
        <v>175</v>
      </c>
      <c r="C25" s="15" t="s">
        <v>24</v>
      </c>
      <c r="D25" s="96" t="s">
        <v>177</v>
      </c>
      <c r="E25" s="15"/>
      <c r="F25" s="97" t="s">
        <v>28</v>
      </c>
      <c r="G25" s="82" t="s">
        <v>87</v>
      </c>
      <c r="H25" s="15" t="s">
        <v>32</v>
      </c>
      <c r="I25" s="82" t="s">
        <v>180</v>
      </c>
      <c r="J25" s="96" t="s">
        <v>181</v>
      </c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</row>
    <row r="26" ht="68.25" customHeight="1">
      <c r="A26" s="100"/>
      <c r="B26" s="101" t="s">
        <v>183</v>
      </c>
      <c r="C26" s="45" t="s">
        <v>39</v>
      </c>
      <c r="D26" s="101" t="s">
        <v>185</v>
      </c>
      <c r="E26" s="45"/>
      <c r="F26" s="45" t="s">
        <v>79</v>
      </c>
      <c r="G26" s="90" t="s">
        <v>87</v>
      </c>
      <c r="H26" s="45" t="s">
        <v>32</v>
      </c>
      <c r="I26" s="90" t="s">
        <v>136</v>
      </c>
      <c r="J26" s="45" t="s">
        <v>188</v>
      </c>
      <c r="K26" s="101" t="s">
        <v>189</v>
      </c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 ht="75.75" customHeight="1">
      <c r="A27" s="96" t="s">
        <v>193</v>
      </c>
      <c r="B27" s="96" t="s">
        <v>194</v>
      </c>
      <c r="C27" s="15" t="s">
        <v>195</v>
      </c>
      <c r="D27" s="96" t="s">
        <v>196</v>
      </c>
      <c r="E27" s="15"/>
      <c r="F27" s="97" t="s">
        <v>79</v>
      </c>
      <c r="G27" s="99"/>
      <c r="H27" s="15" t="s">
        <v>81</v>
      </c>
      <c r="I27" s="99"/>
      <c r="J27" s="99"/>
      <c r="K27" s="96" t="s">
        <v>198</v>
      </c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</row>
    <row r="28" ht="72.0" customHeight="1">
      <c r="A28" s="99"/>
      <c r="B28" s="96" t="s">
        <v>200</v>
      </c>
      <c r="C28" s="15" t="s">
        <v>39</v>
      </c>
      <c r="D28" s="96" t="s">
        <v>201</v>
      </c>
      <c r="E28" s="15"/>
      <c r="F28" s="15" t="s">
        <v>28</v>
      </c>
      <c r="G28" s="96" t="s">
        <v>203</v>
      </c>
      <c r="H28" s="15" t="s">
        <v>50</v>
      </c>
      <c r="I28" s="99"/>
      <c r="J28" s="96" t="s">
        <v>205</v>
      </c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</row>
    <row r="29" ht="87.0" customHeight="1">
      <c r="A29" s="99"/>
      <c r="B29" s="96" t="s">
        <v>207</v>
      </c>
      <c r="C29" s="15" t="s">
        <v>39</v>
      </c>
      <c r="D29" s="96" t="s">
        <v>208</v>
      </c>
      <c r="E29" s="15"/>
      <c r="F29" s="15" t="s">
        <v>28</v>
      </c>
      <c r="G29" s="96" t="s">
        <v>87</v>
      </c>
      <c r="H29" s="15" t="s">
        <v>50</v>
      </c>
      <c r="I29" s="99"/>
      <c r="J29" s="96" t="s">
        <v>210</v>
      </c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</row>
    <row r="30" ht="75.0" customHeight="1">
      <c r="A30" s="96" t="s">
        <v>213</v>
      </c>
      <c r="B30" s="96" t="s">
        <v>215</v>
      </c>
      <c r="C30" s="15" t="s">
        <v>39</v>
      </c>
      <c r="D30" s="15" t="s">
        <v>216</v>
      </c>
      <c r="E30" s="15"/>
      <c r="F30" s="15" t="s">
        <v>48</v>
      </c>
      <c r="G30" s="15" t="s">
        <v>217</v>
      </c>
      <c r="H30" s="15" t="s">
        <v>32</v>
      </c>
      <c r="I30" s="15" t="s">
        <v>219</v>
      </c>
      <c r="J30" s="15" t="s">
        <v>220</v>
      </c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</row>
    <row r="31" ht="75.0" customHeight="1">
      <c r="A31" s="99"/>
      <c r="B31" s="96" t="s">
        <v>225</v>
      </c>
      <c r="C31" s="15" t="s">
        <v>39</v>
      </c>
      <c r="D31" s="15" t="s">
        <v>226</v>
      </c>
      <c r="E31" s="15"/>
      <c r="F31" s="15" t="s">
        <v>28</v>
      </c>
      <c r="G31" s="15" t="s">
        <v>227</v>
      </c>
      <c r="H31" s="15" t="s">
        <v>32</v>
      </c>
      <c r="I31" s="15" t="s">
        <v>229</v>
      </c>
      <c r="J31" s="15" t="s">
        <v>230</v>
      </c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</row>
    <row r="32" ht="75.0" customHeight="1">
      <c r="A32" s="99"/>
      <c r="B32" s="96" t="s">
        <v>233</v>
      </c>
      <c r="C32" s="15" t="s">
        <v>39</v>
      </c>
      <c r="D32" s="15" t="s">
        <v>234</v>
      </c>
      <c r="E32" s="15"/>
      <c r="F32" s="15" t="s">
        <v>48</v>
      </c>
      <c r="G32" s="15" t="s">
        <v>235</v>
      </c>
      <c r="H32" s="15" t="s">
        <v>32</v>
      </c>
      <c r="I32" s="15" t="s">
        <v>236</v>
      </c>
      <c r="J32" s="15" t="s">
        <v>237</v>
      </c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</row>
    <row r="33" ht="87.0" customHeight="1">
      <c r="A33" s="96" t="s">
        <v>240</v>
      </c>
      <c r="B33" s="96" t="s">
        <v>241</v>
      </c>
      <c r="C33" s="15" t="s">
        <v>39</v>
      </c>
      <c r="D33" s="15" t="s">
        <v>243</v>
      </c>
      <c r="E33" s="15" t="s">
        <v>28</v>
      </c>
      <c r="F33" s="15" t="s">
        <v>48</v>
      </c>
      <c r="G33" s="15" t="s">
        <v>244</v>
      </c>
      <c r="H33" s="15" t="s">
        <v>50</v>
      </c>
      <c r="I33" s="15" t="s">
        <v>245</v>
      </c>
      <c r="J33" s="15" t="s">
        <v>246</v>
      </c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</row>
    <row r="34" ht="87.0" customHeight="1">
      <c r="A34" s="106">
        <v>45839.0</v>
      </c>
      <c r="B34" s="96" t="s">
        <v>248</v>
      </c>
      <c r="C34" s="15" t="s">
        <v>195</v>
      </c>
      <c r="D34" s="107" t="s">
        <v>250</v>
      </c>
      <c r="E34" s="107" t="s">
        <v>48</v>
      </c>
      <c r="F34" s="107" t="s">
        <v>28</v>
      </c>
      <c r="G34" s="107" t="s">
        <v>252</v>
      </c>
      <c r="H34" s="107" t="s">
        <v>32</v>
      </c>
      <c r="I34" s="107" t="s">
        <v>253</v>
      </c>
      <c r="J34" s="107" t="s">
        <v>254</v>
      </c>
      <c r="K34" s="108" t="s">
        <v>255</v>
      </c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</row>
    <row r="35" ht="87.0" customHeight="1">
      <c r="A35" s="109">
        <v>46190.0</v>
      </c>
      <c r="B35" s="96" t="s">
        <v>257</v>
      </c>
      <c r="C35" s="15"/>
      <c r="D35" s="110" t="s">
        <v>260</v>
      </c>
      <c r="E35" s="15" t="s">
        <v>48</v>
      </c>
      <c r="F35" s="15" t="s">
        <v>48</v>
      </c>
      <c r="G35" s="15"/>
      <c r="H35" s="15" t="s">
        <v>50</v>
      </c>
      <c r="I35" s="15" t="s">
        <v>261</v>
      </c>
      <c r="J35" s="15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</row>
    <row r="36" ht="87.0" customHeight="1">
      <c r="A36" s="109">
        <v>46190.0</v>
      </c>
      <c r="B36" s="96" t="s">
        <v>263</v>
      </c>
      <c r="C36" s="15" t="s">
        <v>39</v>
      </c>
      <c r="D36" s="110" t="s">
        <v>266</v>
      </c>
      <c r="E36" s="15" t="s">
        <v>28</v>
      </c>
      <c r="F36" s="15" t="s">
        <v>48</v>
      </c>
      <c r="G36" s="15"/>
      <c r="H36" s="15" t="s">
        <v>32</v>
      </c>
      <c r="I36" s="15" t="s">
        <v>268</v>
      </c>
      <c r="J36" s="111" t="s">
        <v>269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</row>
    <row r="37" ht="87.0" customHeight="1">
      <c r="A37" s="109">
        <v>46185.0</v>
      </c>
      <c r="B37" s="96" t="s">
        <v>271</v>
      </c>
      <c r="C37" s="15" t="s">
        <v>24</v>
      </c>
      <c r="D37" s="111" t="s">
        <v>273</v>
      </c>
      <c r="E37" s="15" t="s">
        <v>79</v>
      </c>
      <c r="F37" s="15" t="s">
        <v>79</v>
      </c>
      <c r="G37" s="15"/>
      <c r="H37" s="15" t="s">
        <v>81</v>
      </c>
      <c r="I37" s="15"/>
      <c r="J37" s="15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</row>
    <row r="38" ht="87.0" customHeight="1">
      <c r="A38" s="109">
        <v>46190.0</v>
      </c>
      <c r="B38" s="96" t="s">
        <v>276</v>
      </c>
      <c r="C38" s="15" t="s">
        <v>24</v>
      </c>
      <c r="D38" s="15" t="s">
        <v>278</v>
      </c>
      <c r="E38" s="15" t="s">
        <v>48</v>
      </c>
      <c r="F38" s="15" t="s">
        <v>28</v>
      </c>
      <c r="G38" s="15" t="s">
        <v>87</v>
      </c>
      <c r="H38" s="15" t="s">
        <v>50</v>
      </c>
      <c r="I38" s="15" t="s">
        <v>40</v>
      </c>
      <c r="J38" s="15" t="s">
        <v>280</v>
      </c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</row>
    <row r="39" ht="102.75" customHeight="1">
      <c r="A39" s="109">
        <v>46185.0</v>
      </c>
      <c r="B39" s="96" t="s">
        <v>283</v>
      </c>
      <c r="C39" s="15" t="s">
        <v>24</v>
      </c>
      <c r="D39" s="15" t="s">
        <v>284</v>
      </c>
      <c r="E39" s="15" t="s">
        <v>48</v>
      </c>
      <c r="F39" s="15" t="s">
        <v>48</v>
      </c>
      <c r="G39" s="15" t="s">
        <v>285</v>
      </c>
      <c r="H39" s="15" t="s">
        <v>32</v>
      </c>
      <c r="I39" s="15" t="s">
        <v>287</v>
      </c>
      <c r="J39" s="15" t="s">
        <v>288</v>
      </c>
      <c r="K39" s="82" t="s">
        <v>289</v>
      </c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</row>
    <row r="40" ht="87.0" customHeight="1">
      <c r="A40" s="109"/>
      <c r="B40" s="96"/>
      <c r="C40" s="15"/>
      <c r="D40" s="15"/>
      <c r="E40" s="15"/>
      <c r="F40" s="15"/>
      <c r="G40" s="15"/>
      <c r="H40" s="15"/>
      <c r="I40" s="15"/>
      <c r="J40" s="15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</row>
    <row r="41" ht="87.0" customHeight="1">
      <c r="A41" s="109"/>
      <c r="B41" s="96"/>
      <c r="C41" s="15"/>
      <c r="D41" s="15"/>
      <c r="E41" s="15"/>
      <c r="F41" s="15"/>
      <c r="G41" s="15"/>
      <c r="H41" s="15"/>
      <c r="I41" s="15"/>
      <c r="J41" s="15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</row>
    <row r="42" ht="87.0" customHeight="1">
      <c r="A42" s="109"/>
      <c r="B42" s="96"/>
      <c r="C42" s="15"/>
      <c r="D42" s="15"/>
      <c r="E42" s="15"/>
      <c r="F42" s="15"/>
      <c r="G42" s="15"/>
      <c r="H42" s="15"/>
      <c r="I42" s="15"/>
      <c r="J42" s="15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</row>
    <row r="43" ht="87.0" customHeight="1">
      <c r="A43" s="109"/>
      <c r="B43" s="96"/>
      <c r="C43" s="15"/>
      <c r="D43" s="15"/>
      <c r="E43" s="15"/>
      <c r="F43" s="15"/>
      <c r="G43" s="15"/>
      <c r="H43" s="15"/>
      <c r="I43" s="15"/>
      <c r="J43" s="15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</row>
    <row r="44" ht="87.0" customHeight="1">
      <c r="A44" s="109"/>
      <c r="B44" s="96"/>
      <c r="C44" s="15"/>
      <c r="D44" s="15"/>
      <c r="E44" s="15"/>
      <c r="F44" s="15"/>
      <c r="G44" s="15"/>
      <c r="H44" s="15"/>
      <c r="I44" s="15"/>
      <c r="J44" s="15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</row>
    <row r="45" ht="87.0" customHeight="1">
      <c r="A45" s="109"/>
      <c r="B45" s="96"/>
      <c r="C45" s="15"/>
      <c r="D45" s="15"/>
      <c r="E45" s="15"/>
      <c r="F45" s="15"/>
      <c r="G45" s="15"/>
      <c r="H45" s="15"/>
      <c r="I45" s="15"/>
      <c r="J45" s="15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</row>
    <row r="46" ht="18.75" customHeight="1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</row>
    <row r="47" ht="18.75" customHeight="1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</row>
    <row r="48" ht="18.75" customHeight="1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</row>
    <row r="49" ht="18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</row>
    <row r="50" ht="18.75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</row>
    <row r="51" ht="18.75" customHeight="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</row>
    <row r="52" ht="18.75" customHeight="1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</row>
    <row r="53" ht="18.75" customHeight="1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</row>
    <row r="54" ht="18.75" customHeight="1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</row>
    <row r="55" ht="18.75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</row>
    <row r="56" ht="18.75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</row>
    <row r="57" ht="18.75" customHeight="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</row>
    <row r="58" ht="18.75" customHeight="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</row>
    <row r="59" ht="18.75" customHeight="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</row>
    <row r="60" ht="18.75" customHeight="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</row>
    <row r="61" ht="18.75" customHeight="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</row>
    <row r="62" ht="18.75" customHeight="1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</row>
    <row r="63" ht="18.75" customHeight="1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</row>
    <row r="64" ht="18.75" customHeight="1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</row>
    <row r="65" ht="18.75" customHeight="1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</row>
    <row r="66" ht="18.75" customHeight="1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</row>
    <row r="67" ht="18.75" customHeight="1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</row>
    <row r="68" ht="18.75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</row>
    <row r="69" ht="18.75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</row>
    <row r="70" ht="18.75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</row>
    <row r="71" ht="18.75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</row>
    <row r="72" ht="18.7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</row>
    <row r="73" ht="18.7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</row>
    <row r="74" ht="18.7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</row>
    <row r="75" ht="18.7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</row>
    <row r="76" ht="18.7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</row>
    <row r="77" ht="18.7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</row>
    <row r="78" ht="18.75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</row>
    <row r="79" ht="18.75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</row>
    <row r="80" ht="18.75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</row>
    <row r="81" ht="18.75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</row>
    <row r="82" ht="18.75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</row>
    <row r="83" ht="18.7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</row>
    <row r="84" ht="18.7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</row>
    <row r="85" ht="18.75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</row>
    <row r="86" ht="18.75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</row>
    <row r="87" ht="18.75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</row>
    <row r="88" ht="18.75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</row>
    <row r="89" ht="18.7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</row>
    <row r="90" ht="18.75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</row>
    <row r="91" ht="18.75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</row>
    <row r="92" ht="18.75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</row>
    <row r="93" ht="18.75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</row>
    <row r="94" ht="18.75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</row>
    <row r="95" ht="18.75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</row>
    <row r="96" ht="18.7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</row>
    <row r="97" ht="18.7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</row>
    <row r="98" ht="18.7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</row>
    <row r="99" ht="18.7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</row>
    <row r="100" ht="18.7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</row>
    <row r="101" ht="18.7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</row>
    <row r="102" ht="18.7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</row>
    <row r="103" ht="18.7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</row>
    <row r="104" ht="18.7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</row>
    <row r="105" ht="18.7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</row>
    <row r="106" ht="18.7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</row>
    <row r="107" ht="18.7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</row>
    <row r="108" ht="18.7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</row>
    <row r="109" ht="18.7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</row>
    <row r="110" ht="18.7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</row>
    <row r="111" ht="18.7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</row>
    <row r="112" ht="18.7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</row>
    <row r="113" ht="18.7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</row>
    <row r="114" ht="18.7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</row>
    <row r="115" ht="18.7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</row>
    <row r="116" ht="18.7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</row>
    <row r="117" ht="18.7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</row>
    <row r="118" ht="18.7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</row>
    <row r="119" ht="18.7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</row>
    <row r="120" ht="18.7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</row>
    <row r="121" ht="18.7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</row>
    <row r="122" ht="18.7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</row>
    <row r="123" ht="18.7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</row>
    <row r="124" ht="18.7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</row>
    <row r="125" ht="18.7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</row>
    <row r="126" ht="18.7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</row>
    <row r="127" ht="18.7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</row>
    <row r="128" ht="18.7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</row>
    <row r="129" ht="18.7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</row>
    <row r="130" ht="18.7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</row>
    <row r="131" ht="18.7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</row>
    <row r="132" ht="18.7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</row>
    <row r="133" ht="18.7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</row>
    <row r="134" ht="18.7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</row>
    <row r="135" ht="18.7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</row>
    <row r="136" ht="18.7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</row>
    <row r="137" ht="18.7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</row>
    <row r="138" ht="18.7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</row>
    <row r="139" ht="18.7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</row>
    <row r="140" ht="18.7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</row>
    <row r="141" ht="18.7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</row>
    <row r="142" ht="18.7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</row>
    <row r="143" ht="18.7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</row>
    <row r="144" ht="18.7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</row>
    <row r="145" ht="18.7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</row>
    <row r="146" ht="18.7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</row>
    <row r="147" ht="18.7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</row>
    <row r="148" ht="18.7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</row>
    <row r="149" ht="18.7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</row>
    <row r="150" ht="18.7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</row>
    <row r="151" ht="18.7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</row>
    <row r="152" ht="18.7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</row>
    <row r="153" ht="18.7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</row>
    <row r="154" ht="18.7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</row>
    <row r="155" ht="18.7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</row>
    <row r="156" ht="18.7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</row>
    <row r="157" ht="18.7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</row>
    <row r="158" ht="18.7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</row>
    <row r="159" ht="18.7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</row>
    <row r="160" ht="18.7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</row>
    <row r="161" ht="18.7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</row>
    <row r="162" ht="18.7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</row>
    <row r="163" ht="18.7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</row>
    <row r="164" ht="18.7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</row>
    <row r="165" ht="18.7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</row>
    <row r="166" ht="18.7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</row>
    <row r="167" ht="18.7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</row>
    <row r="168" ht="18.7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</row>
    <row r="169" ht="18.7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</row>
    <row r="170" ht="18.7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</row>
    <row r="171" ht="18.7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</row>
    <row r="172" ht="18.7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</row>
    <row r="173" ht="18.7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</row>
    <row r="174" ht="18.7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</row>
    <row r="175" ht="18.7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</row>
    <row r="176" ht="18.7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</row>
    <row r="177" ht="18.7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</row>
    <row r="178" ht="18.7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</row>
    <row r="179" ht="18.7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</row>
    <row r="180" ht="18.7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</row>
    <row r="181" ht="18.7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</row>
    <row r="182" ht="18.7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</row>
    <row r="183" ht="18.7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</row>
    <row r="184" ht="18.7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</row>
    <row r="185" ht="18.7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</row>
    <row r="186" ht="18.7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</row>
    <row r="187" ht="18.7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</row>
    <row r="188" ht="18.7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</row>
    <row r="189" ht="18.7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</row>
    <row r="190" ht="18.7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</row>
    <row r="191" ht="18.7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</row>
    <row r="192" ht="18.7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</row>
    <row r="193" ht="18.7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</row>
    <row r="194" ht="18.7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</row>
    <row r="195" ht="18.7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</row>
    <row r="196" ht="18.7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</row>
    <row r="197" ht="18.7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</row>
    <row r="198" ht="18.7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</row>
    <row r="199" ht="18.7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</row>
    <row r="200" ht="18.7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</row>
    <row r="201" ht="18.7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</row>
    <row r="202" ht="18.7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</row>
    <row r="203" ht="18.7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</row>
    <row r="204" ht="18.7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</row>
    <row r="205" ht="18.7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</row>
    <row r="206" ht="18.7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</row>
    <row r="207" ht="18.7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</row>
    <row r="208" ht="18.7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</row>
    <row r="209" ht="18.7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</row>
    <row r="210" ht="18.7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</row>
    <row r="211" ht="18.7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</row>
    <row r="212" ht="18.7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</row>
    <row r="213" ht="18.7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</row>
    <row r="214" ht="18.7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</row>
    <row r="215" ht="18.7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</row>
    <row r="216" ht="18.7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</row>
    <row r="217" ht="18.7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</row>
    <row r="218" ht="18.7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</row>
    <row r="219" ht="18.7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</row>
    <row r="220" ht="18.7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</row>
    <row r="221" ht="18.7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</row>
    <row r="222" ht="18.7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</row>
    <row r="223" ht="18.7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</row>
    <row r="224" ht="18.7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</row>
    <row r="225" ht="18.7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</row>
    <row r="226" ht="18.7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</row>
    <row r="227" ht="18.7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</row>
    <row r="228" ht="18.7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</row>
    <row r="229" ht="18.7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</row>
    <row r="230" ht="18.7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</row>
    <row r="231" ht="18.7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</row>
    <row r="232" ht="18.7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</row>
    <row r="233" ht="18.7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</row>
    <row r="234" ht="18.7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</row>
    <row r="235" ht="18.7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</row>
    <row r="236" ht="18.7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</row>
    <row r="237" ht="18.7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</row>
    <row r="238" ht="18.7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</row>
    <row r="239" ht="18.7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</row>
    <row r="240" ht="18.7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</row>
    <row r="241" ht="18.7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</row>
    <row r="242" ht="18.7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</row>
    <row r="243" ht="18.7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</row>
    <row r="244" ht="18.7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</row>
    <row r="245" ht="18.7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</row>
    <row r="246" ht="18.7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</row>
    <row r="247" ht="18.7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</row>
    <row r="248" ht="18.7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</row>
    <row r="249" ht="18.7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</row>
    <row r="250" ht="18.7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</row>
    <row r="251" ht="18.7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</row>
    <row r="252" ht="18.7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</row>
    <row r="253" ht="18.7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</row>
    <row r="254" ht="18.7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</row>
    <row r="255" ht="18.7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</row>
    <row r="256" ht="18.7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</row>
    <row r="257" ht="18.7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</row>
    <row r="258" ht="18.7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</row>
    <row r="259" ht="18.7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</row>
    <row r="260" ht="18.7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</row>
    <row r="261" ht="18.7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</row>
    <row r="262" ht="18.7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</row>
    <row r="263" ht="18.7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</row>
    <row r="264" ht="18.7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</row>
    <row r="265" ht="18.7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</row>
    <row r="266" ht="18.7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</row>
    <row r="267" ht="18.7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</row>
    <row r="268" ht="18.75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</row>
    <row r="269" ht="18.75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</row>
    <row r="270" ht="18.75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</row>
    <row r="271" ht="18.75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</row>
    <row r="272" ht="18.75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</row>
    <row r="273" ht="18.75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</row>
    <row r="274" ht="18.75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</row>
    <row r="275" ht="18.75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</row>
    <row r="276" ht="18.75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</row>
    <row r="277" ht="18.75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</row>
    <row r="278" ht="18.75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</row>
    <row r="279" ht="18.75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</row>
    <row r="280" ht="18.75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</row>
    <row r="281" ht="18.75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</row>
    <row r="282" ht="18.75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</row>
    <row r="283" ht="18.75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</row>
    <row r="284" ht="18.75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</row>
    <row r="285" ht="18.75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</row>
    <row r="286" ht="18.75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</row>
    <row r="287" ht="18.75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</row>
    <row r="288" ht="18.75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</row>
    <row r="289" ht="18.75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</row>
    <row r="290" ht="18.75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</row>
    <row r="291" ht="18.75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</row>
    <row r="292" ht="18.75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</row>
    <row r="293" ht="18.75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</row>
    <row r="294" ht="18.75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</row>
    <row r="295" ht="18.75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</row>
    <row r="296" ht="18.75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</row>
    <row r="297" ht="18.75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</row>
    <row r="298" ht="18.75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</row>
    <row r="299" ht="18.75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</row>
    <row r="300" ht="18.75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</row>
    <row r="301" ht="18.75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</row>
    <row r="302" ht="18.75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</row>
    <row r="303" ht="18.75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</row>
    <row r="304" ht="18.75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</row>
    <row r="305" ht="18.75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</row>
    <row r="306" ht="18.75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</row>
    <row r="307" ht="18.75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</row>
    <row r="308" ht="18.75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</row>
    <row r="309" ht="18.75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</row>
    <row r="310" ht="18.75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</row>
    <row r="311" ht="18.75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</row>
    <row r="312" ht="18.75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</row>
    <row r="313" ht="18.75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</row>
    <row r="314" ht="18.75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</row>
    <row r="315" ht="18.75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</row>
    <row r="316" ht="18.75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</row>
    <row r="317" ht="18.75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</row>
    <row r="318" ht="18.75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</row>
    <row r="319" ht="18.75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</row>
    <row r="320" ht="18.75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</row>
    <row r="321" ht="18.75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</row>
    <row r="322" ht="18.75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</row>
    <row r="323" ht="18.75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</row>
    <row r="324" ht="18.75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</row>
    <row r="325" ht="18.75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</row>
    <row r="326" ht="18.75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</row>
    <row r="327" ht="18.75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</row>
    <row r="328" ht="18.75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</row>
    <row r="329" ht="18.75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</row>
    <row r="330" ht="18.75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</row>
    <row r="331" ht="18.75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</row>
    <row r="332" ht="18.75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</row>
    <row r="333" ht="18.75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</row>
    <row r="334" ht="18.75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</row>
    <row r="335" ht="18.75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</row>
    <row r="336" ht="18.75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</row>
    <row r="337" ht="18.75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</row>
    <row r="338" ht="18.75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</row>
    <row r="339" ht="18.75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</row>
    <row r="340" ht="18.75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</row>
    <row r="341" ht="18.75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</row>
    <row r="342" ht="18.75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</row>
    <row r="343" ht="18.75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</row>
    <row r="344" ht="18.75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</row>
    <row r="345" ht="18.75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</row>
    <row r="346" ht="18.75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</row>
    <row r="347" ht="18.75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</row>
    <row r="348" ht="18.75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</row>
    <row r="349" ht="18.7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</row>
    <row r="350" ht="18.75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</row>
    <row r="351" ht="18.75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</row>
    <row r="352" ht="18.75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</row>
    <row r="353" ht="18.75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</row>
    <row r="354" ht="18.75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</row>
    <row r="355" ht="18.75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</row>
    <row r="356" ht="18.75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</row>
    <row r="357" ht="18.75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</row>
    <row r="358" ht="18.75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</row>
    <row r="359" ht="18.75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</row>
    <row r="360" ht="18.75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</row>
    <row r="361" ht="18.75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</row>
    <row r="362" ht="18.75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</row>
    <row r="363" ht="18.75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</row>
    <row r="364" ht="18.75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</row>
    <row r="365" ht="18.75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</row>
    <row r="366" ht="18.75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</row>
    <row r="367" ht="18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</row>
    <row r="368" ht="18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</row>
    <row r="369" ht="18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</row>
    <row r="370" ht="18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</row>
    <row r="371" ht="18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</row>
    <row r="372" ht="18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</row>
    <row r="373" ht="18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</row>
    <row r="374" ht="18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</row>
    <row r="375" ht="18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</row>
    <row r="376" ht="18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</row>
    <row r="377" ht="18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</row>
    <row r="378" ht="18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</row>
    <row r="379" ht="18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</row>
    <row r="380" ht="18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</row>
    <row r="381" ht="18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</row>
    <row r="382" ht="18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</row>
    <row r="383" ht="18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</row>
    <row r="384" ht="18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</row>
    <row r="385" ht="18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</row>
    <row r="386" ht="18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</row>
    <row r="387" ht="18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</row>
    <row r="388" ht="18.75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</row>
    <row r="389" ht="18.75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</row>
    <row r="390" ht="18.75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</row>
    <row r="391" ht="18.75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</row>
    <row r="392" ht="18.75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</row>
    <row r="393" ht="18.75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</row>
    <row r="394" ht="18.75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</row>
    <row r="395" ht="18.75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</row>
    <row r="396" ht="18.75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</row>
    <row r="397" ht="18.75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</row>
    <row r="398" ht="18.75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</row>
    <row r="399" ht="18.75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</row>
    <row r="400" ht="18.75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</row>
    <row r="401" ht="18.75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</row>
    <row r="402" ht="18.75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</row>
    <row r="403" ht="18.75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</row>
    <row r="404" ht="18.75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</row>
    <row r="405" ht="18.75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</row>
    <row r="406" ht="18.75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</row>
    <row r="407" ht="18.75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</row>
    <row r="408" ht="18.75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</row>
    <row r="409" ht="18.75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</row>
    <row r="410" ht="18.75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</row>
    <row r="411" ht="18.75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</row>
    <row r="412" ht="18.75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</row>
    <row r="413" ht="18.75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</row>
    <row r="414" ht="18.75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</row>
    <row r="415" ht="18.75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</row>
    <row r="416" ht="18.75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</row>
    <row r="417" ht="18.75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</row>
    <row r="418" ht="18.75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</row>
    <row r="419" ht="18.75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</row>
    <row r="420" ht="18.75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</row>
    <row r="421" ht="18.75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</row>
    <row r="422" ht="18.75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</row>
    <row r="423" ht="18.75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</row>
    <row r="424" ht="18.75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</row>
    <row r="425" ht="18.75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</row>
    <row r="426" ht="18.75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</row>
    <row r="427" ht="18.75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</row>
    <row r="428" ht="18.75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</row>
    <row r="429" ht="18.75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</row>
    <row r="430" ht="18.75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</row>
    <row r="431" ht="18.75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</row>
    <row r="432" ht="18.75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</row>
    <row r="433" ht="18.75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</row>
    <row r="434" ht="18.75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</row>
    <row r="435" ht="18.75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</row>
    <row r="436" ht="18.75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</row>
    <row r="437" ht="18.75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</row>
    <row r="438" ht="18.75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</row>
    <row r="439" ht="18.75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</row>
    <row r="440" ht="18.75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</row>
    <row r="441" ht="18.75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</row>
    <row r="442" ht="18.75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</row>
    <row r="443" ht="18.75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</row>
    <row r="444" ht="18.75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</row>
    <row r="445" ht="18.75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</row>
    <row r="446" ht="18.75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</row>
    <row r="447" ht="18.75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</row>
    <row r="448" ht="18.75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</row>
    <row r="449" ht="18.75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</row>
    <row r="450" ht="18.75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</row>
    <row r="451" ht="18.75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</row>
    <row r="452" ht="18.75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</row>
    <row r="453" ht="18.75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</row>
    <row r="454" ht="18.75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</row>
    <row r="455" ht="18.75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</row>
    <row r="456" ht="18.75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</row>
    <row r="457" ht="18.75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</row>
    <row r="458" ht="18.75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</row>
    <row r="459" ht="18.75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</row>
    <row r="460" ht="18.75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</row>
    <row r="461" ht="18.75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</row>
    <row r="462" ht="18.75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</row>
    <row r="463" ht="18.75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</row>
    <row r="464" ht="18.75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</row>
    <row r="465" ht="18.75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</row>
    <row r="466" ht="18.75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</row>
    <row r="467" ht="18.75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</row>
    <row r="468" ht="18.75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</row>
    <row r="469" ht="18.75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</row>
    <row r="470" ht="18.75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</row>
    <row r="471" ht="18.75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</row>
    <row r="472" ht="18.75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</row>
    <row r="473" ht="18.75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</row>
    <row r="474" ht="18.75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</row>
    <row r="475" ht="18.75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</row>
    <row r="476" ht="18.75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</row>
    <row r="477" ht="18.75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</row>
    <row r="478" ht="18.75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</row>
    <row r="479" ht="18.75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</row>
    <row r="480" ht="18.75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</row>
    <row r="481" ht="18.75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</row>
    <row r="482" ht="18.75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</row>
    <row r="483" ht="18.75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</row>
    <row r="484" ht="18.75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</row>
    <row r="485" ht="18.75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</row>
    <row r="486" ht="18.75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</row>
    <row r="487" ht="18.75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</row>
    <row r="488" ht="18.75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</row>
    <row r="489" ht="18.75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</row>
    <row r="490" ht="18.75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</row>
    <row r="491" ht="18.75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</row>
    <row r="492" ht="18.75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</row>
    <row r="493" ht="18.75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</row>
    <row r="494" ht="18.75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</row>
    <row r="495" ht="18.75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</row>
    <row r="496" ht="18.75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</row>
    <row r="497" ht="18.75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</row>
    <row r="498" ht="18.75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</row>
    <row r="499" ht="18.75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</row>
    <row r="500" ht="18.7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</row>
    <row r="501" ht="18.7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</row>
    <row r="502" ht="18.75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</row>
    <row r="503" ht="18.75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</row>
    <row r="504" ht="18.75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</row>
    <row r="505" ht="18.75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</row>
    <row r="506" ht="18.75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</row>
    <row r="507" ht="18.75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</row>
    <row r="508" ht="18.75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</row>
    <row r="509" ht="18.75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</row>
    <row r="510" ht="18.75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</row>
    <row r="511" ht="18.75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</row>
    <row r="512" ht="18.75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</row>
    <row r="513" ht="18.75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</row>
    <row r="514" ht="18.75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</row>
    <row r="515" ht="18.75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</row>
    <row r="516" ht="18.75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</row>
    <row r="517" ht="18.75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</row>
    <row r="518" ht="18.75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</row>
    <row r="519" ht="18.75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</row>
    <row r="520" ht="18.75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</row>
    <row r="521" ht="18.75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</row>
    <row r="522" ht="18.75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</row>
    <row r="523" ht="18.75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</row>
    <row r="524" ht="18.75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</row>
    <row r="525" ht="18.75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</row>
    <row r="526" ht="18.75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</row>
    <row r="527" ht="18.75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</row>
    <row r="528" ht="18.75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</row>
    <row r="529" ht="18.75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</row>
    <row r="530" ht="18.75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</row>
    <row r="531" ht="18.75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</row>
    <row r="532" ht="18.75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</row>
    <row r="533" ht="18.75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</row>
    <row r="534" ht="18.75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</row>
    <row r="535" ht="18.75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</row>
    <row r="536" ht="18.75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</row>
    <row r="537" ht="18.75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</row>
    <row r="538" ht="18.75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</row>
    <row r="539" ht="18.75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</row>
    <row r="540" ht="18.75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</row>
    <row r="541" ht="18.75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</row>
    <row r="542" ht="18.75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</row>
    <row r="543" ht="18.75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</row>
    <row r="544" ht="18.75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</row>
    <row r="545" ht="18.75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</row>
    <row r="546" ht="18.75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</row>
    <row r="547" ht="18.75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</row>
    <row r="548" ht="18.75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</row>
    <row r="549" ht="18.75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</row>
    <row r="550" ht="18.75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</row>
    <row r="551" ht="18.75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</row>
    <row r="552" ht="18.75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</row>
    <row r="553" ht="18.75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</row>
    <row r="554" ht="18.75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</row>
    <row r="555" ht="18.75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</row>
    <row r="556" ht="18.75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</row>
    <row r="557" ht="18.75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</row>
    <row r="558" ht="18.75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</row>
    <row r="559" ht="18.75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</row>
    <row r="560" ht="18.75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</row>
    <row r="561" ht="18.75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</row>
    <row r="562" ht="18.75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</row>
    <row r="563" ht="18.75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</row>
    <row r="564" ht="18.75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</row>
    <row r="565" ht="18.75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</row>
    <row r="566" ht="18.75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</row>
    <row r="567" ht="18.75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</row>
    <row r="568" ht="18.75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</row>
    <row r="569" ht="18.75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</row>
    <row r="570" ht="18.75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</row>
    <row r="571" ht="18.75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</row>
    <row r="572" ht="18.75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</row>
    <row r="573" ht="18.75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</row>
    <row r="574" ht="18.75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</row>
    <row r="575" ht="18.75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</row>
    <row r="576" ht="18.75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</row>
    <row r="577" ht="18.75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</row>
    <row r="578" ht="18.75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</row>
    <row r="579" ht="18.75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</row>
    <row r="580" ht="18.75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</row>
    <row r="581" ht="18.75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</row>
    <row r="582" ht="18.75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</row>
    <row r="583" ht="18.75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</row>
    <row r="584" ht="18.75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</row>
    <row r="585" ht="18.75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</row>
    <row r="586" ht="18.75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</row>
    <row r="587" ht="18.75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</row>
    <row r="588" ht="18.75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</row>
    <row r="589" ht="18.75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</row>
    <row r="590" ht="18.75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</row>
    <row r="591" ht="18.75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</row>
    <row r="592" ht="18.75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</row>
    <row r="593" ht="18.75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</row>
    <row r="594" ht="18.75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</row>
    <row r="595" ht="18.75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</row>
    <row r="596" ht="18.75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</row>
    <row r="597" ht="18.75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</row>
    <row r="598" ht="18.75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</row>
    <row r="599" ht="18.75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</row>
    <row r="600" ht="18.75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</row>
    <row r="601" ht="18.75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</row>
    <row r="602" ht="18.75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</row>
    <row r="603" ht="18.75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</row>
    <row r="604" ht="18.75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</row>
    <row r="605" ht="18.75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</row>
    <row r="606" ht="18.75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</row>
    <row r="607" ht="18.75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</row>
    <row r="608" ht="18.75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</row>
    <row r="609" ht="18.75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</row>
    <row r="610" ht="18.75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</row>
    <row r="611" ht="18.75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</row>
    <row r="612" ht="18.75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</row>
    <row r="613" ht="18.75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</row>
    <row r="614" ht="18.75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</row>
    <row r="615" ht="18.75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</row>
    <row r="616" ht="18.75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</row>
    <row r="617" ht="18.75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</row>
    <row r="618" ht="18.75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</row>
    <row r="619" ht="18.75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</row>
    <row r="620" ht="18.75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</row>
    <row r="621" ht="18.75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</row>
    <row r="622" ht="18.75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</row>
    <row r="623" ht="18.75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</row>
    <row r="624" ht="18.75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</row>
    <row r="625" ht="18.75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</row>
    <row r="626" ht="18.75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</row>
    <row r="627" ht="18.75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</row>
    <row r="628" ht="18.75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</row>
    <row r="629" ht="18.75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</row>
    <row r="630" ht="18.75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</row>
    <row r="631" ht="18.75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</row>
    <row r="632" ht="18.75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</row>
    <row r="633" ht="18.75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</row>
    <row r="634" ht="18.75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</row>
    <row r="635" ht="18.75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</row>
    <row r="636" ht="18.75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</row>
    <row r="637" ht="18.75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</row>
    <row r="638" ht="18.75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</row>
    <row r="639" ht="18.75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</row>
    <row r="640" ht="18.75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</row>
    <row r="641" ht="18.75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</row>
    <row r="642" ht="18.75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</row>
    <row r="643" ht="18.75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</row>
    <row r="644" ht="18.75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</row>
    <row r="645" ht="18.75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</row>
    <row r="646" ht="18.75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</row>
    <row r="647" ht="18.75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</row>
    <row r="648" ht="18.75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</row>
    <row r="649" ht="18.75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</row>
    <row r="650" ht="18.75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</row>
    <row r="651" ht="18.75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</row>
    <row r="652" ht="18.75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</row>
    <row r="653" ht="18.75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</row>
    <row r="654" ht="18.75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</row>
    <row r="655" ht="18.75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</row>
    <row r="656" ht="18.75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</row>
    <row r="657" ht="18.75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</row>
    <row r="658" ht="18.75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</row>
    <row r="659" ht="18.75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</row>
    <row r="660" ht="18.75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</row>
    <row r="661" ht="18.75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</row>
    <row r="662" ht="18.75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</row>
    <row r="663" ht="18.75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</row>
    <row r="664" ht="18.75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</row>
    <row r="665" ht="18.75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</row>
    <row r="666" ht="18.75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</row>
    <row r="667" ht="18.75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</row>
    <row r="668" ht="18.75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</row>
    <row r="669" ht="18.75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</row>
    <row r="670" ht="18.75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</row>
    <row r="671" ht="18.75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</row>
    <row r="672" ht="18.75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</row>
    <row r="673" ht="18.75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</row>
    <row r="674" ht="18.75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</row>
    <row r="675" ht="18.75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</row>
    <row r="676" ht="18.75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</row>
    <row r="677" ht="18.75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</row>
    <row r="678" ht="18.75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</row>
    <row r="679" ht="18.75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</row>
    <row r="680" ht="18.75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</row>
    <row r="681" ht="18.75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</row>
    <row r="682" ht="18.75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</row>
    <row r="683" ht="18.75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</row>
    <row r="684" ht="18.75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</row>
    <row r="685" ht="18.75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</row>
    <row r="686" ht="18.75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</row>
    <row r="687" ht="18.75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</row>
    <row r="688" ht="18.75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</row>
    <row r="689" ht="18.75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</row>
    <row r="690" ht="18.75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</row>
    <row r="691" ht="18.75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</row>
    <row r="692" ht="18.75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</row>
    <row r="693" ht="18.75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</row>
    <row r="694" ht="18.75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</row>
    <row r="695" ht="18.75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</row>
    <row r="696" ht="18.75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</row>
    <row r="697" ht="18.75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</row>
    <row r="698" ht="18.75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</row>
    <row r="699" ht="18.75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</row>
    <row r="700" ht="18.75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</row>
    <row r="701" ht="18.75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</row>
    <row r="702" ht="18.75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</row>
    <row r="703" ht="18.75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</row>
    <row r="704" ht="18.75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</row>
    <row r="705" ht="18.75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</row>
    <row r="706" ht="18.75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</row>
    <row r="707" ht="18.75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</row>
    <row r="708" ht="18.75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</row>
    <row r="709" ht="18.75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</row>
    <row r="710" ht="18.75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</row>
    <row r="711" ht="18.75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</row>
    <row r="712" ht="18.75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</row>
    <row r="713" ht="18.75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</row>
    <row r="714" ht="18.75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</row>
    <row r="715" ht="18.75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</row>
    <row r="716" ht="18.75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</row>
    <row r="717" ht="18.75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</row>
    <row r="718" ht="18.75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</row>
    <row r="719" ht="18.75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</row>
    <row r="720" ht="18.75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</row>
    <row r="721" ht="18.75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</row>
    <row r="722" ht="18.75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</row>
    <row r="723" ht="18.75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</row>
    <row r="724" ht="18.75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</row>
    <row r="725" ht="18.75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</row>
    <row r="726" ht="18.75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</row>
    <row r="727" ht="18.7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</row>
    <row r="728" ht="18.75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</row>
    <row r="729" ht="18.75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</row>
    <row r="730" ht="18.75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</row>
    <row r="731" ht="18.75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</row>
    <row r="732" ht="18.75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</row>
    <row r="733" ht="18.75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</row>
    <row r="734" ht="18.75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</row>
    <row r="735" ht="18.75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</row>
    <row r="736" ht="18.75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</row>
    <row r="737" ht="18.75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</row>
    <row r="738" ht="18.75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</row>
    <row r="739" ht="18.75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</row>
    <row r="740" ht="18.75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</row>
    <row r="741" ht="18.75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</row>
    <row r="742" ht="18.75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</row>
    <row r="743" ht="18.75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</row>
    <row r="744" ht="18.75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</row>
    <row r="745" ht="18.75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</row>
    <row r="746" ht="18.75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</row>
    <row r="747" ht="18.75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</row>
    <row r="748" ht="18.75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</row>
    <row r="749" ht="18.75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</row>
    <row r="750" ht="18.75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</row>
    <row r="751" ht="18.75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</row>
    <row r="752" ht="18.75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</row>
    <row r="753" ht="18.75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</row>
    <row r="754" ht="18.75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</row>
    <row r="755" ht="18.75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</row>
    <row r="756" ht="18.75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</row>
    <row r="757" ht="18.75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</row>
    <row r="758" ht="18.75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</row>
    <row r="759" ht="18.75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</row>
    <row r="760" ht="18.75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</row>
    <row r="761" ht="18.75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</row>
    <row r="762" ht="18.75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</row>
    <row r="763" ht="18.75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</row>
    <row r="764" ht="18.75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</row>
    <row r="765" ht="18.75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</row>
    <row r="766" ht="18.75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</row>
    <row r="767" ht="18.75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</row>
    <row r="768" ht="18.75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</row>
    <row r="769" ht="18.75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</row>
    <row r="770" ht="18.75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</row>
    <row r="771" ht="18.75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</row>
    <row r="772" ht="18.75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</row>
    <row r="773" ht="18.75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</row>
    <row r="774" ht="18.75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</row>
    <row r="775" ht="18.75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</row>
    <row r="776" ht="18.75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</row>
    <row r="777" ht="18.75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</row>
    <row r="778" ht="18.7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</row>
    <row r="779" ht="18.75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</row>
    <row r="780" ht="18.75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</row>
    <row r="781" ht="18.75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</row>
    <row r="782" ht="18.75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</row>
    <row r="783" ht="18.75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</row>
    <row r="784" ht="18.75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</row>
    <row r="785" ht="18.75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</row>
    <row r="786" ht="18.75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</row>
    <row r="787" ht="18.75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</row>
    <row r="788" ht="18.75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</row>
    <row r="789" ht="18.75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</row>
    <row r="790" ht="18.75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</row>
    <row r="791" ht="18.75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</row>
    <row r="792" ht="18.75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</row>
    <row r="793" ht="18.75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</row>
    <row r="794" ht="18.75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</row>
    <row r="795" ht="18.75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</row>
    <row r="796" ht="18.75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</row>
    <row r="797" ht="18.75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</row>
    <row r="798" ht="18.75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</row>
    <row r="799" ht="18.75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</row>
    <row r="800" ht="18.75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</row>
    <row r="801" ht="18.75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</row>
    <row r="802" ht="18.75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</row>
    <row r="803" ht="18.75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</row>
    <row r="804" ht="18.75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</row>
    <row r="805" ht="18.75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</row>
    <row r="806" ht="18.75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</row>
    <row r="807" ht="18.75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</row>
    <row r="808" ht="18.75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</row>
    <row r="809" ht="18.75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</row>
    <row r="810" ht="18.75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</row>
    <row r="811" ht="18.75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</row>
    <row r="812" ht="18.75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</row>
    <row r="813" ht="18.75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</row>
    <row r="814" ht="18.75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</row>
    <row r="815" ht="18.75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</row>
    <row r="816" ht="18.75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</row>
    <row r="817" ht="18.75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</row>
    <row r="818" ht="18.75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</row>
    <row r="819" ht="18.75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</row>
    <row r="820" ht="18.75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</row>
    <row r="821" ht="18.75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</row>
    <row r="822" ht="18.75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</row>
    <row r="823" ht="18.75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</row>
    <row r="824" ht="18.75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</row>
    <row r="825" ht="18.75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</row>
    <row r="826" ht="18.75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</row>
    <row r="827" ht="18.75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</row>
    <row r="828" ht="18.75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</row>
    <row r="829" ht="18.75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</row>
    <row r="830" ht="18.75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</row>
    <row r="831" ht="18.75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</row>
    <row r="832" ht="18.75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</row>
    <row r="833" ht="18.75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</row>
    <row r="834" ht="18.75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</row>
    <row r="835" ht="18.75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</row>
    <row r="836" ht="18.75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</row>
    <row r="837" ht="18.75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</row>
    <row r="838" ht="18.75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</row>
    <row r="839" ht="18.75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</row>
    <row r="840" ht="18.75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</row>
    <row r="841" ht="18.75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</row>
    <row r="842" ht="18.75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</row>
    <row r="843" ht="18.75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</row>
    <row r="844" ht="18.75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</row>
    <row r="845" ht="18.75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</row>
    <row r="846" ht="18.75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</row>
    <row r="847" ht="18.75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</row>
    <row r="848" ht="18.75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</row>
    <row r="849" ht="18.75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</row>
    <row r="850" ht="18.75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</row>
    <row r="851" ht="18.75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</row>
    <row r="852" ht="18.75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</row>
    <row r="853" ht="18.75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</row>
    <row r="854" ht="18.75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</row>
    <row r="855" ht="18.75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</row>
    <row r="856" ht="18.75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</row>
    <row r="857" ht="18.75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</row>
    <row r="858" ht="18.75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</row>
    <row r="859" ht="18.75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</row>
    <row r="860" ht="18.75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</row>
    <row r="861" ht="18.75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</row>
    <row r="862" ht="18.75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</row>
    <row r="863" ht="18.75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</row>
    <row r="864" ht="18.75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</row>
    <row r="865" ht="18.75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</row>
    <row r="866" ht="18.75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</row>
    <row r="867" ht="18.75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</row>
    <row r="868" ht="18.75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</row>
    <row r="869" ht="18.75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</row>
    <row r="870" ht="18.75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</row>
    <row r="871" ht="18.75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</row>
    <row r="872" ht="18.75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</row>
    <row r="873" ht="18.75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</row>
    <row r="874" ht="18.75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</row>
    <row r="875" ht="18.75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</row>
    <row r="876" ht="18.75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</row>
    <row r="877" ht="18.75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</row>
    <row r="878" ht="18.75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</row>
    <row r="879" ht="18.75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</row>
    <row r="880" ht="18.75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</row>
    <row r="881" ht="18.75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</row>
    <row r="882" ht="18.75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</row>
    <row r="883" ht="18.75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</row>
    <row r="884" ht="18.75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</row>
    <row r="885" ht="18.75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</row>
    <row r="886" ht="18.75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</row>
    <row r="887" ht="18.75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</row>
    <row r="888" ht="18.75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</row>
    <row r="889" ht="18.75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</row>
    <row r="890" ht="18.75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</row>
    <row r="891" ht="18.75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</row>
    <row r="892" ht="18.75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</row>
    <row r="893" ht="18.75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</row>
    <row r="894" ht="18.75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</row>
    <row r="895" ht="18.75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</row>
    <row r="896" ht="18.75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</row>
    <row r="897" ht="18.75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</row>
    <row r="898" ht="18.75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</row>
    <row r="899" ht="18.75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</row>
    <row r="900" ht="18.75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</row>
    <row r="901" ht="18.75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</row>
    <row r="902" ht="18.75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</row>
    <row r="903" ht="18.75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</row>
    <row r="904" ht="18.75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</row>
    <row r="905" ht="18.75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</row>
    <row r="906" ht="18.75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</row>
    <row r="907" ht="18.75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</row>
    <row r="908" ht="18.75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</row>
    <row r="909" ht="18.75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</row>
    <row r="910" ht="18.75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</row>
    <row r="911" ht="18.75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</row>
    <row r="912" ht="18.75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</row>
    <row r="913" ht="18.75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</row>
    <row r="914" ht="18.75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</row>
    <row r="915" ht="18.75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</row>
    <row r="916" ht="18.75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</row>
    <row r="917" ht="18.75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</row>
    <row r="918" ht="18.75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</row>
    <row r="919" ht="18.75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</row>
    <row r="920" ht="18.75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</row>
    <row r="921" ht="18.75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</row>
    <row r="922" ht="18.75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</row>
    <row r="923" ht="18.75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</row>
    <row r="924" ht="18.75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</row>
    <row r="925" ht="18.75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</row>
    <row r="926" ht="18.75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</row>
    <row r="927" ht="18.75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</row>
    <row r="928" ht="18.75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</row>
    <row r="929" ht="18.75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</row>
    <row r="930" ht="18.75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</row>
    <row r="931" ht="18.75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</row>
    <row r="932" ht="18.75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</row>
    <row r="933" ht="18.75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</row>
    <row r="934" ht="18.75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</row>
    <row r="935" ht="18.75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</row>
    <row r="936" ht="18.75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</row>
    <row r="937" ht="18.75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</row>
    <row r="938" ht="18.75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</row>
    <row r="939" ht="18.75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</row>
    <row r="940" ht="18.75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</row>
    <row r="941" ht="18.75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</row>
    <row r="942" ht="18.75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</row>
    <row r="943" ht="18.75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</row>
    <row r="944" ht="18.75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</row>
    <row r="945" ht="18.75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</row>
    <row r="946" ht="18.75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</row>
    <row r="947" ht="18.75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</row>
    <row r="948" ht="18.75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</row>
    <row r="949" ht="18.75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</row>
    <row r="950" ht="18.75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</row>
    <row r="951" ht="18.75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</row>
    <row r="952" ht="18.75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</row>
    <row r="953" ht="18.75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</row>
    <row r="954" ht="18.75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</row>
    <row r="955" ht="18.75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</row>
    <row r="956" ht="18.75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</row>
    <row r="957" ht="18.75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</row>
    <row r="958" ht="18.75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</row>
    <row r="959" ht="18.75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</row>
    <row r="960" ht="18.75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</row>
    <row r="961" ht="18.75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</row>
    <row r="962" ht="18.75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</row>
    <row r="963" ht="18.75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</row>
    <row r="964" ht="18.75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</row>
    <row r="965" ht="18.75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</row>
    <row r="966" ht="18.75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</row>
    <row r="967" ht="18.75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</row>
    <row r="968" ht="18.75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</row>
    <row r="969" ht="18.75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</row>
    <row r="970" ht="18.75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</row>
    <row r="971" ht="18.75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</row>
    <row r="972" ht="18.75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</row>
    <row r="973" ht="18.75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</row>
    <row r="974" ht="18.75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</row>
    <row r="975" ht="18.75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</row>
    <row r="976" ht="18.75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</row>
    <row r="977" ht="18.75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</row>
    <row r="978" ht="18.75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</row>
    <row r="979" ht="18.75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</row>
    <row r="980" ht="18.75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</row>
    <row r="981" ht="18.75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</row>
    <row r="982" ht="18.75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</row>
    <row r="983" ht="18.75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</row>
    <row r="984" ht="18.75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</row>
    <row r="985" ht="18.75" customHeight="1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</row>
    <row r="986" ht="18.75" customHeight="1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</row>
    <row r="987" ht="18.75" customHeight="1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</row>
    <row r="988" ht="18.75" customHeight="1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</row>
    <row r="989" ht="18.75" customHeight="1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</row>
    <row r="990" ht="18.75" customHeight="1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</row>
    <row r="991" ht="18.75" customHeight="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</row>
    <row r="992" ht="18.75" customHeight="1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</row>
    <row r="993" ht="18.75" customHeight="1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</row>
    <row r="994" ht="18.75" customHeight="1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</row>
    <row r="995" ht="18.75" customHeight="1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</row>
    <row r="996" ht="18.75" customHeight="1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</row>
  </sheetData>
  <autoFilter ref="$A$2:$AB$31"/>
  <dataValidations>
    <dataValidation type="list" allowBlank="1" showErrorMessage="1" sqref="C3:C45">
      <formula1>"退休長住,假日休閒,休閒業者,企業主,其他"</formula1>
    </dataValidation>
    <dataValidation type="list" allowBlank="1" showErrorMessage="1" sqref="H3:H45">
      <formula1>"S,A,B,C"</formula1>
    </dataValidation>
    <dataValidation type="list" allowBlank="1" showErrorMessage="1" sqref="E3:F45">
      <formula1>"高,中,低"</formula1>
    </dataValidation>
  </dataValidations>
  <drawing r:id="rId1"/>
</worksheet>
</file>