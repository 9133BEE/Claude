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初客紀錄" sheetId="1" r:id="rId5"/>
    <sheet state="visible" name="今年整年的月電話量" sheetId="2" r:id="rId6"/>
    <sheet state="visible" name="每週業務追蹤表" sheetId="3" r:id="rId7"/>
  </sheets>
  <definedNames>
    <definedName hidden="1" localSheetId="0" name="_xlnm._FilterDatabase">'2026初客紀錄'!$A$1:$AA$1936</definedName>
    <definedName hidden="1" localSheetId="1" name="_xlnm._FilterDatabase">'今年整年的月電話量'!$S$1:$T$14</definedName>
    <definedName hidden="1" localSheetId="2" name="_xlnm._FilterDatabase">'每週業務追蹤表'!$A$2:$AB$31</definedName>
  </definedNames>
  <calcPr/>
</workbook>
</file>

<file path=xl/sharedStrings.xml><?xml version="1.0" encoding="utf-8"?>
<sst xmlns="http://schemas.openxmlformats.org/spreadsheetml/2006/main" count="8288" uniqueCount="3535">
  <si>
    <t>總電話量</t>
  </si>
  <si>
    <t>日期</t>
  </si>
  <si>
    <t>價格、付款、規格、選配、運送、合約、交期</t>
  </si>
  <si>
    <t>客人
來源</t>
  </si>
  <si>
    <t>月份</t>
  </si>
  <si>
    <t>姓名</t>
  </si>
  <si>
    <t>電話</t>
  </si>
  <si>
    <r>
      <rPr>
        <rFont val="Arial"/>
        <color theme="1"/>
      </rPr>
      <t xml:space="preserve">FB名單
</t>
    </r>
    <r>
      <rPr>
        <rFont val="Arial"/>
        <color theme="1"/>
        <sz val="8.0"/>
      </rPr>
      <t>純表單</t>
    </r>
  </si>
  <si>
    <t>進線初接</t>
  </si>
  <si>
    <t>初次聯絡事項</t>
  </si>
  <si>
    <t>遊學日期</t>
  </si>
  <si>
    <t>客戶</t>
  </si>
  <si>
    <t>類型</t>
  </si>
  <si>
    <t>能力(客觀)</t>
  </si>
  <si>
    <t>訪後意願</t>
  </si>
  <si>
    <t>意願(表格)</t>
  </si>
  <si>
    <t>談條件(方案)</t>
  </si>
  <si>
    <t>等級</t>
  </si>
  <si>
    <t>卡點</t>
  </si>
  <si>
    <t>業務下一步</t>
  </si>
  <si>
    <t>備註</t>
  </si>
  <si>
    <r>
      <rPr>
        <rFont val="Arial"/>
        <color theme="1"/>
      </rPr>
      <t>其他管道</t>
    </r>
    <r>
      <rPr>
        <rFont val="Arial"/>
        <color theme="1"/>
        <sz val="9.0"/>
      </rPr>
      <t xml:space="preserve">
</t>
    </r>
    <r>
      <rPr>
        <rFont val="Arial"/>
        <color theme="1"/>
        <sz val="7.0"/>
      </rPr>
      <t>FB LINE WIX 後台 GM 其他 TEL</t>
    </r>
  </si>
  <si>
    <t>是</t>
  </si>
  <si>
    <t>聯絡人員</t>
  </si>
  <si>
    <t>5/2(六)</t>
  </si>
  <si>
    <t>電話
日期</t>
  </si>
  <si>
    <t>藍貝芝 0935546501</t>
  </si>
  <si>
    <t>參訪
日期</t>
  </si>
  <si>
    <t>人
數</t>
  </si>
  <si>
    <t>各人員電話邀約成功率</t>
  </si>
  <si>
    <t>二次邀約狀況
（預算＆規劃＋用途）</t>
  </si>
  <si>
    <t>退休長住</t>
  </si>
  <si>
    <t>篩選器 (手動)電話日期&amp;聯絡人員</t>
  </si>
  <si>
    <t>高</t>
  </si>
  <si>
    <t>A</t>
  </si>
  <si>
    <t>找地中</t>
  </si>
  <si>
    <t>每月份(可下拉)</t>
  </si>
  <si>
    <t>手動驗證)</t>
  </si>
  <si>
    <t>蘇建豪 0912032722</t>
  </si>
  <si>
    <t>已連絡</t>
  </si>
  <si>
    <t>假日休閒</t>
  </si>
  <si>
    <t>無地</t>
  </si>
  <si>
    <t>數量</t>
  </si>
  <si>
    <t>租地</t>
  </si>
  <si>
    <t>陳桃霞 0958586876</t>
  </si>
  <si>
    <t>預約成功</t>
  </si>
  <si>
    <t>宜蘭</t>
  </si>
  <si>
    <t>中</t>
  </si>
  <si>
    <t>80~120萬</t>
  </si>
  <si>
    <t>%</t>
  </si>
  <si>
    <t>B</t>
  </si>
  <si>
    <t>FB名單</t>
  </si>
  <si>
    <t>弟弟是建築師,狹長基地</t>
  </si>
  <si>
    <t>林意馨</t>
  </si>
  <si>
    <t>0912156377</t>
  </si>
  <si>
    <t>黃淑華 0923249393</t>
  </si>
  <si>
    <t>謹瀅</t>
  </si>
  <si>
    <t>你好：今日方便參觀嗎？
今天剛好有空要上台中，所以想說今天是否方便參觀
住家在高雄</t>
  </si>
  <si>
    <t>人員</t>
  </si>
  <si>
    <t>撥通電話</t>
  </si>
  <si>
    <t>張宇翔 0981528028</t>
  </si>
  <si>
    <t>邀約成功</t>
  </si>
  <si>
    <t>苗栗通霄</t>
  </si>
  <si>
    <t>承廷聯繫中</t>
  </si>
  <si>
    <t>成功率 %</t>
  </si>
  <si>
    <t>5/8(五)</t>
  </si>
  <si>
    <t>鄭惠分 0910699428</t>
  </si>
  <si>
    <t>台南南化</t>
  </si>
  <si>
    <t>整地,申請水電</t>
  </si>
  <si>
    <t>王宇晴 0955703113</t>
  </si>
  <si>
    <t>彰化老家地</t>
  </si>
  <si>
    <t>低</t>
  </si>
  <si>
    <t>先生是醫生</t>
  </si>
  <si>
    <t>C</t>
  </si>
  <si>
    <t>双院、陽台</t>
  </si>
  <si>
    <r>
      <rPr>
        <rFont val="Arial"/>
        <color theme="1"/>
      </rPr>
      <t xml:space="preserve">之前有在花博看過(還沒有買地)，有看過簡章有了解
今年有買地(大湖)-現在有想骰規劃，有水有電，
自己在做生意時間不固定，留近期參訪時間給參考
住：高雄
</t>
    </r>
    <r>
      <rPr>
        <rFont val="Arial"/>
        <color rgb="FFFF0000"/>
      </rPr>
      <t xml:space="preserve">1/31 榕
3月想來訪(月初出國，月底3/17號以後平日都可以排，每周二是最方便的，依我們安排為主)
</t>
    </r>
    <r>
      <rPr>
        <rFont val="Arial"/>
        <color theme="1"/>
      </rPr>
      <t>2/26許 是餐飲業(配合老公時間安排上來)，3/4-9出國，
想改約4/14，要提前先約時間，方便排休
3/25去電未接，Line再確認四月中的日期</t>
    </r>
  </si>
  <si>
    <t>待確認日期</t>
  </si>
  <si>
    <t>莊雅茹 0966786729</t>
  </si>
  <si>
    <t>中壢</t>
  </si>
  <si>
    <r>
      <rPr>
        <rFont val="Arial"/>
        <color rgb="FFFF00FF"/>
      </rPr>
      <t>空包彈 =</t>
    </r>
    <r>
      <rPr>
        <rFont val="Arial"/>
        <color theme="1"/>
      </rPr>
      <t xml:space="preserve"> 未接、語音、其他無法接通項目</t>
    </r>
  </si>
  <si>
    <t>合掌屋</t>
  </si>
  <si>
    <t>許嘉彬</t>
  </si>
  <si>
    <t>0912181737</t>
  </si>
  <si>
    <t>梓涵</t>
  </si>
  <si>
    <t>5/9(六)</t>
  </si>
  <si>
    <t>楊(沈慧玲) 0933183284</t>
  </si>
  <si>
    <t>請問預約下午參觀可以嗎
嘉義建地
4米寬40米深
想放單院屋型
傳照片給她
(後台)</t>
  </si>
  <si>
    <t>西湖地</t>
  </si>
  <si>
    <t>已場勘</t>
  </si>
  <si>
    <t>子榕</t>
  </si>
  <si>
    <t>温雅惠 0922011800</t>
  </si>
  <si>
    <t>先生說400萬</t>
  </si>
  <si>
    <t>想等后土村</t>
  </si>
  <si>
    <t>臨時想來訪，後續要北上安排時間，才會方便
3/25 去電，近期可能會出國，要來再預約時間</t>
  </si>
  <si>
    <t>5/13(三)</t>
  </si>
  <si>
    <t xml:space="preserve">林慧英 0931692178 </t>
  </si>
  <si>
    <t>李小姐</t>
  </si>
  <si>
    <t>500萬</t>
  </si>
  <si>
    <t>0988021266</t>
  </si>
  <si>
    <t>請問你們過年有營業嗎?
(電話中已經回2/15~2/23年節假期)
(看起來是想用餐+參觀木屋)
1/2 未接通2</t>
  </si>
  <si>
    <t>黃惠如 0922212227</t>
  </si>
  <si>
    <t>老家枋寮基地</t>
  </si>
  <si>
    <t>1/3許 未接2
早期的家具客戶，沒有自主移動能力，一定要找小孩載送
有一點興趣，沒地。自己會再回電</t>
  </si>
  <si>
    <t>300萬</t>
  </si>
  <si>
    <t>也再看高雄建案</t>
  </si>
  <si>
    <t>衛浴客製需求</t>
  </si>
  <si>
    <t xml:space="preserve">張又文 0933191026
</t>
  </si>
  <si>
    <t>休閒業者</t>
  </si>
  <si>
    <t>國姓農地</t>
  </si>
  <si>
    <t>申請休閒農場</t>
  </si>
  <si>
    <t>有給基地資訊</t>
  </si>
  <si>
    <t>現場有鐵皮屋要拆</t>
  </si>
  <si>
    <t>林育生</t>
  </si>
  <si>
    <t>0982861116</t>
  </si>
  <si>
    <t>5/16(六)</t>
  </si>
  <si>
    <t>陳延靜 0928329069</t>
  </si>
  <si>
    <t>一家三口,
想了解屋款價格範圍</t>
  </si>
  <si>
    <t>老家地</t>
  </si>
  <si>
    <t>地在鹿港，老婆是鹿港人，想給小孩還有老婆一個新環境
目前不想透漏太多，看不太懂網址內容</t>
  </si>
  <si>
    <t>先來了解</t>
  </si>
  <si>
    <t>連絡中</t>
  </si>
  <si>
    <t>陳讚昌 0923263858</t>
  </si>
  <si>
    <t>宜蘭基地</t>
  </si>
  <si>
    <t>0911800625</t>
  </si>
  <si>
    <t xml:space="preserve">您好，想先請問木屋大概基礎的價格，如13坪數，或是更大的。
地點：苗栗泰安或是台東。
</t>
  </si>
  <si>
    <t>投資客心態,會殺價</t>
  </si>
  <si>
    <t>傅文賢 0975929028</t>
  </si>
  <si>
    <t>想蓋30坪左右，有考慮旗艦兩組想要合併，3-5為家人一起住，
有再考慮其他小木屋及我們，可能是3位參訪
有問費用300(感覺貴)，所以說需要評估，有需要再連絡
4/21 語音</t>
  </si>
  <si>
    <t>桃園&amp;新竹</t>
  </si>
  <si>
    <t>投資</t>
  </si>
  <si>
    <t>范先生</t>
  </si>
  <si>
    <t>0937962912</t>
  </si>
  <si>
    <t>我們有一塊地在苗栗的丙建
坪數100初~可蓋ˇ30~40坪
明天2點參觀時間會來不及,可另約時間</t>
  </si>
  <si>
    <t>楊永權 0922003775</t>
  </si>
  <si>
    <t>目前感覺不想透漏太多，但態度尚可
請他加LINE，再傳預約資訊
1/3 太太尚未確認，日期先取消</t>
  </si>
  <si>
    <t>同上</t>
  </si>
  <si>
    <t>簡廷宇</t>
  </si>
  <si>
    <t>0986557980</t>
  </si>
  <si>
    <t>想了解，週六全天可聯繫
有地的參觀 (後台)</t>
  </si>
  <si>
    <t>吳尚溢 0912772372</t>
  </si>
  <si>
    <r>
      <rPr>
        <rFont val="Arial"/>
        <color theme="1"/>
      </rPr>
      <t xml:space="preserve">最少1位，農地 有電沒水 南投 草屯 特農。因為是當地人，沒有想法規劃。
木屋坪數? (說不喜歡大坪數)
一直說他對這個生活很有興趣，不但問到化糞池有沒有包、基座有沒有 包、庭園有沒有包、種菜有沒有包?????????????
</t>
    </r>
    <r>
      <rPr>
        <rFont val="Arial"/>
        <color rgb="FFFF0000"/>
      </rPr>
      <t>感覺 "真的" 很像同行 (太空艙?)</t>
    </r>
  </si>
  <si>
    <t>胡智凱</t>
  </si>
  <si>
    <t>0939179626</t>
  </si>
  <si>
    <t>想參觀木屋(週六較方便)</t>
  </si>
  <si>
    <t>參訪：4位 2大2小 (國小1年級3年級)
先跟胡先生說明小孩的部分，他晚點跟太太討論，決定還是要帶小孩參訪</t>
  </si>
  <si>
    <t>暫置</t>
  </si>
  <si>
    <t>5/23(六)</t>
  </si>
  <si>
    <t>鄭艾綸 0927701299</t>
  </si>
  <si>
    <t>Douglas Lin</t>
  </si>
  <si>
    <t>0928829256</t>
  </si>
  <si>
    <r>
      <rPr>
        <rFont val="Arial"/>
        <color rgb="FF1C2B33"/>
        <sz val="11.0"/>
      </rPr>
      <t xml:space="preserve">平日早上0900-1200
</t>
    </r>
    <r>
      <rPr>
        <rFont val="Arial"/>
        <color rgb="FFFF0000"/>
        <sz val="11.0"/>
      </rPr>
      <t>"1/7 未接通2
1/8許 掛電話2"</t>
    </r>
  </si>
  <si>
    <t>無地,但問很細</t>
  </si>
  <si>
    <t>未接，1/8許 掛電話2</t>
  </si>
  <si>
    <t>陳彥儒 0960135688</t>
  </si>
  <si>
    <t>陳信介</t>
  </si>
  <si>
    <t>0917273250</t>
  </si>
  <si>
    <t>目標2院,希望快速,父母也無聽簡報即趕行程離開</t>
  </si>
  <si>
    <t>平日早上0900-1200</t>
  </si>
  <si>
    <t>陳美妙 0912678885</t>
  </si>
  <si>
    <t>開會中，說要LINE給他．．．就掛電話
沒有LINE阿　＝　＝</t>
  </si>
  <si>
    <t>陳淑津</t>
  </si>
  <si>
    <t>0919207558</t>
  </si>
  <si>
    <t>太熱,看完合掌屋即離開,體驗感差,是否邀約下回參觀完工合掌屋招待參觀費?</t>
  </si>
  <si>
    <t>平日下午1300-1800
1/6許 10分鐘後未接</t>
  </si>
  <si>
    <t>陳郁雯 0972053143</t>
  </si>
  <si>
    <t>未接，10分鐘後未接</t>
  </si>
  <si>
    <t>土地：
水、電、道路：
預算：
決策：
時間：</t>
  </si>
  <si>
    <t xml:space="preserve">屋款：
</t>
  </si>
  <si>
    <t>Joanne Wang</t>
  </si>
  <si>
    <t>0952490535</t>
  </si>
  <si>
    <t>高度興趣</t>
  </si>
  <si>
    <t>週六下午1300-1800
"有語音 看看此人是誰該不該接聽電話
已留言 我們是自然紅屋"</t>
  </si>
  <si>
    <t>5/29(五)</t>
  </si>
  <si>
    <t>語音</t>
  </si>
  <si>
    <t>羅桂華 0963158190</t>
  </si>
  <si>
    <t>土地：臺中市石岡區崁子下段(5927)947-1地號
水、電、道路：水電X 道路O
預算：400+
決策：先生
時間：</t>
  </si>
  <si>
    <t>水電</t>
  </si>
  <si>
    <t>追客人申請水電</t>
  </si>
  <si>
    <t>1月</t>
  </si>
  <si>
    <t>洪先生</t>
  </si>
  <si>
    <t>林煜騰 0963638877</t>
  </si>
  <si>
    <t>0930992255</t>
  </si>
  <si>
    <r>
      <rPr>
        <rFont val="Arial"/>
        <color theme="1"/>
      </rPr>
      <t xml:space="preserve">我在你們外面，我要參觀你們行動木屋，
有跟他說要預約，他說給他資料下次他再過來，
很沒有禮貌的人，有跟他說可以加LINE先預約
</t>
    </r>
    <r>
      <rPr>
        <rFont val="Arial"/>
        <color rgb="FFFF0000"/>
      </rPr>
      <t>1/7 未接通2</t>
    </r>
  </si>
  <si>
    <t>未接</t>
  </si>
  <si>
    <t>土地：桃園青埔(農地1200坪/建地258坪)
水、電、道路：有電
預算：
決策：自己
時間：</t>
  </si>
  <si>
    <t>局勢不好先做好一間，照顧自己，也作為未來投資想法DEMO</t>
  </si>
  <si>
    <t>王月娥</t>
  </si>
  <si>
    <t xml:space="preserve">HM:是小建商
</t>
  </si>
  <si>
    <t>0953551112</t>
  </si>
  <si>
    <t>週六下午1300-1800</t>
  </si>
  <si>
    <t>6/3(三)</t>
  </si>
  <si>
    <t>林先生(留媽媽的聯絡資料)
之前住石岡附近，有來參觀過，有買過家具(很多)
目前有兩塊地閒置(頭份、三義)，有考慮其他廠商，
不想申請建照，想用農地就好
資料還沒看有請他加LINE(有傳資料給本人)</t>
  </si>
  <si>
    <t>白詠 0928933955</t>
  </si>
  <si>
    <t>王復儒</t>
  </si>
  <si>
    <t>0933218908</t>
  </si>
  <si>
    <t>其他</t>
  </si>
  <si>
    <t>土地：三義
水、電、道路：水電O 道路O
預算：
決策：先生
時間：</t>
  </si>
  <si>
    <t>平日下午1300-1800</t>
  </si>
  <si>
    <t>軍: 用途似乎不明確</t>
  </si>
  <si>
    <t>1/6許 說現在有點忙稍後會回覆
1/7 先生推給太太，說還在忙，看完資料會主動回覆</t>
  </si>
  <si>
    <t>楊淑惠 0936826965</t>
  </si>
  <si>
    <t>郭仲強</t>
  </si>
  <si>
    <t>0928577282</t>
  </si>
  <si>
    <t>土地：X
水、電、道路：水電X 道路X
預算：
決策：自己
時間：</t>
  </si>
  <si>
    <t>有基地的參觀
週六較方便安排
2大2小</t>
  </si>
  <si>
    <t>雙院</t>
  </si>
  <si>
    <t>關心客人找地狀況</t>
  </si>
  <si>
    <t>參訪：
夫妻+小孩 3y5y 
小孩已告知，待確定要帶進來還是請親戚幫忙再公園照顧</t>
  </si>
  <si>
    <t>蕭小姐</t>
  </si>
  <si>
    <t>0980585177</t>
  </si>
  <si>
    <t>曾銘圳 0932527933</t>
  </si>
  <si>
    <t>無地的參觀
1/3 未接通3
1/6許 週六方便聯絡</t>
  </si>
  <si>
    <t>土地：三灣
水、電、道路：水電X 道路O
預算：
決策：先生
時間：</t>
  </si>
  <si>
    <t>追蹤客人申請水電</t>
  </si>
  <si>
    <r>
      <rPr>
        <rFont val="Arial"/>
        <color theme="1"/>
      </rPr>
      <t>在尋找土地中，想先來參觀了解。
為之後4、50歲的生活做規劃(感覺可以</t>
    </r>
    <r>
      <rPr>
        <rFont val="Arial"/>
        <b/>
        <color rgb="FFFF0000"/>
      </rPr>
      <t>推體驗營</t>
    </r>
    <r>
      <rPr>
        <rFont val="Arial"/>
        <color theme="1"/>
      </rPr>
      <t>~)
工作在台北、有房在桃園，是中南部人，
感覺是小白，不知道要買建地或農地，
有問土地媒介，因為一直沒有找到適合的土地，
感覺也可以推</t>
    </r>
    <r>
      <rPr>
        <rFont val="Arial"/>
        <b/>
        <color rgb="FFFF0000"/>
      </rPr>
      <t xml:space="preserve">后土紅友計畫，
</t>
    </r>
    <r>
      <rPr>
        <rFont val="Arial"/>
        <color theme="1"/>
      </rPr>
      <t>有請她加LINE，目前參觀時間待確認(假日比較有空)</t>
    </r>
  </si>
  <si>
    <t>6/6六</t>
  </si>
  <si>
    <t>蔣小梅 0932947981</t>
  </si>
  <si>
    <t>林兆啟</t>
  </si>
  <si>
    <t>0905510269</t>
  </si>
  <si>
    <r>
      <rPr>
        <rFont val="Arial"/>
        <color theme="1"/>
      </rPr>
      <t xml:space="preserve">土地：森優生態實驗小學
水、電、道路：水電O </t>
    </r>
    <r>
      <rPr>
        <rFont val="Arial"/>
        <color rgb="FFFF0000"/>
      </rPr>
      <t>道路?</t>
    </r>
    <r>
      <rPr>
        <rFont val="Arial"/>
        <color theme="1"/>
      </rPr>
      <t xml:space="preserve">
預算：400+
決策：先生
</t>
    </r>
    <r>
      <rPr>
        <rFont val="Arial"/>
        <color rgb="FFFF0000"/>
      </rPr>
      <t>時間：</t>
    </r>
  </si>
  <si>
    <t xml:space="preserve"> 合掌屋</t>
  </si>
  <si>
    <t>住潭子，1
聽說現在蓋木屋很貴，有想法但想先來看看 (看了參訪尚未看價格)</t>
  </si>
  <si>
    <t>到底要放在哪裡？</t>
  </si>
  <si>
    <t>追蹤實際意願</t>
  </si>
  <si>
    <t>張益彰</t>
  </si>
  <si>
    <t>0932587239</t>
  </si>
  <si>
    <t>吳之琳 0906950910</t>
  </si>
  <si>
    <r>
      <rPr>
        <rFont val="Arial"/>
        <color theme="1"/>
      </rPr>
      <t xml:space="preserve">土地：古坑
水、電、道路：水O </t>
    </r>
    <r>
      <rPr>
        <rFont val="Arial"/>
        <color rgb="FFFF0000"/>
      </rPr>
      <t>電X 道路?</t>
    </r>
    <r>
      <rPr>
        <rFont val="Arial"/>
        <color theme="1"/>
      </rPr>
      <t xml:space="preserve">
預算：300-350
決策：自己 (住 夫妻)
時間：</t>
    </r>
    <r>
      <rPr>
        <rFont val="Arial"/>
        <color rgb="FFFF0000"/>
      </rPr>
      <t>請到電後越快越好</t>
    </r>
  </si>
  <si>
    <t>短3 or 2院(不排斥舊款出清)</t>
  </si>
  <si>
    <t>電</t>
  </si>
  <si>
    <t>追客人請電</t>
  </si>
  <si>
    <t>聯絡人員的COUNTA</t>
  </si>
  <si>
    <t>本身是{847露營區}經營者
想加蓋,目前很多廠商在評估中
基地在南投的竹山、鹿谷都有
因為有蓋過木屋,組合屋的經驗
想大概了解我們的材質資訊等等
再去評估自己值不值跑這一趟參觀
300園參觀費不是問題,覺得2~3小時太久
先寄資料</t>
  </si>
  <si>
    <t>蔡慈愛 0988722930</t>
  </si>
  <si>
    <t>鄭先生</t>
  </si>
  <si>
    <t>0923320449</t>
  </si>
  <si>
    <r>
      <rPr>
        <rFont val="Arial"/>
        <color theme="1"/>
      </rPr>
      <t xml:space="preserve">土地：新營
水、電、道路：水電O 道路O
預算：OK
決策：先生(業主)
</t>
    </r>
    <r>
      <rPr>
        <rFont val="Arial"/>
        <color rgb="FFFF0000"/>
      </rPr>
      <t>時間：</t>
    </r>
  </si>
  <si>
    <t>大單院客製(空屋改牆做茶室)</t>
  </si>
  <si>
    <t>設計案</t>
  </si>
  <si>
    <t>有請他加LINE，想預約下禮拜參訪
LINE回覆有需要會再聯絡</t>
  </si>
  <si>
    <t>設計師跟業主討論後，會加3方群
然後提供進一步設計需求</t>
  </si>
  <si>
    <t>陳小姐Amy</t>
  </si>
  <si>
    <t>0933979910</t>
  </si>
  <si>
    <t>4/18六</t>
  </si>
  <si>
    <t>林意馨 0912156377</t>
  </si>
  <si>
    <r>
      <rPr>
        <rFont val="Arial"/>
        <color theme="1"/>
      </rPr>
      <t xml:space="preserve">土地：大湖
水、電、道路：水電O 道路O
預算：150-200
決策：先生
</t>
    </r>
    <r>
      <rPr>
        <rFont val="Arial"/>
        <color rgb="FFFF0000"/>
      </rPr>
      <t>時間：</t>
    </r>
  </si>
  <si>
    <t>双院</t>
  </si>
  <si>
    <t>無資料</t>
  </si>
  <si>
    <t>合法性 資材室</t>
  </si>
  <si>
    <t>客戶已經跟水保師說明我們的木屋，但水保師說，不會有人蓋這麼漂亮的房子。
讓客人自己想想，過不過的了這關。</t>
  </si>
  <si>
    <t>劉滋芳</t>
  </si>
  <si>
    <t>參訪
日期的COUNTA</t>
  </si>
  <si>
    <t>0987798486</t>
  </si>
  <si>
    <t>蔡奇玲 0953707008</t>
  </si>
  <si>
    <t>平日下午1300-1800
1/6許 空號！！！</t>
  </si>
  <si>
    <r>
      <rPr>
        <rFont val="Arial"/>
        <color theme="1"/>
      </rPr>
      <t xml:space="preserve">土地：清水
水、電、道路：水電X 道路?
預算：500內
決策：
</t>
    </r>
    <r>
      <rPr>
        <rFont val="Arial"/>
        <color rgb="FFFF0000"/>
      </rPr>
      <t>時間：</t>
    </r>
  </si>
  <si>
    <t>未接，空號</t>
  </si>
  <si>
    <t>?
3院or 合掌屋
不用有睡覺的空間
想成為獨立書屋
森林中的小書屋</t>
  </si>
  <si>
    <t>合法性 已經初步動搖</t>
  </si>
  <si>
    <t>要重看，太久了
客戶已經再詢問不合法怎麼請到建地的水電</t>
  </si>
  <si>
    <t>錢不夠不用想合法
2026/6/17更新</t>
  </si>
  <si>
    <t>張先生</t>
  </si>
  <si>
    <t>0932346656</t>
  </si>
  <si>
    <t>高先生 0913151931</t>
  </si>
  <si>
    <t>週六早上0900-1200</t>
  </si>
  <si>
    <r>
      <rPr>
        <rFont val="Arial"/>
        <color theme="1"/>
      </rPr>
      <t xml:space="preserve">土地：X
水、電、道路：
預算：有錢(老闆判斷)
決策：
</t>
    </r>
    <r>
      <rPr>
        <rFont val="Arial"/>
        <color rgb="FFFF0000"/>
      </rPr>
      <t>時間：</t>
    </r>
  </si>
  <si>
    <t>目前找地中~</t>
  </si>
  <si>
    <t>風水，太太堅持要有導角，合掌屋的屋頂是刀煞 (可見這個人有很多害怕)</t>
  </si>
  <si>
    <t>賴靜慧</t>
  </si>
  <si>
    <t>0926950022</t>
  </si>
  <si>
    <r>
      <rPr>
        <rFont val="Arial"/>
        <color theme="1"/>
      </rPr>
      <t>住台中北屯
有地的參觀
平常也休日一(_居家工作室職業)
目前</t>
    </r>
    <r>
      <rPr>
        <rFont val="Arial"/>
        <color rgb="FFFF0000"/>
      </rPr>
      <t>1/14(三)剛好有空檔可以預約參觀</t>
    </r>
    <r>
      <rPr>
        <rFont val="Arial"/>
        <color theme="1"/>
      </rPr>
      <t xml:space="preserve">
已經觀察我們行動屋很久了</t>
    </r>
  </si>
  <si>
    <t>陳小惠 0952894849</t>
  </si>
  <si>
    <t>自己參訪
有地</t>
  </si>
  <si>
    <r>
      <rPr>
        <rFont val="Arial"/>
        <color theme="1"/>
      </rPr>
      <t xml:space="preserve">土地：苑裡300坪農地
水、電、道路：水電O 道路?
預算：有錢(老闆判斷)朋友紅屋家具
決策：
</t>
    </r>
    <r>
      <rPr>
        <rFont val="Arial"/>
        <color rgb="FFFF0000"/>
      </rPr>
      <t>時間：</t>
    </r>
  </si>
  <si>
    <t>Shen Shen
沈晴</t>
  </si>
  <si>
    <t>0988881836</t>
  </si>
  <si>
    <r>
      <rPr>
        <rFont val="Arial"/>
        <color rgb="FF1C2B33"/>
        <sz val="11.0"/>
      </rPr>
      <t xml:space="preserve">平日下午1300-1800
</t>
    </r>
    <r>
      <rPr>
        <rFont val="Arial"/>
        <color rgb="FFFF0000"/>
        <sz val="11.0"/>
      </rPr>
      <t xml:space="preserve">1/6許 未接2
1/7 未接通2
</t>
    </r>
    <r>
      <rPr>
        <rFont val="Arial"/>
        <color rgb="FF1C2B33"/>
        <sz val="11.0"/>
      </rPr>
      <t>1/16 轉語音信箱</t>
    </r>
  </si>
  <si>
    <t>朋友??</t>
  </si>
  <si>
    <t>再去電確認</t>
  </si>
  <si>
    <t>陳先生</t>
  </si>
  <si>
    <t>0936778553</t>
  </si>
  <si>
    <t>周啟陽 0910464020</t>
  </si>
  <si>
    <r>
      <rPr>
        <rFont val="Arial"/>
        <color rgb="FF1C2B33"/>
        <sz val="11.0"/>
      </rPr>
      <t xml:space="preserve">平日下午1300-1800
1/6許 現在開會明早可以聯絡~
</t>
    </r>
    <r>
      <rPr>
        <rFont val="Arial"/>
        <color rgb="FFFF0000"/>
        <sz val="11.0"/>
      </rPr>
      <t>1/7 語音信箱</t>
    </r>
  </si>
  <si>
    <t>給長輩，但現場感覺是同行(老闆&amp;成廷認證)</t>
  </si>
  <si>
    <t>黃添本</t>
  </si>
  <si>
    <t>0919780443</t>
  </si>
  <si>
    <t>曾琴梅 0939705120</t>
  </si>
  <si>
    <t>平日早上0900-1200
訊號不好，掛電話。
然後就不接了</t>
  </si>
  <si>
    <t>土地：苗栗公館(還再談) 60坪丙建
水、電、道路：
預算：
決策：
時間：</t>
  </si>
  <si>
    <t>建議租地</t>
  </si>
  <si>
    <t>陳怡君 0932787553</t>
  </si>
  <si>
    <t>Zong Yi</t>
  </si>
  <si>
    <t>0981919648</t>
  </si>
  <si>
    <t>土地：嘉義民雄虎尾寮 200坪
水、電、道路：水電O 道路?(沒去過)
預算：
決策：500
時間：
土地：弟弟的，同意可用</t>
  </si>
  <si>
    <r>
      <rPr>
        <rFont val="Arial"/>
        <color rgb="FF1C2B33"/>
        <sz val="11.0"/>
      </rPr>
      <t xml:space="preserve">平日早上0900-1200
</t>
    </r>
    <r>
      <rPr>
        <rFont val="Arial"/>
        <color rgb="FFFF0000"/>
        <sz val="11.0"/>
      </rPr>
      <t>1/7 未接通2</t>
    </r>
  </si>
  <si>
    <t>合掌屋+大單(頌缽)</t>
  </si>
  <si>
    <t>1/8許 在忙中，晚點會自行連絡</t>
  </si>
  <si>
    <t>???</t>
  </si>
  <si>
    <t>取得地號，照片</t>
  </si>
  <si>
    <t>買過出清Qcamp 20萬</t>
  </si>
  <si>
    <t>Liu Foot</t>
  </si>
  <si>
    <t>0919048616</t>
  </si>
  <si>
    <t>根本沒看資料</t>
  </si>
  <si>
    <t>Louise Shih
石小姐</t>
  </si>
  <si>
    <t>0928718131</t>
  </si>
  <si>
    <t>之前看過太空艙(說有仲介配合找土地，感覺是想要不勞而獲)，
目前想要先了解，已加LINE聯絡</t>
  </si>
  <si>
    <t>michael wei</t>
  </si>
  <si>
    <t>0934168943</t>
  </si>
  <si>
    <t>以為我們是建商，說不需要</t>
  </si>
  <si>
    <t>羅仕昇</t>
  </si>
  <si>
    <t>0919677872</t>
  </si>
  <si>
    <t>老家東勢土地(目前是與親戚聯名)
農地為平地
屋款資訊沒有仔細看
平常在新竹工作</t>
  </si>
  <si>
    <t>Lily Hsiao
蕭豐姿</t>
  </si>
  <si>
    <t>0953009698</t>
  </si>
  <si>
    <r>
      <rPr>
        <rFont val="Arial"/>
        <color rgb="FF1C2B33"/>
        <sz val="11.0"/>
      </rPr>
      <t xml:space="preserve">平日早上0900-1200
</t>
    </r>
    <r>
      <rPr>
        <rFont val="Arial"/>
        <color rgb="FFFF0000"/>
        <sz val="11.0"/>
      </rPr>
      <t>1/8許 語音信箱2</t>
    </r>
  </si>
  <si>
    <t>洪開燁</t>
  </si>
  <si>
    <t>0937106760</t>
  </si>
  <si>
    <r>
      <rPr>
        <rFont val="Arial"/>
        <color rgb="FF1C2B33"/>
        <sz val="11.0"/>
      </rPr>
      <t xml:space="preserve">平日下午1300-1800
</t>
    </r>
    <r>
      <rPr>
        <rFont val="Arial"/>
        <color rgb="FFFF0000"/>
        <sz val="11.0"/>
      </rPr>
      <t>1/7 未接通2</t>
    </r>
  </si>
  <si>
    <t>黃怡伶</t>
  </si>
  <si>
    <t>0971671970</t>
  </si>
  <si>
    <r>
      <rPr>
        <rFont val="Arial"/>
        <color rgb="FF1C2B33"/>
        <sz val="11.0"/>
      </rPr>
      <t xml:space="preserve">平日下午1300-1800
</t>
    </r>
    <r>
      <rPr>
        <rFont val="Arial"/>
        <color rgb="FFFF0000"/>
        <sz val="11.0"/>
      </rPr>
      <t>1/7 未接通2</t>
    </r>
  </si>
  <si>
    <t>廖國丞</t>
  </si>
  <si>
    <t>0980734825</t>
  </si>
  <si>
    <t>林貴美</t>
  </si>
  <si>
    <t>0985375557</t>
  </si>
  <si>
    <t>取消預約，已刪LINE</t>
  </si>
  <si>
    <t>徐雯柳</t>
  </si>
  <si>
    <t>0910922276</t>
  </si>
  <si>
    <t>guantoushan93@gmail.com
有地參觀</t>
  </si>
  <si>
    <r>
      <rPr>
        <rFont val="Arial"/>
        <color rgb="FFFF0000"/>
      </rPr>
      <t>朋友有買地，朋推薦我們不錯，覺得可以的話就想直接買，</t>
    </r>
    <r>
      <rPr>
        <rFont val="Arial"/>
        <color theme="1"/>
      </rPr>
      <t xml:space="preserve">
一群退休的朋友，總共4位，
人在外面，有請她加LINE</t>
    </r>
  </si>
  <si>
    <t>葉方杰</t>
  </si>
  <si>
    <t>0921300049</t>
  </si>
  <si>
    <t>1/6許 還沒看資料
沒有要看</t>
  </si>
  <si>
    <t>鄭文昌</t>
  </si>
  <si>
    <t>0928948625</t>
  </si>
  <si>
    <r>
      <rPr>
        <rFont val="Arial"/>
        <color theme="1"/>
      </rPr>
      <t xml:space="preserve">參訪
</t>
    </r>
    <r>
      <rPr>
        <rFont val="Arial"/>
        <color rgb="FFFF0000"/>
      </rPr>
      <t>1/8 空白 電話不通</t>
    </r>
  </si>
  <si>
    <t>語音，1/8 空白 電話不通</t>
  </si>
  <si>
    <t>陳妍允</t>
  </si>
  <si>
    <t>0963174111</t>
  </si>
  <si>
    <t>星期二至星期四都可以聯繫</t>
  </si>
  <si>
    <t>參訪：朋友2-3位，想要一起來，似乎只有陳小姐本人比較得空
朋友都又排假日 但周六又不便
建議他先派代表來即可</t>
  </si>
  <si>
    <t>曾苡瑄</t>
  </si>
  <si>
    <t>0909157877</t>
  </si>
  <si>
    <t>說有打過電話給他，但我沒看到XD</t>
  </si>
  <si>
    <t>蔡先生</t>
  </si>
  <si>
    <t>0923015885</t>
  </si>
  <si>
    <t>周六上午聯繫10:30
有想了解木屋
1/10 沒有急迫性,時間也比較不一定,我再打電話預約
基地目前已經有可住的地方
是因為滑FB看到我們的資料,想說未來改建或新建的可行性
可是看到你們價格不便宜
知道要看實體屋才了解差異在哪
我在聯繫你們就好</t>
  </si>
  <si>
    <t>賴慧珊</t>
  </si>
  <si>
    <t>0970594859</t>
  </si>
  <si>
    <t>後臺留言"下午兩點到五點，無地參觀
想了解木屋在潮濕的台灣耐用年限及可行性</t>
  </si>
  <si>
    <t>彭先生</t>
  </si>
  <si>
    <t>0965328664</t>
  </si>
  <si>
    <t>請問這週五(1/9)還有沒有空檔可以預約參觀？</t>
  </si>
  <si>
    <t>關注各種tinyhouse很久，認為這樣的生活方式很適合自己。
目前尚未有基地。</t>
  </si>
  <si>
    <t>朱崇莉</t>
  </si>
  <si>
    <t>0933533204</t>
  </si>
  <si>
    <t>預約參觀</t>
  </si>
  <si>
    <r>
      <rPr>
        <rFont val="Arial"/>
        <color theme="1"/>
      </rPr>
      <t xml:space="preserve">設計師同行。
參訪：朱小姐(老闆娘?)+設計師
目前有一業主，新社想蓋兩間小屋子，再參考組合屋的方式。
</t>
    </r>
    <r>
      <rPr>
        <rFont val="Arial"/>
        <color rgb="FFFF0000"/>
      </rPr>
      <t xml:space="preserve">官line有附上名片
</t>
    </r>
    <r>
      <rPr>
        <rFont val="Arial"/>
        <color theme="1"/>
      </rPr>
      <t>00074272        品筑企業有限公司
2/10 
營造公司的總經理,是此案的統籌
朱小姐是設計者,上回來參觀過有跟營造總經理這邊說感想,朱小姐也覺得很適合,約這星期六是因為,營造商這邊也想來看實體屋做確認,是否朝這個方向,業主不管這麼細節的部份,朱小姐會試著也約看看業主
用我們的木屋做一個會所+兩個傭人房</t>
    </r>
  </si>
  <si>
    <t>涂小姐</t>
  </si>
  <si>
    <t>0933139116</t>
  </si>
  <si>
    <t>想問二手，跟回收屋子</t>
  </si>
  <si>
    <t>兩老婆婆 不知道有打這通電話，可能電話錯了</t>
  </si>
  <si>
    <t>許 小姐RITA</t>
  </si>
  <si>
    <t>0923104066</t>
  </si>
  <si>
    <t>住 北部
有興趣要做度假小屋
參考太空艙跟我們的差別
想參訪2-3位，跟家人共3
先看1/14三 的時間
1/13許 等2月，一個出國、一個考試~
2/24 家人比較忙,尚未確定其他人可以的時間
可以跟我們約3/10之後在電話聯繫?確認時間?
4/21 住家在秋紅谷周邊(有錢)有很多基地
其中一基地有千坪
因為時常出國,時間比難約
目前下周要出國預計5/17回國
與客人先約5/23的時間
參訪:2位</t>
  </si>
  <si>
    <t>Lewi Sulung</t>
  </si>
  <si>
    <t>0963093581</t>
  </si>
  <si>
    <t>陳信彰</t>
  </si>
  <si>
    <t>0919515712</t>
  </si>
  <si>
    <t>2月</t>
  </si>
  <si>
    <t>潘鳳儀</t>
  </si>
  <si>
    <t>0912856352</t>
  </si>
  <si>
    <t>王哥</t>
  </si>
  <si>
    <t>0983510093</t>
  </si>
  <si>
    <r>
      <rPr>
        <rFont val="Arial"/>
        <color rgb="FF1C2B33"/>
        <sz val="11.0"/>
      </rPr>
      <t xml:space="preserve">平日早上0900-1200
</t>
    </r>
    <r>
      <rPr>
        <rFont val="Arial"/>
        <color rgb="FFFF0000"/>
        <sz val="11.0"/>
      </rPr>
      <t>1/8許 語音信箱2</t>
    </r>
  </si>
  <si>
    <t>回撥 有興趣先看資料，10點多聯繫</t>
  </si>
  <si>
    <t>石美娟</t>
  </si>
  <si>
    <t>0932502253</t>
  </si>
  <si>
    <t>未接，掛電話</t>
  </si>
  <si>
    <t>Jay</t>
  </si>
  <si>
    <t>0912166592</t>
  </si>
  <si>
    <r>
      <rPr>
        <rFont val="Arial"/>
        <color theme="1"/>
      </rPr>
      <t>是</t>
    </r>
    <r>
      <rPr>
        <rFont val="Arial"/>
        <b/>
        <color rgb="FF0000FF"/>
      </rPr>
      <t>外國人</t>
    </r>
    <r>
      <rPr>
        <rFont val="Arial"/>
        <color theme="1"/>
      </rPr>
      <t>,要用英文溝通或講慢一點，給公務機號碼,傳文字溝通
目前等客人先發訊息過來
1/13許 有再次打給客人，中文不確定到底聽不聽得懂，
但有傳英文訊息給他請他加LINE，有跟他說可以聊我們的tiny house</t>
    </r>
  </si>
  <si>
    <t>曾世國</t>
  </si>
  <si>
    <t>0910988184</t>
  </si>
  <si>
    <t>露營區業者，參訪：2-3位
詢問下周三1/14 下午場次</t>
  </si>
  <si>
    <t>江政賢</t>
  </si>
  <si>
    <t>0912528673，0982179979</t>
  </si>
  <si>
    <t>預約時間：2/10（週六） 1000</t>
  </si>
  <si>
    <t>住：桃園
參訪：2位
好奇 想做，但尚無規劃
平日上班只能約假日</t>
  </si>
  <si>
    <t>王David</t>
  </si>
  <si>
    <t>0929179767</t>
  </si>
  <si>
    <t>問管理室，已LINE 資料</t>
  </si>
  <si>
    <t>嫌貴，自己也是蓋房子的
只想要蓋一個3坪的管理室</t>
  </si>
  <si>
    <t>預約</t>
  </si>
  <si>
    <t>東海附近活動、學校教書、教會
56歲
去年中丈夫過世，很孤單
很想找人共居 但現在的品質都不好
有幾個姊妹，也都差不多，有這樣的想法，約過來一起看</t>
  </si>
  <si>
    <t>林文凱</t>
  </si>
  <si>
    <t>0963476051</t>
  </si>
  <si>
    <t>剛好今天有空想要約11點的時間過去參觀可以嗎?
住彰化/</t>
  </si>
  <si>
    <t>騎腳踏車經過都很好奇木屋。
要帶小孩所以參訪時間都只能早上，下午2:00時間會太敢
假日小朋友在家也不方便
等LINE訊息</t>
  </si>
  <si>
    <t>趙小姐</t>
  </si>
  <si>
    <t>0935964802</t>
  </si>
  <si>
    <t>問longstay，有年紀，下午要上課 4-5點後才方便
可能是公務員</t>
  </si>
  <si>
    <t>語音*2</t>
  </si>
  <si>
    <t>蕭函綸/賴</t>
  </si>
  <si>
    <t>0918209881</t>
  </si>
  <si>
    <t>未接，電話留錯</t>
  </si>
  <si>
    <t>陳惠美</t>
  </si>
  <si>
    <t>0984290669</t>
  </si>
  <si>
    <t>幾年前是我們家具客人
想要預約參觀行動木屋
平日二或四方便參觀
有地的參觀
上午10點過後皆可</t>
  </si>
  <si>
    <t>基地: 新竹關西
基地現況: 有一荒廢小屋(打算拆)
丙建60坪
已有水電
先生是姓喬</t>
  </si>
  <si>
    <t>林家綺小姐</t>
  </si>
  <si>
    <t>0953080805</t>
  </si>
  <si>
    <t>想預約參觀
黃先生	0919711727</t>
  </si>
  <si>
    <t>已有土地(整地完成)，目前正在規劃中，水電尚未申請</t>
  </si>
  <si>
    <t>張瑋峻</t>
  </si>
  <si>
    <t>0975582668</t>
  </si>
  <si>
    <t>感覺超沒誠意，都沒看訊息，
叫他加LINE，請我們傳訊息</t>
  </si>
  <si>
    <t>粘惠雅</t>
  </si>
  <si>
    <t>0911234327</t>
  </si>
  <si>
    <t>看到reels介紹 但有點不了解
請問是提供短期渡假 還是長住？
費用如何計算呢</t>
  </si>
  <si>
    <t>目前想先了解，
有跟小姐說園區的展示空間大小1、2、3，
有給小姐目前可參觀時間</t>
  </si>
  <si>
    <t>林文炳</t>
  </si>
  <si>
    <t>0935723658</t>
  </si>
  <si>
    <t>問我們是哪裡，然後掛電話</t>
  </si>
  <si>
    <t>江佳霖</t>
  </si>
  <si>
    <t>0919589737</t>
  </si>
  <si>
    <t>無地的參觀 聯絡時間15:00
先說先了解土地和法規並看過實際木屋後再去找地。
如果可以的話 
希望預約1/24或31的週六 不曉得方不方便</t>
  </si>
  <si>
    <t>回撥，小姐確認參訪時間，有請小姐先加LINE</t>
  </si>
  <si>
    <t>余屏</t>
  </si>
  <si>
    <t>0935589329</t>
  </si>
  <si>
    <t>您好～想預約時間
週二下午兩點</t>
  </si>
  <si>
    <t>之前在網路上都有看到我們的廣告，
先生詢問要不要來參觀，覺得不錯，
感覺是想了解而已，目前沒有計畫在規劃中
每周五的時間都可以，想預約1/23(五) 2-3人</t>
  </si>
  <si>
    <t>傅美慧</t>
  </si>
  <si>
    <t>0930104687</t>
  </si>
  <si>
    <t>媽媽那邊有農地上面有十幾年的鐵皮屋，
覺得我們的內裝不錯，想先了解，有請她先加LINE</t>
  </si>
  <si>
    <t>鍾欣達</t>
  </si>
  <si>
    <t>0925752509</t>
  </si>
  <si>
    <t>無地的參觀 聯繫時間1/12、13 下午1330前
您好我想預約1/14號中午過後去參訪木屋，
一共是2個大人。</t>
  </si>
  <si>
    <t>女朋友之前有來看過，覺得不錯，有買房的計畫，
但喜歡我們的風格，覺得自己買地再放我們的木屋感覺很棒！
目前還沒有買地！</t>
  </si>
  <si>
    <t>劉坤富</t>
  </si>
  <si>
    <t>0931590178</t>
  </si>
  <si>
    <t>1/16 還在工作中,沒看資料
下周再連繫我(周末出去玩)
1/20  2通未接</t>
  </si>
  <si>
    <t>陳紹周</t>
  </si>
  <si>
    <t>0936175376</t>
  </si>
  <si>
    <t>沒看過資料
基地在后里約600多坪
想出租給人住長期的
目前看很多家廠商
不知道我們(沒仔細讀資料)
1/20 5點後撥過去</t>
  </si>
  <si>
    <t>鍾竹昇</t>
  </si>
  <si>
    <t>0935612562</t>
  </si>
  <si>
    <t>說沒收到資料,在寄一次
可聯繫時間(都可以)
1/20 1600還在開會~晚點再撥</t>
  </si>
  <si>
    <t>鄭時宜</t>
  </si>
  <si>
    <t>0939223595</t>
  </si>
  <si>
    <t>有地的參觀 聯繫時間下午5點後</t>
  </si>
  <si>
    <t>我是高雄人
基地也在高雄
我們有三位好友要一起搭高鐵上去參觀
週六較方便~~我在跟朋友確認時間
在line上跟我們說</t>
  </si>
  <si>
    <t>鄭小姐</t>
  </si>
  <si>
    <t>0905074197</t>
  </si>
  <si>
    <t>明天早上想參觀，已告知額滿，要另排</t>
  </si>
  <si>
    <t>可能有4位參訪，要確定回台中的時間才能來電預約
1/13許 再次回撥，有請小姐加LINE方便連絡可參訪時間</t>
  </si>
  <si>
    <t>曾儷珺</t>
  </si>
  <si>
    <t>0937979198</t>
  </si>
  <si>
    <t>住台南 想約 1/ 27.28.29，
16:30後比較方便接通
有LINE</t>
  </si>
  <si>
    <t>住台南，之前就有關注過，目前沒有土地，主要是想要先了解，</t>
  </si>
  <si>
    <t>李碧荷</t>
  </si>
  <si>
    <t>0911651298</t>
  </si>
  <si>
    <t>說再忙有請她加LINE</t>
  </si>
  <si>
    <t>張瑞成</t>
  </si>
  <si>
    <t>0905130308</t>
  </si>
  <si>
    <t>陳筠勻</t>
  </si>
  <si>
    <t>0958391399</t>
  </si>
  <si>
    <t>說小孩在車上很吵，說再聯絡</t>
  </si>
  <si>
    <t>韓家瑩</t>
  </si>
  <si>
    <t>0937737962</t>
  </si>
  <si>
    <t>我們主要是聯誼活動，帶社友參觀。
扶輪社,預計6月份參觀</t>
  </si>
  <si>
    <t>6月</t>
  </si>
  <si>
    <r>
      <rPr>
        <rFont val="Arial"/>
        <color theme="1"/>
      </rPr>
      <t xml:space="preserve">會辦一些活動,走訪各地參觀探索
社員夫人,都會是退休後的人士,有閒有錢
我是負責活動規畫的人,因為看到說你們有這樣的參訪活動
老實說蠻吸引我想了解,
覺得是不錯的團康活動,
台中石岡地區,我們也辦過蠻多次活動在這邊了
我們預計會25~30人,請幫我規劃這樣收費是多少?
再請您們人員與我回覆~
盡量文字留line給我,平時忙工作有空就回覆
1/20許  </t>
    </r>
    <r>
      <rPr>
        <rFont val="Arial"/>
        <b/>
        <color rgb="FFFF0000"/>
      </rPr>
      <t>五月初聯絡</t>
    </r>
  </si>
  <si>
    <t>賴先生</t>
  </si>
  <si>
    <t>0928388801</t>
  </si>
  <si>
    <t>一坪多少錢，今天可以去看嗎
 (已告知額滿)</t>
  </si>
  <si>
    <t>再開會，說會請先生回撥</t>
  </si>
  <si>
    <t>3月</t>
  </si>
  <si>
    <t>黃文政</t>
  </si>
  <si>
    <t>0982334142</t>
  </si>
  <si>
    <t>預約參觀木屋</t>
  </si>
  <si>
    <r>
      <rPr>
        <rFont val="Arial"/>
        <color theme="1"/>
      </rPr>
      <t xml:space="preserve">講話比較急
職業是護理師
星期日參觀較方便&amp;晚上,其他時間還要再確認
目前正在看南投中寮一塊基地
想規劃成露營區
你們可以一條龍服務?
申請露營登記,建照使照?
</t>
    </r>
    <r>
      <rPr>
        <rFont val="Arial"/>
        <color rgb="FF4A86E8"/>
      </rPr>
      <t>1/28 榕 未接
(既然想做露營區，無論如何要安排一趟來參訪！)</t>
    </r>
  </si>
  <si>
    <t>鍾先生</t>
  </si>
  <si>
    <t>0912136863</t>
  </si>
  <si>
    <t>有地的參觀
基地在新竹
農地建地
如果可以合法最好
計畫確定可以隨時執行
自己就是決策者
在line上聯絡參觀日期
還不太清楚是自用還是經營???</t>
  </si>
  <si>
    <t>林小姐</t>
  </si>
  <si>
    <t>0921196677</t>
  </si>
  <si>
    <t>問我們三房一廳多少，回她有沒有看訊息就掛電話</t>
  </si>
  <si>
    <t>何沛家</t>
  </si>
  <si>
    <t>0975372865</t>
  </si>
  <si>
    <t>我想預約參觀</t>
  </si>
  <si>
    <t>葉小釵</t>
  </si>
  <si>
    <t>0935970079</t>
  </si>
  <si>
    <t>劉克敏</t>
  </si>
  <si>
    <t>0918102056</t>
  </si>
  <si>
    <t>未接，通話中</t>
  </si>
  <si>
    <t>may</t>
  </si>
  <si>
    <t>0976696362</t>
  </si>
  <si>
    <t>游秋風</t>
  </si>
  <si>
    <t>0920334802</t>
  </si>
  <si>
    <t>假日有空，台東農地1甲地有種芒果，
舊房吹走想換新的，大約7 8坪
旁邊鐵皮屋可以拆，旁邊有大約有5坪水泥地，
根本沒看資料，說看完後回電</t>
  </si>
  <si>
    <t>潘先生
鴻門宴</t>
  </si>
  <si>
    <t>0912472999</t>
  </si>
  <si>
    <t>地點台東，10分鐘後未接</t>
  </si>
  <si>
    <t>鄭秀麗</t>
  </si>
  <si>
    <t>0910360998</t>
  </si>
  <si>
    <t xml:space="preserve">目前再打球大約7、8點到家，跟小姐約明日早上電話
1/17許 感覺是已經退休的人，因為一直再打球，
有地然後目前有要放置屋子
想預約平日一或四(1/23四)，有請她加LINE，
確認已加後再算預約成功(已加入)
1/21許 說出國要等2月再連絡
2/24 先生摔傷最近都在住院中,暫時不過去
同意可以晚些時刻再聯繫
</t>
  </si>
  <si>
    <t>洪藝宸</t>
  </si>
  <si>
    <t>0905066863</t>
  </si>
  <si>
    <t>已經有土地在規劃了，目前在挖水管中，
不想要太急參觀，說自己找時間再來預約</t>
  </si>
  <si>
    <t>陳薇妮</t>
  </si>
  <si>
    <t>0927880902</t>
  </si>
  <si>
    <t>您好 想請問一坪是多少錢呢
不好意思 請問基本款/旗艦款、遊牧 大／小 單院
各是幾坪,以及全設備是包含哪些呢 ?</t>
  </si>
  <si>
    <t>平日聯絡10：00 - 17：00
等客人確認時間</t>
  </si>
  <si>
    <t>Paul Lin</t>
  </si>
  <si>
    <t>0911801119</t>
  </si>
  <si>
    <t>海拔1000公尺以上新竹以北、花東背山面海木屋
感覺以為我們是房地產，跟我們說有計畫再跟他聯絡</t>
  </si>
  <si>
    <t>陳明賢</t>
  </si>
  <si>
    <t>0912666074</t>
  </si>
  <si>
    <t>說自己是廠商，跟規畫的朋友一起來看
目前聽起來不願透漏太多(講話有點句點)
網站設計的廠商
目前有想要規劃房子，但還沒有土地，覺得空間不錯
有請他先加LINE，參訪時間要再給他
3/17 周二 參訪：朋友2P
統編 90089666
公司名 利優數位科技有限公司
負責人 陳明賢
資本額  30,000</t>
  </si>
  <si>
    <t>麥克帶萌</t>
  </si>
  <si>
    <t>0901172439</t>
  </si>
  <si>
    <t>電話無回應</t>
  </si>
  <si>
    <t>John Liu</t>
  </si>
  <si>
    <t>0966753176</t>
  </si>
  <si>
    <t>何</t>
  </si>
  <si>
    <t>0918168221</t>
  </si>
  <si>
    <t>汝軍</t>
  </si>
  <si>
    <t>陳惠萍</t>
  </si>
  <si>
    <t>0919788187</t>
  </si>
  <si>
    <t>許瑞宜</t>
  </si>
  <si>
    <t>0921499198</t>
  </si>
  <si>
    <t>陳冠宇</t>
  </si>
  <si>
    <t>0908236388</t>
  </si>
  <si>
    <t>想要今天或明天來先看看園區目前狀況，
南部4000多坪丙建，是個人、已退休，
他說是舊客，有買過我們很多產品
想跟老闆一樣做一個園區，水電目前沒有、水保OK
客人想找老闆聊聊他目前園區可以怎麼規劃跟開始，
跟他先說轉達專員，再請專員跟他聯繫</t>
  </si>
  <si>
    <t>共生宅／園區／養生村
約37個單位，
基地：嘉義番路，球場旁邊4000坪丙建
(地主：東洋棕梠湖高爾夫球場)
水電沒有、水保OK(已經有送審?? 建築圖也送了??)
原想跟地主買下，後來地主想法不同，所以組團隊與地主合作
年紀：60歲</t>
  </si>
  <si>
    <t>Chiang Yuling</t>
  </si>
  <si>
    <t>0933811633</t>
  </si>
  <si>
    <t>以為我們是房地產木屋的買賣，說有需要會再聯絡</t>
  </si>
  <si>
    <t>李伊尊</t>
  </si>
  <si>
    <t>0982268422</t>
  </si>
  <si>
    <t>請問要如何預約呢</t>
  </si>
  <si>
    <t>是金融業，目前沒有在規劃，想先參觀了解
2-4P參觀</t>
  </si>
  <si>
    <t>翁小姐</t>
  </si>
  <si>
    <t>0979529926</t>
  </si>
  <si>
    <t>想今天來參觀</t>
  </si>
  <si>
    <t>因為經過,剛好時間可以所以想約參觀
沒有基地,有要約在line我們</t>
  </si>
  <si>
    <t>林昭程</t>
  </si>
  <si>
    <t>0932049816</t>
  </si>
  <si>
    <t>4月</t>
  </si>
  <si>
    <t>徐世敏</t>
  </si>
  <si>
    <t>0910700820</t>
  </si>
  <si>
    <t>李永成</t>
  </si>
  <si>
    <t>0910517680</t>
  </si>
  <si>
    <t>郭美麗</t>
  </si>
  <si>
    <t>0972000820</t>
  </si>
  <si>
    <t>Daniel Cho</t>
  </si>
  <si>
    <t>0988183275</t>
  </si>
  <si>
    <t>開車中問我們在哪裡，傳簡訊給他</t>
  </si>
  <si>
    <t>曾慶棠</t>
  </si>
  <si>
    <t>0926924401</t>
  </si>
  <si>
    <t>問我們做甚麼的，說他加LINE 再跟他聯絡(看訊息)
二連未接</t>
  </si>
  <si>
    <t>邱明德</t>
  </si>
  <si>
    <t>0987365282</t>
  </si>
  <si>
    <t>說現在沒有空</t>
  </si>
  <si>
    <t>林萬利</t>
  </si>
  <si>
    <t>0932539620</t>
  </si>
  <si>
    <t>還沒看訊息，說看聯絡我們</t>
  </si>
  <si>
    <t>林淑英</t>
  </si>
  <si>
    <t>0935499764</t>
  </si>
  <si>
    <t>1/21說會自行連絡</t>
  </si>
  <si>
    <t>陳小姐</t>
  </si>
  <si>
    <t>0928332530</t>
  </si>
  <si>
    <t>臨時來訪，有興趣 但說要約改天就小推辭</t>
  </si>
  <si>
    <t>說人在外面騎車，有需要會再聯絡</t>
  </si>
  <si>
    <t>李旻叡</t>
  </si>
  <si>
    <t>0908951105</t>
  </si>
  <si>
    <t>30萬 可以購買產品嗎</t>
  </si>
  <si>
    <t>家人想要規劃，地點高雄柴山附近，
如貨櫃型可能進不去
要跟家人討論參訪時間，先給可預約時間</t>
  </si>
  <si>
    <t>潘紫雲</t>
  </si>
  <si>
    <t>0980691839</t>
  </si>
  <si>
    <t>說不能過來，有跟她說有需要都可加LINE聯絡</t>
  </si>
  <si>
    <t>張成昌</t>
  </si>
  <si>
    <t>0921188181</t>
  </si>
  <si>
    <t>早安，很喜歡，何時可以去參觀了解
請問地址在哪裏，搭高鐵或火車去方便嗎？
我們住在高鐵桃園站附近</t>
  </si>
  <si>
    <t>兩位退休老夫妻
（有去過紅屋民生店，有地）
地在桃園兒童美術館附近(鄰工業區-內壢合圳北路)</t>
  </si>
  <si>
    <t>趙信發</t>
  </si>
  <si>
    <t>0936662238</t>
  </si>
  <si>
    <t>想預約今日 已告知額滿，簡訊先讀後續約
今日 4-6點聯繫，已+LINE</t>
  </si>
  <si>
    <t>有地建地水電都有，舊舍倒有想換新的，
先來參觀了解，再看看要用甚麼方式處理，
南投的朋友有興趣但2月才回來，先來探探</t>
  </si>
  <si>
    <t>花菇</t>
  </si>
  <si>
    <t>0935962832</t>
  </si>
  <si>
    <t>魏珍妮</t>
  </si>
  <si>
    <t>0915768119</t>
  </si>
  <si>
    <t>楊玉瓊</t>
  </si>
  <si>
    <t>0935660331</t>
  </si>
  <si>
    <t>總和</t>
  </si>
  <si>
    <t>防詐語音，已留言</t>
  </si>
  <si>
    <t>蔡採琇</t>
  </si>
  <si>
    <t>0932580671</t>
  </si>
  <si>
    <t>5月</t>
  </si>
  <si>
    <t>還沒看訊息</t>
  </si>
  <si>
    <t>陳淑女</t>
  </si>
  <si>
    <t>0955235502</t>
  </si>
  <si>
    <t>10分鐘後，未接通</t>
  </si>
  <si>
    <t>張漢瑞</t>
  </si>
  <si>
    <t>0921612613</t>
  </si>
  <si>
    <t>2026  詳細數據</t>
  </si>
  <si>
    <t>女生接的電話，第一通掛掉
第二通說他再看一下 謝謝</t>
  </si>
  <si>
    <t>林育如</t>
  </si>
  <si>
    <r>
      <rPr>
        <rFont val="Arial"/>
        <color theme="1"/>
      </rPr>
      <t>最小的坪數是多少
目前</t>
    </r>
    <r>
      <rPr>
        <rFont val="Arial"/>
        <color rgb="FF674EA7"/>
      </rPr>
      <t>只能line 聯絡</t>
    </r>
    <r>
      <rPr>
        <rFont val="Arial"/>
        <color theme="1"/>
      </rPr>
      <t xml:space="preserve">
地在台南縣東山區</t>
    </r>
  </si>
  <si>
    <t>項目</t>
  </si>
  <si>
    <t>用LINE傳送照片</t>
  </si>
  <si>
    <t>未撥</t>
  </si>
  <si>
    <t>已撥</t>
  </si>
  <si>
    <t>已接</t>
  </si>
  <si>
    <t>呂先生Alden</t>
  </si>
  <si>
    <t>未接+語音</t>
  </si>
  <si>
    <t>0928991439</t>
  </si>
  <si>
    <t>其他
無效</t>
  </si>
  <si>
    <t>已接
未約成</t>
  </si>
  <si>
    <t>家具</t>
  </si>
  <si>
    <t>預約
成功</t>
  </si>
  <si>
    <r>
      <rPr>
        <rFont val="Arial"/>
        <color theme="1"/>
      </rPr>
      <t xml:space="preserve">台北生活&amp;工作
價格不是問題
找土地是個問題，你們有園區可以出租或介紹?
自己老家在宜蘭，認為太潮濕不適合
如果我們有長租或短租之類的可能更好
態度不差,但是問題蠻多
</t>
    </r>
    <r>
      <rPr>
        <rFont val="Arial"/>
        <color rgb="FFFF0000"/>
      </rPr>
      <t>年後願意安排特休來訪 有+LINE@
會先提供日期</t>
    </r>
  </si>
  <si>
    <t>張式燈</t>
  </si>
  <si>
    <t>0932545496</t>
  </si>
  <si>
    <t>1月24號下午3點想跟你預約
差不多八位想要參訪請跟我
聯絡電話0932-545-496張先生謝謝
已回覆當日預約已滿</t>
  </si>
  <si>
    <t>8P和家人朋友想來參觀了解，
要先跟其他人確認時間在回覆參訪日期
有想跟朋友買地規劃，想了解需要坪數及大小再決定</t>
  </si>
  <si>
    <t>簡忠毅</t>
  </si>
  <si>
    <t>0931934491</t>
  </si>
  <si>
    <t>說在忙就掛</t>
  </si>
  <si>
    <t>Steven</t>
  </si>
  <si>
    <t>0910638827</t>
  </si>
  <si>
    <t>叫我們不用打給他</t>
  </si>
  <si>
    <t>陳太太</t>
  </si>
  <si>
    <t>0988196527</t>
  </si>
  <si>
    <t>地 屏東 (未整理)
住 台中
覺得要有真的準備要回去才要來看最新的
推，不用等到那時候，既然住的近很不一樣要先來看！
下午回電 (詐騙很多，質感差很大，看過才知道)
1/24 下午去電，未接 掛電話</t>
  </si>
  <si>
    <t>現場 (ALL)</t>
  </si>
  <si>
    <t>張丁文</t>
  </si>
  <si>
    <t>0908391918</t>
  </si>
  <si>
    <t>Wei-Jhen Chen</t>
  </si>
  <si>
    <t>0928768311</t>
  </si>
  <si>
    <t>周心褕</t>
  </si>
  <si>
    <t>0980458851</t>
  </si>
  <si>
    <t>Chen Lin 陳小姐</t>
  </si>
  <si>
    <t>0982720704</t>
  </si>
  <si>
    <t>不知到木屋的狀況，下午聯繫 剛好在外面
1/24 下午 未接</t>
  </si>
  <si>
    <t>林登聖</t>
  </si>
  <si>
    <t>0932097847</t>
  </si>
  <si>
    <t>說看到我們網站上還有賣家具(???)，想要買
是早期的家具客戶</t>
  </si>
  <si>
    <t>已回覆家具部門關閉~
聽起來相要買靠山椅，說是木屋裡面有擺設的桌椅，
請他加LINE傳照片，確認是否還有庫存~
1/21 需要3~4張,確定再告知我們</t>
  </si>
  <si>
    <t>夏濱 小姐</t>
  </si>
  <si>
    <t>0925800497</t>
  </si>
  <si>
    <t>沒地，找地中，只是在找地的過程中看到fb
還不想來看，因為覺得土地還沒準備好
(有先口頭說服ai時代，看實體才能知道質感，
還是暫時不想來)</t>
  </si>
  <si>
    <t>劉淑玲</t>
  </si>
  <si>
    <t>0923192017</t>
  </si>
  <si>
    <t>做外勤工作 常開車跑來跑去
有地,但還不知道怎麼規劃
基地 彰化大村建地
劉小姐一家&amp;一位同事來參觀</t>
  </si>
  <si>
    <t>張小姐</t>
  </si>
  <si>
    <t>0908769066</t>
  </si>
  <si>
    <t>因為很喜歡,我如果去兩次OK嗎?
第一次自己先參觀,如果覺得可以想帶家人再去
住龍井/自行開車前往
目前沒有基地</t>
  </si>
  <si>
    <t>孫正文</t>
  </si>
  <si>
    <t>0968760053</t>
  </si>
  <si>
    <t>有個生意想法 Long stay 出租給別人
自己沒地
朋友的地在瑞芳&amp;深坑
跟朋友敲定時間在line我們
1/23朋友在廈門  下禮拜看看時間
2/3 朋友不打算投資,土地要賣掉
孫先生再找其他的機會,先不過去參觀</t>
  </si>
  <si>
    <t>蔡銀杏</t>
  </si>
  <si>
    <t>0912537117</t>
  </si>
  <si>
    <t>尚未看資料
職業：老師
無基地
明日下午才方便接電話
很忙~去電還沒看資料
已經告知可以line我們
2/3 過年後才方便參觀
再自行聯繫</t>
  </si>
  <si>
    <t>宋邦彥</t>
  </si>
  <si>
    <t>0982015063</t>
  </si>
  <si>
    <t>請問可以預約明天的參訪嗎？
想預約明日兩位 1/20</t>
  </si>
  <si>
    <t>2年前有參觀過
目前沒基地
住台中市區，想搬離都市,找后里外埔地區居住
居住人口4位</t>
  </si>
  <si>
    <t>陳嘉峰</t>
  </si>
  <si>
    <t>0933231487</t>
  </si>
  <si>
    <t>Gts Porsche</t>
  </si>
  <si>
    <t>0925303000</t>
  </si>
  <si>
    <t>陳美麗</t>
  </si>
  <si>
    <t>0916892782</t>
  </si>
  <si>
    <t>TEL(ALL)</t>
  </si>
  <si>
    <t>有收到簡訊,沒有仔細看
今天人在外面,待我看過簡訊再跟你們聯繫</t>
  </si>
  <si>
    <t>廖寶全</t>
  </si>
  <si>
    <t>0937977422</t>
  </si>
  <si>
    <t>雲林人
基地剛好在住家對面
因為常積水會淹起來,因此想蓋一個架高建物
基地為建地 / 有水有電了
平日或假日都方便約
我在跟家人敲時間在line我們</t>
  </si>
  <si>
    <t>陳尚勳</t>
  </si>
  <si>
    <t>0933854333</t>
  </si>
  <si>
    <t>有地的參觀
可聯繫時間 : 10:00-20:00</t>
  </si>
  <si>
    <t>住在屏東，有地想要規劃，有水電無建築物，建地
覺得我們精緻</t>
  </si>
  <si>
    <t>秦青華</t>
  </si>
  <si>
    <t>0915885575</t>
  </si>
  <si>
    <t>我最近都沒空
有空再跟您們約</t>
  </si>
  <si>
    <t>詹偉民</t>
  </si>
  <si>
    <t>0980000997</t>
  </si>
  <si>
    <t>有看到資料，若要拜訪會再聯繫(感覺沒有很積極)</t>
  </si>
  <si>
    <t>田心伶</t>
  </si>
  <si>
    <t>0921295790</t>
  </si>
  <si>
    <t>跟先生討論~ 來訪時間
有興趣，明後天聯繫
1/23 沒關西 我若有興趣我在官方line給你好嗎?</t>
  </si>
  <si>
    <t>楊米雪</t>
  </si>
  <si>
    <t>0922583589</t>
  </si>
  <si>
    <t>問題問很細,說我都沒回答她疑問,轉專員回覆
1.客戶都去哪找地
2.水電我們怎麼處理(不認識當地水電怎麼辦)
3.住郊區周邊沒鄰居很可怕
4.你們有賣地或租地?
台北人 固定休日一二
1/21 子榕：我們不是土地仲介~
客戶：沒有要請你們找地，只是如果沒有土地就無配套措施
(然後就斷訊了沒有聲音，回撥無接通)
1/22 客人於LINE回:因為沒方案配套,暫時不考慮</t>
  </si>
  <si>
    <t>陳聰明</t>
  </si>
  <si>
    <t>0932535707</t>
  </si>
  <si>
    <t>御禮米香</t>
  </si>
  <si>
    <t>0928875148</t>
  </si>
  <si>
    <t>後台 名單(ALL)</t>
  </si>
  <si>
    <t>工作中
晚上10:00後電話???
周六再撥看看
涵 1/24 沒看資料</t>
  </si>
  <si>
    <t>廖威森</t>
  </si>
  <si>
    <t>0935631782</t>
  </si>
  <si>
    <t>未接
1/23訊號差 還未看過資料</t>
  </si>
  <si>
    <t>曾民化</t>
  </si>
  <si>
    <t>0988721828</t>
  </si>
  <si>
    <t>想請問有出新款木屋嗎?
查詢初客8月份有聯繫過,詢問二手屋
還沒有來現場看過
請問這樣的木屋可以申請做民宿嗎</t>
  </si>
  <si>
    <t>好幾年前有來園區看過
住高雄
想運用基地 88坪 屏東萬巒市區(豬腳街) 建地
民宿(有想法但沒辦法，對法規不熟)
會再跟家人約時間 (不確定)
地：屏東萬巒 有電 沒水
想安排0314.1100了解 展示屋移轉</t>
  </si>
  <si>
    <t>林常志</t>
  </si>
  <si>
    <t>0928077777</t>
  </si>
  <si>
    <t>聲稱在忙(口氣很傲)
自己是在做建築的，都懂。不用跑現場看
+他LINE 資料通通丟給他，有空他在看
已告知官方LINE沒辦法加入
口氣太傲覺得只是要索取價格，成本，不積極處理。</t>
  </si>
  <si>
    <t>谢吉品</t>
  </si>
  <si>
    <t>0987955789</t>
  </si>
  <si>
    <t>桃園龍潭 露營業者
對話雞同鴨講(他說的好 不是好 (敷衍))
自己回電</t>
  </si>
  <si>
    <t>陳梅華</t>
  </si>
  <si>
    <t>0939136878</t>
  </si>
  <si>
    <t>LINE，試住? 有餐點？
1/21 未接通2
想預約2/8或是2/9</t>
  </si>
  <si>
    <t xml:space="preserve">統一編號： 42704038
公司名稱： 大舟遊艇股份有限公司
負責人： 陳梅華
地址： 新北市八里區龍米路一段 172 號
資本額： 3,000,000 元
閒置祖產(持分)，北投建地50坪+後方國家公園用地100-200坪
住台北 ，基地離自己工作近
目前想要先評估預算，把祖產做整理(持分的部分會請律師寫同意書)
先以自己住為主，後續主要想把基地整理好後出售
木屋未來有打算移動到台東(幾年後才會有這個規劃)
</t>
  </si>
  <si>
    <t>梁青惠</t>
  </si>
  <si>
    <t>0939809039</t>
  </si>
  <si>
    <t>有土地在規劃，評估要哪個廠商
已有加LINE</t>
  </si>
  <si>
    <t>有詢問客製、木屋移動的部分</t>
  </si>
  <si>
    <t>喻志攻</t>
  </si>
  <si>
    <t>0931371720</t>
  </si>
  <si>
    <t>一整天都忙線中???</t>
  </si>
  <si>
    <t>聶文珍</t>
  </si>
  <si>
    <t>0933140246</t>
  </si>
  <si>
    <t>賴小姐</t>
  </si>
  <si>
    <t>0937742596</t>
  </si>
  <si>
    <t>霧峰客戶的朋友，想要先拿到木屋尺寸，去量一下基地可以怎麼規劃
100坪，道路待判斷
考慮要處理老宅還是要買木屋放下去
過年後要叫小朋友來看(大朋友)(可能說服年前先看嗎？</t>
  </si>
  <si>
    <r>
      <rPr>
        <rFont val="Arial"/>
        <color theme="1"/>
      </rPr>
      <t xml:space="preserve">較喜歡旗艦款
我只是剛詢價
還沒跟家人說
要過去會聯繫
已理解參觀要提早預約
</t>
    </r>
    <r>
      <rPr>
        <rFont val="Arial"/>
        <color rgb="FFFF0000"/>
      </rPr>
      <t>1/24 榕土地還沒處理好，要先處理好才會預約參訪</t>
    </r>
  </si>
  <si>
    <t>簡單(先生)</t>
  </si>
  <si>
    <t>0988356919</t>
  </si>
  <si>
    <t>空包彈</t>
  </si>
  <si>
    <r>
      <rPr>
        <rFont val="Arial"/>
        <color theme="1"/>
      </rPr>
      <t xml:space="preserve">住桃園 朋友有地(考慮中)
應該是自己要住的規劃先吧(客戶自己不確定)
同步再想太空艙
先詢問 2/5 週四 下午2:00 2P
確認後會回電預約(蠻肯定的)
1/27 2/4~2/5高雄朋友上來找他,2/5可能不行
有意願參訪,時間在告訴我們,有請簡先生加line
</t>
    </r>
    <r>
      <rPr>
        <rFont val="Arial"/>
        <color rgb="FFFF0000"/>
      </rPr>
      <t>1/28 榕時間排不出來，要來再預約</t>
    </r>
  </si>
  <si>
    <t>0928529181</t>
  </si>
  <si>
    <t>最快甚麼時候可以預約
想買台南東山山區的土地
跟太太一起來參觀
先跟太太討論時間再登記1/23 2P</t>
  </si>
  <si>
    <t>說明日要去新北佈展怕時間來不及，
有請他加LINE說會用官網或其他方式再連絡參觀</t>
  </si>
  <si>
    <t>WIX</t>
  </si>
  <si>
    <t>楊先生Weller</t>
  </si>
  <si>
    <t>0919315860</t>
  </si>
  <si>
    <t>故鄉在東勢附近
大雪山 和平區一代有一塊地，有蓋木屋的想法</t>
  </si>
  <si>
    <t>林怡嫺</t>
  </si>
  <si>
    <t>0908037897</t>
  </si>
  <si>
    <t>王瀅涵</t>
  </si>
  <si>
    <t>0972173320</t>
  </si>
  <si>
    <t>吳秀美</t>
  </si>
  <si>
    <t>0910170365</t>
  </si>
  <si>
    <t>楊濟銨</t>
  </si>
  <si>
    <t>0981332991</t>
  </si>
  <si>
    <t>最近比較忙
還沒有看資料</t>
  </si>
  <si>
    <t>Peter</t>
  </si>
  <si>
    <t>0921913818</t>
  </si>
  <si>
    <t>7月</t>
  </si>
  <si>
    <t>林克強</t>
  </si>
  <si>
    <t>0932617249</t>
  </si>
  <si>
    <t>LINE名單(ALL)</t>
  </si>
  <si>
    <t>陳靜慈</t>
  </si>
  <si>
    <t>0939819027</t>
  </si>
  <si>
    <t>花蓮基地(農牧用地)
土地還要等分割等等
台北工作~之後回花蓮
因為現在回去都是住飯店
想放個兩房一廳,我的辦公空間
mail給我: trady777@gmail.com
1/24已寄出
職業:太陽能廠商(木屋可冷氣吹到飽)</t>
  </si>
  <si>
    <t>薛如玲</t>
  </si>
  <si>
    <t>0905550039</t>
  </si>
  <si>
    <t>你好
之前曾購買一組沙發
有一些後續維修的問題，請問我該找誰？
謝謝</t>
  </si>
  <si>
    <t>等照片</t>
  </si>
  <si>
    <t>方瑋</t>
  </si>
  <si>
    <t>0926991749</t>
  </si>
  <si>
    <t>公司提早放年假，等有日期後會提早預約
3/14 涵 未接</t>
  </si>
  <si>
    <t>-</t>
  </si>
  <si>
    <t>陳昭輝</t>
  </si>
  <si>
    <t>0932150423</t>
  </si>
  <si>
    <t>FB名單(ALL)</t>
  </si>
  <si>
    <t>住：北部
基地：彰化
有興趣參訪
2/4會回到彰化 (有先問2/3二 &amp; 2/5四 時間要喬一下)
有一定財力
(會固定到此處打小白球) 嘉義 棕梠湖高爾夫球場
需要，安排在打球前後，才能順道來訪。
待+LINE@
涵3/14 暫無急迫性,石岡遠~都在北部居多~
清明節掃墓才會去中部,在line我們</t>
  </si>
  <si>
    <t>曾小姐</t>
  </si>
  <si>
    <t>0921111238</t>
  </si>
  <si>
    <t>有興趣參訪
2大2小 (12y 3.5y)
已溝通過小孩的部分，曾小姐會跟家人討論一下
目前確認預約周六 2/7 時間要喬一下
2/3 已經確定2/7不行,可能四月份再約</t>
  </si>
  <si>
    <t>鍾為國</t>
  </si>
  <si>
    <t>0955227950</t>
  </si>
  <si>
    <r>
      <rPr>
        <rFont val="Arial"/>
        <color theme="1"/>
      </rPr>
      <t xml:space="preserve">4-6點聯繫，知道我們是蓋木頭房子的
忙碌中，會先看簡訊
</t>
    </r>
    <r>
      <rPr>
        <rFont val="Arial"/>
        <color rgb="FFFF0000"/>
      </rPr>
      <t>1/24 下午回電 掛電話</t>
    </r>
  </si>
  <si>
    <t>May Chen</t>
  </si>
  <si>
    <t>0925222301</t>
  </si>
  <si>
    <t>陳小姐表示
暫時還沒有想了解
我需要會自己跟你們聯繫</t>
  </si>
  <si>
    <t>許秀如</t>
  </si>
  <si>
    <t>0986370996</t>
  </si>
  <si>
    <t>住：彰化
地：想跟朋友買
有興趣，想帶爸爸來看
有看過宥勝的影片
有去13期看過別的廠家
先+LINE
涵3/14 平日上班到5點()週六下午打過去時在上課中</t>
  </si>
  <si>
    <t>高國運</t>
  </si>
  <si>
    <t>0939308966</t>
  </si>
  <si>
    <t>廣告行銷工作者
說明去年有趣參觀過(夫妻&amp;小孩)
自己是喜歡but太太還是比較喜歡RC結構
年紀大&amp;有錢不想要在貸款之類的,可以付清屋款
苗栗(建地)基地
已經買三年了
考慮蓋起來租人
自己年紀再大一些跟老婆一起在這邊養老
不想大坪數or双層
年前比較忙...過完年如果有機會我在跟你們預約
2/26許 說目前計畫暫停，問有其他考慮廠商或其他原因
一直不說原因，只說沒有了不用(強調很多次)</t>
  </si>
  <si>
    <t>簡麗娟</t>
  </si>
  <si>
    <t>0926163259</t>
  </si>
  <si>
    <t>有需要再跟我們說
只是有初步的興趣還沒有要預約 沒有基地</t>
  </si>
  <si>
    <t>TongTong_Lin 
林小姐</t>
  </si>
  <si>
    <t>0963982989</t>
  </si>
  <si>
    <t>有看過其他家(不願透露)
先看資料
已+LINE@
討論中，要來訪再預約</t>
  </si>
  <si>
    <t>陳俞仲</t>
  </si>
  <si>
    <t>0968225342</t>
  </si>
  <si>
    <t>有一塊基地要規劃
木屋移動A地移B地(繼承的問題)
林口
2/10後方便安排參觀</t>
  </si>
  <si>
    <t>胡時</t>
  </si>
  <si>
    <t>0979555778</t>
  </si>
  <si>
    <t>Elaine Chen</t>
  </si>
  <si>
    <t>0982134837</t>
  </si>
  <si>
    <t>FB message(ALL)</t>
  </si>
  <si>
    <t>接通後知道我們是自然紅屋就說[好] (&amp;掛電話)
再打過去就都不接了</t>
  </si>
  <si>
    <t>連坤誌</t>
  </si>
  <si>
    <t>0931666444</t>
  </si>
  <si>
    <t>想約2/3(二)早上10點(專員在湊人數中)
苗栗基地(農地)
正在評估要用哪種形式蓋屋
涵3/14  約3/27週五 
第2次爽約的人</t>
  </si>
  <si>
    <t>楊建林</t>
  </si>
  <si>
    <t>0913966625</t>
  </si>
  <si>
    <t xml:space="preserve">
請問2月4號早上可以參觀嗎？
請用Line聯繫侯沛妤</t>
  </si>
  <si>
    <t>已加公務機
侯沛妤0901260379 在越南(去半度假)
兩位不是夫妻，侯小姐自稱楊先生的跟隨者
基地：斗六3分地，先做自己的園區，後續還有其他基地規劃(也都3分地)
用途：個人 退休用(打早自己的農園)
法規：有請建築師規劃 路寬、以農耕所去申請
廠商：目前看三家、1紅屋 2耕築-田園小屋，晴耕雨讀(客戶說用石頭蓋的木屋，但網頁看起來是好一點的鐵皮) 3 鐵皮屋(低價位的)
時間：半年~一年</t>
  </si>
  <si>
    <t>待連絡</t>
  </si>
  <si>
    <t>張功華</t>
  </si>
  <si>
    <t>0909043093</t>
  </si>
  <si>
    <t>有地的參觀</t>
  </si>
  <si>
    <t>黃郁靜</t>
  </si>
  <si>
    <t>0986135832</t>
  </si>
  <si>
    <t>無地的參觀</t>
  </si>
  <si>
    <t>有去看過大雅的居林
也爬文過我們的資料
想親自感受實體木屋
預計與先生&amp;女兒一同去參觀
沒有基地,初期了解狀態
先生為公務員
想買苗栗基地</t>
  </si>
  <si>
    <t>范光禮</t>
  </si>
  <si>
    <t>0977032480</t>
  </si>
  <si>
    <t>平日下午1300-1800
35-65 / 中北部 / 退休度假興趣</t>
  </si>
  <si>
    <t>語音
涵3/14 未接</t>
  </si>
  <si>
    <t>陳旭薇</t>
  </si>
  <si>
    <t>0952323196</t>
  </si>
  <si>
    <t>平日下午1300-1800
35-65 / 中北部 / 退休度假興趣__</t>
  </si>
  <si>
    <t>語音
查看此人是誰決定是否接通</t>
  </si>
  <si>
    <t>安安 先生</t>
  </si>
  <si>
    <t>0916050345</t>
  </si>
  <si>
    <t>35-65 / 中部 / 露營興趣(0108+興趣)
子榕公務機</t>
  </si>
  <si>
    <t>Amy Ku
古英美</t>
  </si>
  <si>
    <t>0928266849</t>
  </si>
  <si>
    <t>35-65 / 中北部 / 退休度假興趣
住：台北
參訪 自駕
態度好，過年後預約(年前忙碌) 
+LINE@
2/26許 說目前很忙，還要準備掃墓(白眼太久了吧)，
說忙完有需要會再聯繫</t>
  </si>
  <si>
    <t>沈大雄</t>
  </si>
  <si>
    <t>0937182684</t>
  </si>
  <si>
    <t>35-65 / 中北部 / 退休度假興趣
會去看資訊 (詢問有無實體展示)
+LINE@</t>
  </si>
  <si>
    <t>王先生</t>
  </si>
  <si>
    <t>0958862111</t>
  </si>
  <si>
    <t>35-65 / 中北部 / 退休度假興趣
晚點看簡訊，(有點尷尬)</t>
  </si>
  <si>
    <t>莊秋芬</t>
  </si>
  <si>
    <t>0935560427</t>
  </si>
  <si>
    <t xml:space="preserve">不動產業務
想蓋一棟自己住的
聽到參觀要收費,就要考慮一下&lt;排在最後&gt;
強調自己經常參觀各式各樣廠商都沒在收費的
說的時候態度沒有太差,開玩笑這樣說
想看我們案例照片
有請她加官方line
</t>
  </si>
  <si>
    <t>黃慧英</t>
  </si>
  <si>
    <t>0928236267</t>
  </si>
  <si>
    <t>35-65 / 中部 / 露營興趣(0108+興趣)
找地中，有規劃想法
2P 夫妻，住：高雄 (約下午)
年紀：60+
過年後，第一周 已+LINE@約時間
涵3/14 有時會上苗栗,時間較不一定耶
沒有急迫性,已傳Line給小姐</t>
  </si>
  <si>
    <t>0988325488</t>
  </si>
  <si>
    <t>想明日到現場參觀</t>
  </si>
  <si>
    <t>花蓮基地
台中人~在花蓮有地...申請溫室有過了,
溫室 +有自有農場,目前種植咖啡樹ˇ3萬多棵
有睡覺的房間,缺客廳廚房餐廳 
可以買空屋?有一套廚具想自行安裝
預計年前回台中時間2/10~2/11
2/3 過年前無法回台中,預計年後再約
2/26許 說目前在花蓮忙，有回西部再跟我們聯絡</t>
  </si>
  <si>
    <t>8月</t>
  </si>
  <si>
    <t>張柏毅</t>
  </si>
  <si>
    <t>0930755401</t>
  </si>
  <si>
    <t>35-65 / 中北部 / 退休度假興趣
以為我們是民宿
住：基隆
基地在西螺 (都種田沒有打算要蓋)
會把我們資訊轉給另一位湯大哥朋友，說桃園有地可能比較有興趣</t>
  </si>
  <si>
    <t>Chen Mei 
陳小姐</t>
  </si>
  <si>
    <t>0927135883</t>
  </si>
  <si>
    <t>家具or維修</t>
  </si>
  <si>
    <t>35-65 / 中北部 / 退休度假興趣
住：台北
住比較遠所以要來台中的時候才會事先預約
不清楚我們是台灣廠商，以及有園區的事情
已+LINE@ 
2/3 日後有意願參觀,有機會會先打電話</t>
  </si>
  <si>
    <t>蕭寶華</t>
  </si>
  <si>
    <t>0952752417</t>
  </si>
  <si>
    <t>35-65 / 中北部 / 退休度假興趣
住：新竹／老家：台中
無地 有興趣
因為血球有狀況(時高時低，每周都需要去抽血)
對這種生活有興趣(對紅屋不了解，似乎以為我們是開發社區)
(小姐需注意身體狀況隨時調整休息)
1/31 沒有租地，暫時就不來了</t>
  </si>
  <si>
    <t>陸東明</t>
  </si>
  <si>
    <t>0963457999</t>
  </si>
  <si>
    <t>35-65 / 中北部 / 退休度假興趣
要來再+LINE@</t>
  </si>
  <si>
    <t>Max</t>
  </si>
  <si>
    <t>0963777365</t>
  </si>
  <si>
    <t>無意願進一步了解</t>
  </si>
  <si>
    <t>林裕祥</t>
  </si>
  <si>
    <t>0915580632</t>
  </si>
  <si>
    <t>想預約</t>
  </si>
  <si>
    <t>室內設計師，工作有遇過一般建地蓋一般住家組合屋的情況，之後退休家中也有一般農地和小塊建地要看能不能妥善運用，事先理解
均翰室內裝修工程有限公司
工務主任 林裕祥</t>
  </si>
  <si>
    <t>謝永陽</t>
  </si>
  <si>
    <t>0988699399</t>
  </si>
  <si>
    <t>想過去參觀，FB有填</t>
  </si>
  <si>
    <t>南投魚池有兩塊基地(300坪&amp;200坪)建地
自己居住使用,一家四口
預算一個双院、一個3院
優先順序:先蓋双院,住得舒服在購買3院
唐山大普渡 主委 (彰化鹿港)
https://www.chcg.gov.tw/ch2/newsdetail.aspx?bull_id=416085&amp;utm_source=website&amp;utm_medium=rss&amp;utm_campaign=news01b
統一編號（統編）　	58020264
公司名稱	大陽精機廠股份有限公司
代表人姓名	謝式敏
公司所在地	彰化縣鹿港鎮頂番里埤頭巷29-1號  
電話	04-7773669
資本總額(元)	80,000,000
https://twincn.com/item.aspx?no=58020264</t>
  </si>
  <si>
    <t>李秀英</t>
  </si>
  <si>
    <t>0928275598</t>
  </si>
  <si>
    <t>平日早上0900-1200
35-65 / 中北部 / 退休度假興趣</t>
  </si>
  <si>
    <t>詹秀慈</t>
  </si>
  <si>
    <t>0918937811</t>
  </si>
  <si>
    <t>最近比較忙沒時間過去
過年後再聯繫
有基地</t>
  </si>
  <si>
    <t>總電話量(月)</t>
  </si>
  <si>
    <t>0911128666</t>
  </si>
  <si>
    <t>35-65 / 中部 / 露營興趣(0108+興趣)
(早上在上課)下午聯繫
初步有興趣尚未有規劃</t>
  </si>
  <si>
    <t>孔娣芝</t>
  </si>
  <si>
    <t>0955560316</t>
  </si>
  <si>
    <t>35-65 / 中北部 / 退休度假興趣
下周在聯繫，客戶週六出門在迷路中(有點不爽接到電話)
木屋是在生涯規畫中的一環
目前無基地
住：台北
年後再約，會先跟先生討論，再朋友車上不方便電話</t>
  </si>
  <si>
    <t>徐靜湄</t>
  </si>
  <si>
    <t>0935689180</t>
  </si>
  <si>
    <t>教操作加line(老人家)
台東有一塊基地本身已有簡易屋了
想看有無可重新蓋過
住桃園林口
買地在台東是因為有親戚住在那邊
也覺得環境很不錯
想退休後到那邊生活
最近有空閒時間,想多了解蓋屋方式
預計農曆年後約時間
2/26許 說目前再上課，下課會自行連絡
統編 89717111 
公司名 浤鑫實業有限公司
資本額 1,000,000
負責人 吳定緯</t>
  </si>
  <si>
    <t>Peng Peng</t>
  </si>
  <si>
    <t>0915257508</t>
  </si>
  <si>
    <t>再忙,就掛電話了</t>
  </si>
  <si>
    <t>黃涵如</t>
  </si>
  <si>
    <t>0928231836</t>
  </si>
  <si>
    <t>說再忙，會再聯絡我們</t>
  </si>
  <si>
    <t>奇異果</t>
  </si>
  <si>
    <t>0931616718</t>
  </si>
  <si>
    <t>35-65 / 中部 / 露營興趣(0108+興趣)
開車中不方便(拜訪客戶)
不便透露行業別
已加我們官方line(貼圖目前不便操作)</t>
  </si>
  <si>
    <t>高京都</t>
  </si>
  <si>
    <t>0916780986</t>
  </si>
  <si>
    <t>35-65 / 中北部 / 退休度假興趣
1/31 打去時忙於搬家中
等2/3再聯繫</t>
  </si>
  <si>
    <t>林明書</t>
  </si>
  <si>
    <t>0933795906</t>
  </si>
  <si>
    <t>35-65 / 中北部 / 退休度假興趣
有興趣想了解木屋</t>
  </si>
  <si>
    <t>黃立業</t>
  </si>
  <si>
    <t>0937189347</t>
  </si>
  <si>
    <t>我想了解木屋資訊</t>
  </si>
  <si>
    <t>有基地淡水三芝 甲建
有問到承重問題
一定要合法
先不及參觀
 [ 要先詢問水電申請的事務 ]
認為小房屋我們的還是最細膩的廠商</t>
  </si>
  <si>
    <t>特殊</t>
  </si>
  <si>
    <t>是什麼紀銘修</t>
  </si>
  <si>
    <t>0930989600</t>
  </si>
  <si>
    <t>平日下午1300-1800
35-65 / 中部 / 露營興趣(0108+興趣)</t>
  </si>
  <si>
    <t>龍井 組合屋的廠商
平常很忙碌
已告知參觀要預約
會在加line(不積極)</t>
  </si>
  <si>
    <t>李先生
 Stephen Lee</t>
  </si>
  <si>
    <t>0927786888</t>
  </si>
  <si>
    <t>35-65 / 中部 / 露營興趣(0108+興趣)
幫佛堂增建事由做詢問
決策者不是自己
基地豐原圓環東路&amp;中正路附近佛場  (地目是綠地??)
有塊空地約40~50坪
基地因有高低差需要架高
因為讓師父下台中課程結束可以有地方休息
不需要衛浴空間,
考慮帶內部人員先來參觀了解
PS太太是卓蘭人
想約師父過來參觀 過年後再保持聯絡</t>
  </si>
  <si>
    <t>黃佳慧</t>
  </si>
  <si>
    <t>0923103193</t>
  </si>
  <si>
    <t>平日下午1300-1800
35-65 / 中部 / 露營興趣(0108+興趣)
無地的參觀
10:00~15:00 (不常使用電話,請盡量以line或簡訊聯繫)
有建地,但在台中市區。 主要希望帶媽媽了解另一種生活方式的可能。 但她雙腳無力,走路較慢,需持健走杖輔助 ,不需坐輪椅(我們昨天才搭火車去了通霄神社走走) 請問這樣適合參觀嗎？ 目前我們合適的時間： 2/9(一) 或 2/12(四) 希望能於15:00前結束參觀離開</t>
  </si>
  <si>
    <t>宋淑華</t>
  </si>
  <si>
    <t>0917358096</t>
  </si>
  <si>
    <t>問地點,以為我們是民宿OR可以住宿的
看有無收到簡訊</t>
  </si>
  <si>
    <t>Connie Frank
時先生</t>
  </si>
  <si>
    <t>0982109622</t>
  </si>
  <si>
    <t>週六下午1300-1800
35-65 / 中北部 / 退休度假興趣</t>
  </si>
  <si>
    <t xml:space="preserve">上班用公司手機(也不方便通話)
已請客人加官line
桃園人
爸爸在苗栗有基地(已有水電)
社區型農地
去山上的時候可以有一處木屋可以休息
不太清楚坪數 可能200坪
</t>
  </si>
  <si>
    <t>Lu Jing
盧小姐</t>
  </si>
  <si>
    <t>0978823381</t>
  </si>
  <si>
    <t>2/5 聯繫，下午3點半後有空，約四點再跟他聯絡
2/7聯繫 說下周二下午方便聯繫</t>
  </si>
  <si>
    <t>Pingen
Adriano Chan</t>
  </si>
  <si>
    <t>0910456277</t>
  </si>
  <si>
    <t>35-65 / 中部 / 露營興趣(0108+興趣)
這先生說FB名字與他不同,不是他留的資訊(可能電話留錯?)</t>
  </si>
  <si>
    <t>許小姐
areta hsu</t>
  </si>
  <si>
    <t>0916809167</t>
  </si>
  <si>
    <t>新竹寶山有一塊基地
買很久了,因為跟先生時常會去露營
想在寶山這邊放個屋子,
居住頻率約一個月1次
年前比較忙,需出差
年後再約參觀</t>
  </si>
  <si>
    <t>徐正雄</t>
  </si>
  <si>
    <t>0919655911</t>
  </si>
  <si>
    <t>平日早上0900-1200
35-65 / 中部 / 露營興趣(0108+興趣)</t>
  </si>
  <si>
    <t>沒有地，目前有想要規劃
想要找已經有農舍的地用偷天換日法操作
以加LINE</t>
  </si>
  <si>
    <t>楊巧鈺</t>
  </si>
  <si>
    <t>0970332606</t>
  </si>
  <si>
    <t>您好 想要預約參觀
2/5 1300</t>
  </si>
  <si>
    <t>自由工作者
與夥伴要一起住木屋(想住木屋)
正在蒐集資料做功課
目前2/5+2/6北南下會停留於中部
2/7就會在嘉義了確定無法安排
最慢2/5早上要告知可否約成</t>
  </si>
  <si>
    <t>蔡宗秩</t>
  </si>
  <si>
    <t>35-65 / 中部 / 露營興趣(0108+興趣)
有興趣多了解
再加Line跟我們約時間
住沙鹿 太太周六才放假可以參觀
line已將我們封鎖</t>
  </si>
  <si>
    <t>陳先生
Yi Chen</t>
  </si>
  <si>
    <t>0976212021</t>
  </si>
  <si>
    <t>電話打過去後
說已經不需要了解
已經購買別家木屋了</t>
  </si>
  <si>
    <t>許大千</t>
  </si>
  <si>
    <t>0983663520</t>
  </si>
  <si>
    <t xml:space="preserve">平日下午1300-1800
35-65 / 中部 / 露營興趣(0108+興趣)
</t>
  </si>
  <si>
    <t>接起來當說到我們是自然紅屋
就說 知道了 掰掰(掛電話)惹到你?</t>
  </si>
  <si>
    <t>鄭小琴</t>
  </si>
  <si>
    <t>0988259770</t>
  </si>
  <si>
    <t>客觀條件都沒有，會一直問問題(價錢、選配等)
說有土地的話想規劃，有需要再聯絡</t>
  </si>
  <si>
    <t>莊茵琪</t>
  </si>
  <si>
    <t>0921717983</t>
  </si>
  <si>
    <t>土地可用面積30坪
可否雙層樓&amp;辦公室空間
2/4再聯繫</t>
  </si>
  <si>
    <r>
      <rPr/>
      <t xml:space="preserve">欣上原 電動床公司，彰濱工業
6P(老闆+同事) 想做雙層樓&amp;辦公ˋ室空間
可用面積 30坪 再廠房旁邊
公司官網
https://www.starseeds.tw/
公司黃頁
</t>
    </r>
    <r>
      <rPr>
        <color rgb="FF1155CC"/>
        <u/>
      </rPr>
      <t>https://info.technews.tw/company/70673367-%E6%AC%A3%E4%B8%8A%E5%8E%9F%E8%82%A1%E4%BB%BD%E6%9C%89%E9%99%90%E5%85%AC%E5%8F%B8</t>
    </r>
  </si>
  <si>
    <t>范光
淼(ㄇ一ㄠˇ)</t>
  </si>
  <si>
    <t>0936454842</t>
  </si>
  <si>
    <r>
      <rPr>
        <rFont val="Arial"/>
        <color theme="1"/>
      </rPr>
      <t>住：雲林
看一下價格 (週二剛好到附近)
價格ok的話下周三可以再跑一趟台中
2/11 過年後 ，平日時間都可以約
3/17-22出國，</t>
    </r>
    <r>
      <rPr>
        <rFont val="Arial"/>
        <b/>
        <color rgb="FFFF0000"/>
      </rPr>
      <t xml:space="preserve">想約3/4or6
</t>
    </r>
    <r>
      <rPr>
        <rFont val="Arial"/>
        <color theme="1"/>
      </rPr>
      <t>3/4爽約</t>
    </r>
  </si>
  <si>
    <t>魏小姐</t>
  </si>
  <si>
    <t>0910053852</t>
  </si>
  <si>
    <t>1/31 陳梅華推薦
香港人(香港口音)
想2/5去參觀(已告知人數已滿)
若有取消在跟魏小姐說</t>
  </si>
  <si>
    <t>說沒有啦，就沒有說甚麼了，說之後再連絡</t>
  </si>
  <si>
    <t>Ming Ming Lee</t>
  </si>
  <si>
    <t>0912027584</t>
  </si>
  <si>
    <t>感覺是想要來露營的
說有需要會再聯繫</t>
  </si>
  <si>
    <t>趙子緯</t>
  </si>
  <si>
    <t>0932197857</t>
  </si>
  <si>
    <t>35-65 / 中北部 / 退休度假興趣
住：台北
距離太遠 目前沒想法</t>
  </si>
  <si>
    <t>邱佳煦</t>
  </si>
  <si>
    <t>0939990082</t>
  </si>
  <si>
    <t>Chen Chen</t>
  </si>
  <si>
    <t>0975143591</t>
  </si>
  <si>
    <t>袁淑美</t>
  </si>
  <si>
    <t>0911942709</t>
  </si>
  <si>
    <t>歐 小蓉 小姐</t>
  </si>
  <si>
    <t>0938955053</t>
  </si>
  <si>
    <t>35-65 / 中部 / 露營興趣(0108+興趣)
朋友有來過(當時沒收300)
有興趣沒地，想了解租地規劃
住：台中北區
過年前不確定要跟家人討論一下</t>
  </si>
  <si>
    <t>Winnie</t>
  </si>
  <si>
    <t>0966867686</t>
  </si>
  <si>
    <t>周六在上班
平常日在撥
約下周二2/10下午去電</t>
  </si>
  <si>
    <t>李蕙蕙</t>
  </si>
  <si>
    <t>0976250029</t>
  </si>
  <si>
    <t>有請客人確認有無收到簡訊
在上班,急忙掛電話</t>
  </si>
  <si>
    <t>Jamie
吉米小蓮</t>
  </si>
  <si>
    <t xml:space="preserve"> 住：新竹 (家人 自己在國外)
地：新竹峨嵋 (有兩塊地)
只想使用3-5年，預算有限(要先去整合總預算 水電跟吊車 怕預算不夠)，建議大單院
算好可以安排家人先來看</t>
  </si>
  <si>
    <t>葉先生
雲之子</t>
  </si>
  <si>
    <t>0919828580</t>
  </si>
  <si>
    <t>35-65 / 中部 / 露營興趣(0108+興趣)
無地
對於法規不清楚 要用農地還是建地
+LINE@ 聯絡3月的假日預約</t>
  </si>
  <si>
    <t>陳先生
Clement Chen</t>
  </si>
  <si>
    <t>0932181336</t>
  </si>
  <si>
    <t>台北人,因為目前沒有基地,目前沒想法
我先看一下你們的資料,有興趣我會再跟你們聯絡</t>
  </si>
  <si>
    <t>潘小姐</t>
  </si>
  <si>
    <t>0958765678</t>
  </si>
  <si>
    <t>家具舊客問題</t>
  </si>
  <si>
    <t>已回覆 找舊家具維修</t>
  </si>
  <si>
    <t>李佳純</t>
  </si>
  <si>
    <t>03-9680926</t>
  </si>
  <si>
    <t>0905770032</t>
  </si>
  <si>
    <t>住：宜蘭 
基地：宜蘭 農牧用地
要蓋農舍，細節都還再申請(現場討論)
有露營車，想順路去嘉義一趟
小孩，15y 17y</t>
  </si>
  <si>
    <t>張秀美</t>
  </si>
  <si>
    <t>0937700553</t>
  </si>
  <si>
    <t>週六下午1300-1800
35-65 / 中部 / 露營興趣(0108+興趣)</t>
  </si>
  <si>
    <t>林棠棠</t>
  </si>
  <si>
    <t>0925038103</t>
  </si>
  <si>
    <t>35-65 / 中北部 / 退休度假興趣</t>
  </si>
  <si>
    <t>洪翠紋</t>
  </si>
  <si>
    <t>0937433161</t>
  </si>
  <si>
    <t>禮貌, 再忙 下周再撥
已問我們參觀地點(石岡)</t>
  </si>
  <si>
    <t>蘇芳語</t>
  </si>
  <si>
    <t>0921921079</t>
  </si>
  <si>
    <t>退休了
嘉義老家有一塊地
思考2.5坪的休息空間或是可以2房的双院
尚未看過資料
已加過官方line關注一陣子</t>
  </si>
  <si>
    <t>特殊X</t>
  </si>
  <si>
    <t>吳德雄</t>
  </si>
  <si>
    <t>0937807452</t>
  </si>
  <si>
    <t>黃依婷</t>
  </si>
  <si>
    <t>0978552317</t>
  </si>
  <si>
    <t>&amp;合夥人在埔里有一茶園正在申請露營區(送審中)
詢問木屋是否可以申請合法? 可以
預計會忙到228之後
三月份約參訪
到時候會提前在line預約參觀</t>
  </si>
  <si>
    <t>蔡佩蓉</t>
  </si>
  <si>
    <t>0976700383</t>
  </si>
  <si>
    <t>住：台中
目前純好奇想參訪，以前曾經有想約兩天一夜，時間沒約上
參訪：自己2+朋友1</t>
  </si>
  <si>
    <t>ViolaChen</t>
  </si>
  <si>
    <t>0928635635</t>
  </si>
  <si>
    <t>想約2/11早上参觀，2人</t>
  </si>
  <si>
    <t>無地的參觀
問題比較多&amp;仔細的客人
未來可能朝這個方向規劃自己住的空間
過年前2/11有約,沒有約成功
參訪者: 朋友
職業:心理諮商師</t>
  </si>
  <si>
    <t>Ivy Wei</t>
  </si>
  <si>
    <t>0924170286</t>
  </si>
  <si>
    <t>平日下午1300-1800
35-65 / 中北部 / 退休度假興趣
有地的參觀
ivy.w2010@gmail.com</t>
  </si>
  <si>
    <t>Yu</t>
  </si>
  <si>
    <t>0920238023</t>
  </si>
  <si>
    <t>週六早上0900-1200
35-65 / 中部 / 露營興趣(0108+興趣)</t>
  </si>
  <si>
    <t>高先生</t>
  </si>
  <si>
    <t>0930597225</t>
  </si>
  <si>
    <t>要合法
正努力找地中
已經有加line</t>
  </si>
  <si>
    <t>李振德/
漢諾威國際有限公司</t>
  </si>
  <si>
    <t>0982858666</t>
  </si>
  <si>
    <t>註明3/3過後才安排參訪(元宵節後)
漢諾威 國際有限公司_
統編16380934
資本額:500萬
室內設計-裝修工程/土木營造-鋼構廠房
桃園龜山...等很多基地
同行業
目前半退休狀態,了解市場萎縮,
幫自己了解也幫客戶多了解組合屋的蓋屋方式
已電話約3/3參訪,等待Line回覆</t>
  </si>
  <si>
    <t>akai</t>
  </si>
  <si>
    <t>0932981148</t>
  </si>
  <si>
    <t>再忙
過年後再聯絡</t>
  </si>
  <si>
    <t>戴如青</t>
  </si>
  <si>
    <t>0937127155</t>
  </si>
  <si>
    <t>現在有中古屋嗎?</t>
  </si>
  <si>
    <t>桃園平鎮 
有地有水電
已蓋化糞池(未完成)
有問到宥勝是否要出清木屋,擔心木屋發霉
還沒參觀過實體木屋
建議先來參觀,說明會更清楚
戴小姐要我加她的line 傳資訊
過年戴小姐在跟家人敲時間來參觀木屋</t>
  </si>
  <si>
    <t>Crystal Chang</t>
  </si>
  <si>
    <t>0985303538</t>
  </si>
  <si>
    <t>吳氏俊國</t>
  </si>
  <si>
    <t>0977048357</t>
  </si>
  <si>
    <t>陳柏翰</t>
  </si>
  <si>
    <t>0936873253</t>
  </si>
  <si>
    <r>
      <rPr>
        <rFont val="Arial"/>
        <color theme="1"/>
      </rPr>
      <t>預計</t>
    </r>
    <r>
      <rPr>
        <rFont val="Arial"/>
        <b/>
        <color rgb="FFFF0000"/>
      </rPr>
      <t xml:space="preserve"> 3/20之後再聯繫</t>
    </r>
    <r>
      <rPr>
        <rFont val="Arial"/>
        <color theme="1"/>
      </rPr>
      <t xml:space="preserve"> 過年忙碌</t>
    </r>
  </si>
  <si>
    <t>祖傳基地在嘉義
想給孩子~跟土地有連結
孩子在新竹工作
在嘉義有看過其他組合屋廠商,不喜歡
陳先生住彰化
時間可以約,要喬一下</t>
  </si>
  <si>
    <t>張自明</t>
  </si>
  <si>
    <t>0933587810</t>
  </si>
  <si>
    <r>
      <rPr>
        <rFont val="Arial"/>
        <color theme="1"/>
      </rPr>
      <t xml:space="preserve">住:桃園
地: 苗栗
現地已經有三棟木屋,想再蓋我們2.5坪or4.5坪的屋款
有說到目前可蓋的地方都是斜坡,
目前是要自己使用
有打算未來可能轉成民宿經營
2/26許 未接2 (原本說過年後才有空)
</t>
    </r>
    <r>
      <rPr>
        <rFont val="Arial"/>
        <color rgb="FF980000"/>
      </rPr>
      <t>3月中才回國，近期不要打電話</t>
    </r>
  </si>
  <si>
    <t>沈先生</t>
  </si>
  <si>
    <t>0987377993</t>
  </si>
  <si>
    <t>現場客戶，已提供DM
一家人(沒看清楚後座是誰)
lexus 車主，夫妻倆看起來比較江湖中人
坪數價格? 你們觀網沒說要預約?</t>
  </si>
  <si>
    <t>Cyc Chou
周先生</t>
  </si>
  <si>
    <t>0910003205</t>
  </si>
  <si>
    <t>不願意多聊
表明現在很忙
有需要我在跟你們聯繫好嗎?</t>
  </si>
  <si>
    <t>廖鳳英</t>
  </si>
  <si>
    <t>0918518087</t>
  </si>
  <si>
    <t>現在先不需要
若要參觀,我會再撥電話</t>
  </si>
  <si>
    <t>金馗</t>
  </si>
  <si>
    <t>0913990050</t>
  </si>
  <si>
    <t>黃麗珠</t>
  </si>
  <si>
    <t>0978018019</t>
  </si>
  <si>
    <t>Vivian  Hsieh</t>
  </si>
  <si>
    <t>0923146949</t>
  </si>
  <si>
    <t>余麗琴</t>
  </si>
  <si>
    <t>0919807408</t>
  </si>
  <si>
    <t>劉孫英</t>
  </si>
  <si>
    <t>0983159311</t>
  </si>
  <si>
    <t>在忙,所以就掛電話</t>
  </si>
  <si>
    <t>張維哲</t>
  </si>
  <si>
    <t>0930222288</t>
  </si>
  <si>
    <t>2/24~3/4出國度假
后里人 / 公司在三義是觀光業/
基地:苗栗南庄 /農牧用地有含一丙建
一定要合法
目前基地申請農場已兩年了,還在跑流程(可能要再8個月)
想蓋給人住宿的
3/5年後再跟張先生約參訪時間</t>
  </si>
  <si>
    <t>陳滿祝</t>
  </si>
  <si>
    <t>0937519898</t>
  </si>
  <si>
    <t>在開車,之後聯絡OK</t>
  </si>
  <si>
    <t>黄明煌</t>
  </si>
  <si>
    <t>0928764508</t>
  </si>
  <si>
    <t>再忙,之後再連絡
2/26許 語音</t>
  </si>
  <si>
    <t>Kn Kn</t>
  </si>
  <si>
    <t>0915539190</t>
  </si>
  <si>
    <t>過年後聯絡
2/26許 語音</t>
  </si>
  <si>
    <t>陶菁樺</t>
  </si>
  <si>
    <t>0933782300</t>
  </si>
  <si>
    <t>有地想要規劃，想問價錢，有看過其他廠商，
說玻璃屋要200多萬，說有看過太空艙，
請他先加LINE@，再跟他聯繫</t>
  </si>
  <si>
    <t>高煌坤</t>
  </si>
  <si>
    <t>0922596122</t>
  </si>
  <si>
    <t>有一塊山坡地(其中也包含國有地的部分)
正在申請露營區,應該過年後就申請下來
有水有電,要如何規劃目前沒有想法
開擴音教加入官line,但因為正在忙所以無法當下加入
等先生收簡訊加我們
(老人家不知道怎麼加Line)
有意願到現場參觀</t>
  </si>
  <si>
    <t>向鳴德</t>
  </si>
  <si>
    <t>0931689508</t>
  </si>
  <si>
    <t>向鳴德 (臉書名稱Grace   Wang)
人生上半場曾是充滿教育熱忱的小學老師；退休後對舞蹈、戲劇產生濃厚興趣。上課、演出，玩得不亦樂乎！(臉書上搜到的)
未有基地
住台北/家人都在台中清水
所以蠻常回來台中
可能搭車自己先來參觀
2/26許 說現在沒空，會再主動聯絡，就掛電話了</t>
  </si>
  <si>
    <t>陳瑛琪</t>
  </si>
  <si>
    <t>0975335122</t>
  </si>
  <si>
    <t>已經加Line,先傳資料給小姐，年後再約參觀
2/26許 未接</t>
  </si>
  <si>
    <t>0921115276</t>
  </si>
  <si>
    <t>想要先了解，說年前很忙希望年後再聯繫
有看過簡訊內容，覺得不錯很棒
2/26許 說目前還在過年(傳產業)，說有需要會再聯繫，
就直接掛電話了</t>
  </si>
  <si>
    <t>Mandy Chiou</t>
  </si>
  <si>
    <t>0952630888</t>
  </si>
  <si>
    <t>說我們打錯喔,掛電話@@</t>
  </si>
  <si>
    <t>翁埈岳</t>
  </si>
  <si>
    <t>0933681727</t>
  </si>
  <si>
    <t>有地的參觀
基地為老屋 在台南鹽水市區
可聯繫時間  下午~晚上</t>
  </si>
  <si>
    <t>市區建地，想先了解哪種適合
擔心我們的房子在市區無法規劃，
有說可以到現場跟專員討論詳細內容
會跟有興趣的朋友(2-3位)上來參觀，日期待確認
2/26許 說早上有打過(?，目前還再討論時間</t>
  </si>
  <si>
    <t>0907004943</t>
  </si>
  <si>
    <t>建地位置：桃園</t>
  </si>
  <si>
    <t>說目前沒有這個需求</t>
  </si>
  <si>
    <t>黃琦珍</t>
  </si>
  <si>
    <t>0935517998</t>
  </si>
  <si>
    <t>35-65 / 中彰投 / 退休度假興趣(0212改地點)
電話暫時無法接聽</t>
  </si>
  <si>
    <t>許小姐</t>
  </si>
  <si>
    <t>0921644588</t>
  </si>
  <si>
    <t>35-65 / 中部 / 露營興趣(0108+興趣)
台北人，覺得很遠(有說北部客人蠻多專程跑一趟)，
改口坐火車如何轉車，
說話感覺人蠻好的，說服加LINE傳交通方式</t>
  </si>
  <si>
    <t>趙俊宏</t>
  </si>
  <si>
    <t>0936884711</t>
  </si>
  <si>
    <t>35-65 / 中彰投 / 退休度假興趣(0212改地點)
說晚一點，目前再忙， 之後未接</t>
  </si>
  <si>
    <t>韓美晴</t>
  </si>
  <si>
    <t>0988789188</t>
  </si>
  <si>
    <t>35-65 / 中彰投 / 退休度假興趣(0212改地點)
有再看地想購買及規劃，
但目前很忙沒空，已加LINE(可以多多推訊息~)</t>
  </si>
  <si>
    <t>陳英杰</t>
  </si>
  <si>
    <t>0921190770</t>
  </si>
  <si>
    <t>平日早上0900-1200
35-65 / 中彰投 / 退休度假興趣(0212改地點)</t>
  </si>
  <si>
    <t>目前不方便年後聯絡
2/26許 語音</t>
  </si>
  <si>
    <t>王貞</t>
  </si>
  <si>
    <t>0960366577</t>
  </si>
  <si>
    <t>平日下午1300-1800
35-65 / 中彰投 / 退休度假興趣(0212改地點)</t>
  </si>
  <si>
    <t>2/26許 說有再看地，又說朋友有1000坪地想分她一半，
想做退休之後規劃，覺得放一個木屋很棒，
說現在再上班，會找時間聯絡我們(已給LINE@)</t>
  </si>
  <si>
    <t>蕭庭如</t>
  </si>
  <si>
    <t>0978185302</t>
  </si>
  <si>
    <t>在坐車,沒辦法通話</t>
  </si>
  <si>
    <t>Betty Kuo
郭小姐</t>
  </si>
  <si>
    <t>0929605677</t>
  </si>
  <si>
    <t>表示先看簡訊，年後再約參觀
2/26許 說是傳給家人的訊息，他會叫家人聯絡</t>
  </si>
  <si>
    <t>林</t>
  </si>
  <si>
    <t>0933522140</t>
  </si>
  <si>
    <t>35-65 / 中彰投 / 退休度假興趣(0212改地點)</t>
  </si>
  <si>
    <t>黃惠玲</t>
  </si>
  <si>
    <t>0934139387</t>
  </si>
  <si>
    <t>35-65 / 中部 / 露營興趣(0108+興趣)</t>
  </si>
  <si>
    <t>Angel Cou</t>
  </si>
  <si>
    <t>0936932795</t>
  </si>
  <si>
    <t>馮小姐</t>
  </si>
  <si>
    <t>0910980272</t>
  </si>
  <si>
    <t>請問法2/28星期六早上有預約參訪的場次嗎？
想預約2/27下午或周六下午(一~五上班)</t>
  </si>
  <si>
    <t>有地參觀，有電沒有自來水
原本有鐵皮農舍在上面，再像是要翻修或更新
不太知道自來水要如何申請</t>
  </si>
  <si>
    <t>業主陳清池
建築師
陳思佐</t>
  </si>
  <si>
    <t>0975180288</t>
  </si>
  <si>
    <r>
      <rPr>
        <rFont val="Arial"/>
        <color theme="1"/>
      </rPr>
      <t xml:space="preserve">埔里建地_商店區，防火OK，退6m
商業(餐桌)+自住(生活)
定位點:https://maps.app.goo.gl/9jyEqKT15BtFSRWKA
建築師 </t>
    </r>
    <r>
      <rPr>
        <rFont val="Arial"/>
        <color rgb="FF34A853"/>
      </rPr>
      <t>陳思佐 0983693389</t>
    </r>
    <r>
      <rPr>
        <rFont val="Arial"/>
        <color theme="1"/>
      </rPr>
      <t xml:space="preserve">
凌際建築師事務所
地號: 南投縣埔里鎮新福興段36地號</t>
    </r>
  </si>
  <si>
    <t>業主一家3P(兒子30y) &amp; 建築師本人參訪
(2/25許 會改人數or延期)
2/26 榕 想改約 2/27
業主是東勢人</t>
  </si>
  <si>
    <t>陳怡君</t>
  </si>
  <si>
    <t>0932787553</t>
  </si>
  <si>
    <r>
      <rPr>
        <rFont val="Arial"/>
        <color theme="1"/>
      </rPr>
      <t>已經購買木屋的客人(二手屋)
純粹想參觀我們新款
說</t>
    </r>
    <r>
      <rPr>
        <rFont val="Arial"/>
        <b/>
        <color rgb="FFFF0000"/>
      </rPr>
      <t>3月才回來會再跟我們聯絡</t>
    </r>
  </si>
  <si>
    <t>嘉義人
來看木屋2次了,
5/2 態度好(想看合掌屋)
有土地的參觀,不急著規畫
合掌屋展示可約平日時間
參訪:可能1位或2位
6/2基地: 民雄 虎尾寮
現況: 200坪
已購買我們二手單院,
因為要退休長住想換大間一點
基地是弟弟的,到時候要協助水電糞管建議位置
我住的很喜歡</t>
  </si>
  <si>
    <t>黃美綺</t>
  </si>
  <si>
    <t>0933188337</t>
  </si>
  <si>
    <t>說丈夫有興趣這樣子的生活，
說3/15-20出去玩，請我們3月第再聯絡
希望是預約平日，沒有套到有沒有土地QQ</t>
  </si>
  <si>
    <t>張宇翔</t>
  </si>
  <si>
    <t>0981528028</t>
  </si>
  <si>
    <t>有地，苗栗通宵，一位參觀，
希望這個禮拜越快來看越好
你們什麼時候開始預約參觀呢？
如果方便的話 我想預約明天2/24過去參觀 謝謝</t>
  </si>
  <si>
    <t>休閒農業，2甲，喜歡木構(不要在基地上蓋一個鐵皮醜醜的)
住：台中
用途：先自住 休閒用，後續會打算用休閒農業的方式經營 (爸爸在國外)
組合屋：居林(道路無法直接吊掛，另一種做法要做 3-5個月施工)
完成時間：盡快(今年)
環境要照顧好
申請：農作物已經為了 固地種下(?)
化糞池：廠商多，建議他自己找
4/30 客戶帶朋友在來看，是同一塊地
統一編號（統編）　 54883417
公司名稱 達眾投資控股有限公司
代表人姓名 張晋棋
公司所在地 臺中市西屯區潮洋里朝富路213號19樓之9  
英文地址 
19F.-9, No. 213, Chaofu Rd., Chaoyang Vil., Xitun Dist., Taichung City 40757, Taiwan (R.O.C.)  
(來源:國貿局資料)
電話 
04-22543158
(來源:國貿局資料)
傳真 
04-22547997
(來源:國貿局資料)
公司狀況 核准設立
資本總額(元) 29,900,000</t>
  </si>
  <si>
    <t>謝秉璋</t>
  </si>
  <si>
    <t>0919069060</t>
  </si>
  <si>
    <t>兩大兩小，工作在桃園，老家在石岡附近，
建地，既有建築物30年以上，有詢問執照，
有計畫要規劃退休或平常渡假空間
已先提供可預約時間</t>
  </si>
  <si>
    <t xml:space="preserve">許小姐 </t>
  </si>
  <si>
    <t>0976546935</t>
  </si>
  <si>
    <t>你好，對青銀后土村的生活村民和生活村民有興趣，
想了解更多資訊，謝謝！</t>
  </si>
  <si>
    <t>語音*2
2/26許 說目前再忙，過幾天主動聯絡</t>
  </si>
  <si>
    <t>曹小姐</t>
  </si>
  <si>
    <t>0930404338</t>
  </si>
  <si>
    <t>請問是要有自己的土地才能嗎？
中午以後連續</t>
  </si>
  <si>
    <t>一個仁+寵物居住，已為我們是有包含土地的
已強烈推薦先來體驗(挺起來蠻猶豫的)，說住桃園
已提供可預約時間</t>
  </si>
  <si>
    <t>陳子陸</t>
  </si>
  <si>
    <t>0958983126</t>
  </si>
  <si>
    <t>早安您好，
想要預約參訪 3/7（六）下午兩點半 5位大人
剛剛打電話沒接，麻煩您了，謝謝(謝謝)</t>
  </si>
  <si>
    <t>之前有來看過(3院5院的時候)說結束沒有人可以問問題，
感覺是淺參訪
和家人一起參訪，今年爸媽準備退休
想要開始準備退休的地方給爸媽
目前沒有地，想帶爸媽來體驗一下感受
說家裡附近有鄰居購買，但無法進入參觀</t>
  </si>
  <si>
    <t>靳蔚文</t>
  </si>
  <si>
    <t>0938936190</t>
  </si>
  <si>
    <t>無地的參觀
可聯繫時間  均可</t>
  </si>
  <si>
    <r>
      <rPr>
        <rFont val="Arial"/>
        <color theme="1"/>
      </rPr>
      <t>沒有地，想帶家人專門來訪，
說要特地下來安排一趟
3月初國，說</t>
    </r>
    <r>
      <rPr>
        <rFont val="Arial"/>
        <b/>
        <color rgb="FFFF0000"/>
      </rPr>
      <t>四月再聯絡</t>
    </r>
  </si>
  <si>
    <t>張鈴銓</t>
  </si>
  <si>
    <t>0919729501</t>
  </si>
  <si>
    <t>有地的參觀
可聯繫時間 2/25周三早上0900-1700</t>
  </si>
  <si>
    <t>說想參觀了解，
電話中問我們有們有包含土地(地要確認，感覺可能沒有)
說人在外面，有加，稍後自行連絡</t>
  </si>
  <si>
    <t>Lulu</t>
  </si>
  <si>
    <t>0967399866</t>
  </si>
  <si>
    <t>35-65 / 桃竹苗 / 長輩休閒</t>
  </si>
  <si>
    <t>魏Ivy</t>
  </si>
  <si>
    <t>ivy.w2010@gmail.com
有地的參觀</t>
  </si>
  <si>
    <t xml:space="preserve">5月中旬後再聯絡參訪時間
因為要去國外,
基地在沖繩
參訪者:夫妻
提到,朋友買加拿大木屋在台灣組裝
</t>
  </si>
  <si>
    <t>已加LINE，基地是再巷弄裡，來時討論是否可以施作，
既有老屋想要拆，是兄弟的想規劃要重新拆除，
已有水有電，重拆說要重拉水電
3月下旬有空，確定可參訪時間會再聯絡</t>
  </si>
  <si>
    <t>曾建成</t>
  </si>
  <si>
    <t>0938899712</t>
  </si>
  <si>
    <t>這是有沒有合作的機會
我們有土地但不會經營休閒
露營法規太嚴格 農場又難申請 其他休閒產業比較適合
已查：地南投國姓
粉專 _ 北港村阿爸天養檸檬
https://www.facebook.com/share/r/1EDovDdtfP/</t>
  </si>
  <si>
    <t>地南投國姓，已有資材室，有自己經營小農場粉專，
問有沒有合作的機會，他提供土地，
已告知我們是鋼構木屋的廠商，
有推薦他可以先過來看及感受木屋氛圍與空間，
原地上有資材室想要拓寬讓2F多一個大露臺</t>
  </si>
  <si>
    <t>歐秀芬</t>
  </si>
  <si>
    <t>0916185594</t>
  </si>
  <si>
    <t>您好，有興趣了解，謝謝
我想請問：是不是要先有一塊地才能買行動屋</t>
  </si>
  <si>
    <t>目前沒有地再規劃，有考慮要買農地，
娘家在台中市區，說回有時間會來訪，
已加LINE，且先給可預約時間</t>
  </si>
  <si>
    <t>林珮甄</t>
  </si>
  <si>
    <t>0988295909</t>
  </si>
  <si>
    <t>您好，請問三院/雙院/湯屋需要的土地至少要幾坪？
時間都方便，請問2/25能否預約參觀？
目前考慮雙院或三院，想實際參觀後再評估，
和家人自住，已有建地約40坪，
但仍在準備購屋預算，請問購屋有分期付款的選項嗎？</t>
  </si>
  <si>
    <t>建地與他人持分(有40坪)，目前還在畫分，
資料有看，說3款的長寬都可以，有請他提供地號
會帶一位有興趣的朋友，有小狗(坐推車)</t>
  </si>
  <si>
    <t>范碧鈺</t>
  </si>
  <si>
    <t>0919921744</t>
  </si>
  <si>
    <t>問家具 床椅維修</t>
  </si>
  <si>
    <t>家具舊客(台北文昌店)
想訂製一個竹蓆床椅可以嗎?
長190*寬100*高42(可更高)
時間不緊急,已告知特殊訂製會比較不划算
要與老闆確認是否可訂做
2/26 已回絕處理(客人表示/希望落空)</t>
  </si>
  <si>
    <t>張珮珣</t>
  </si>
  <si>
    <t>0988731151</t>
  </si>
  <si>
    <t>預約參訪
今天或明天下午</t>
  </si>
  <si>
    <t>是幫公司確認蓋屋形式
先自己來參觀做確認</t>
  </si>
  <si>
    <t>蔡小姐</t>
  </si>
  <si>
    <t>0930089908</t>
  </si>
  <si>
    <t>問家具...可能要搬家所以詢問我們可否幫忙拆卸大型家具
說搬家公司不會拆,願意付工資 台北家具舊客
2/25許 已告知客人家具部門已關，
但說問過N家搬家公司沒有人會拆裝</t>
  </si>
  <si>
    <t>丘仲賓</t>
  </si>
  <si>
    <t>0932526363</t>
  </si>
  <si>
    <t>黃淑惠</t>
  </si>
  <si>
    <t>0933707011</t>
  </si>
  <si>
    <t>黃淑玲</t>
  </si>
  <si>
    <t>0963030711</t>
  </si>
  <si>
    <t>徐靖宜</t>
  </si>
  <si>
    <t>0955408185</t>
  </si>
  <si>
    <t>王美珍</t>
  </si>
  <si>
    <t>0988587332</t>
  </si>
  <si>
    <t>康先生</t>
  </si>
  <si>
    <t>0912008296</t>
  </si>
  <si>
    <t>住卓蘭，地也在卓蘭
有香港口音
2P參訪
3月平日假日都可安排，目前先詢問她2/27週五 是否有空</t>
  </si>
  <si>
    <t>自己沒有來看過(有推薦他要來)，
說家人負責建造的有來看過了，
目前有再考慮其他廠商</t>
  </si>
  <si>
    <t>HsiuYuan Wu</t>
  </si>
  <si>
    <t>0932934306</t>
  </si>
  <si>
    <t>王良文</t>
  </si>
  <si>
    <t>0902378562</t>
  </si>
  <si>
    <t>平日早上0900-1200
35-65 / 桃竹苗 / 長輩休閒</t>
  </si>
  <si>
    <t>成金春</t>
  </si>
  <si>
    <t>p:+88665749175</t>
  </si>
  <si>
    <t>電話錯誤</t>
  </si>
  <si>
    <t xml:space="preserve">許智城 </t>
  </si>
  <si>
    <t>0972704674</t>
  </si>
  <si>
    <t>來電話想預約明天兩位參觀</t>
  </si>
  <si>
    <t>目前已經有再看土地想要購買，
想規劃退休度假生活空間，
改4+1(四歲，已告知要顧好小朋友，不要跑跳怕受傷)，
和有興趣的家人(大哥)</t>
  </si>
  <si>
    <t>0919720833</t>
  </si>
  <si>
    <t>無地的參觀
可聯繫時間 皆可
新竹縣市有嗎？</t>
  </si>
  <si>
    <t>以為我們是有木屋含基地販售
暫時沒有規劃自己找地
已看過資料~,若要預約再跟我們說</t>
  </si>
  <si>
    <t>蔡慶勇</t>
  </si>
  <si>
    <t>0917768001</t>
  </si>
  <si>
    <t>已加Line ,寄資訊給蔡先生
待讀過資訊 ,晚點再撥給他</t>
  </si>
  <si>
    <t>潘大雄</t>
  </si>
  <si>
    <t>0986178775</t>
  </si>
  <si>
    <t>已告知有寄簡訊
屋款&amp;參訪資訊
客人想先看過資料再聯絡</t>
  </si>
  <si>
    <t>Irene Chen</t>
  </si>
  <si>
    <t>0973533799</t>
  </si>
  <si>
    <t>開車中,不方便長談</t>
  </si>
  <si>
    <t>School LO</t>
  </si>
  <si>
    <t>0930977104</t>
  </si>
  <si>
    <t>黃琦雯</t>
  </si>
  <si>
    <t>0953260688</t>
  </si>
  <si>
    <t>Yixuan Chen</t>
  </si>
  <si>
    <t>0938367771</t>
  </si>
  <si>
    <t>吳金鼎</t>
  </si>
  <si>
    <t>0928779316</t>
  </si>
  <si>
    <t>劉淼鑫</t>
  </si>
  <si>
    <t>0968719068</t>
  </si>
  <si>
    <t>子良</t>
  </si>
  <si>
    <t>0917771093</t>
  </si>
  <si>
    <t>楊綠芬</t>
  </si>
  <si>
    <t>0933249938</t>
  </si>
  <si>
    <t>桃園人
在日月潭附近有一塊基地
想蓋木屋,先來參觀了解
參觀的話平日2或4比較方便</t>
  </si>
  <si>
    <t>黃昱騰</t>
  </si>
  <si>
    <t>0939367469</t>
  </si>
  <si>
    <t>有幾塊地打算購買&amp;放置木屋
台北人,蠻常下台中
已告知要提前預約參訪</t>
  </si>
  <si>
    <t>蕭子芬</t>
  </si>
  <si>
    <t>0919302605</t>
  </si>
  <si>
    <t>您好，有好友推薦紅屋，有問題想請教
1.組合屋需向政府單位申請建照或跑什麼流程？
2.以都蘭衝浪小屋為基準，完整流程到整地及組合屋安置需花費多少錢，坪數多少？
3.我在台東縣東河鄉</t>
  </si>
  <si>
    <t>2P夫妻
住：新竹
地：台東東河 (東河肉包附近) ，建地 無水電
遠親推薦紅屋(應該沒有蓋)
時間：先生再過幾年退休，目前正在看要用哪種房子
不想蓋太大間，(考慮RC後來放棄 太大間無用又貴)
表妹 室內設計／姪女 建築設計</t>
  </si>
  <si>
    <t>葉淑微</t>
  </si>
  <si>
    <t>0937723968</t>
  </si>
  <si>
    <t>請問明天可ㄘ參觀嗎？</t>
  </si>
  <si>
    <t>假日較方便參觀
在line跟我們說人數(確認小孩時間)</t>
  </si>
  <si>
    <t>謝惠雅</t>
  </si>
  <si>
    <t>0988142381</t>
  </si>
  <si>
    <t>有地的參觀
請撥電話～隨時可接
想和先生預約看看 有山坡地……在后里 車子上不去 今年50歲了，想給自己一個目標，可以有更好的念想，好好生活 *可以的時間週二、六早上 非常感謝～</t>
  </si>
  <si>
    <t>后里人,上午較有空</t>
  </si>
  <si>
    <t>詐騙集團</t>
  </si>
  <si>
    <t>0917878778</t>
  </si>
  <si>
    <t>有地的參觀
h910285639@gmail.com
詐騙集團的手法</t>
  </si>
  <si>
    <t>梁瓊文</t>
  </si>
  <si>
    <t>0928042108</t>
  </si>
  <si>
    <t>高雄人, 看到圖片覺得很漂亮點進來.詢問是賣屋還是休閒業者/考慮要買地/沒看到簡訊有請小姐家官方LINE</t>
  </si>
  <si>
    <t>孫慧芳</t>
  </si>
  <si>
    <t>0933442168
04-7235754</t>
  </si>
  <si>
    <t>彰化，電話要+04</t>
  </si>
  <si>
    <t>參訪：2P 女+母
找地中：南投，農林地，240坪，正在看 但這塊會有水窪的平地
工作：南投
住：彰化
要說服媽媽一起住(媽想住彰化)</t>
  </si>
  <si>
    <t>黃品綺</t>
  </si>
  <si>
    <t>0971209773</t>
  </si>
  <si>
    <t xml:space="preserve">詢問村民計畫
台中人
週六較方便安排參觀
</t>
  </si>
  <si>
    <t>Vernal Chao</t>
  </si>
  <si>
    <t>0958333098</t>
  </si>
  <si>
    <t>Wan Chun Chang</t>
  </si>
  <si>
    <t>0910285526</t>
  </si>
  <si>
    <t>0937001953</t>
  </si>
  <si>
    <t xml:space="preserve">今天下午可以參觀嗎?
</t>
  </si>
  <si>
    <t>忙碌中 會用LINE@跟我們連繫
3/11，3位，1位2歲小孩，已告知收費及注意事項 。</t>
  </si>
  <si>
    <t>巢瓊霞</t>
  </si>
  <si>
    <t>0928113373</t>
  </si>
  <si>
    <t>住：新北山區
1人住
尚未開始找地，喜歡山區，可能會有很多產業道路</t>
  </si>
  <si>
    <t>王鈜</t>
  </si>
  <si>
    <t xml:space="preserve">0968280630
</t>
  </si>
  <si>
    <t>我們這邊是海軍基隆後勤支援指揮部
想洽詢辦理團體參訪事宜
是否有專人可以接洽
時間0318上午</t>
  </si>
  <si>
    <t>30人參訪
對木屋沒有興趣，只是想找貨櫃屋的廠商，聽到要收費
第二接洽人 陳先生02-24286783、0920956568
後續真的有想要再請他自行來電</t>
  </si>
  <si>
    <t>劉小姐</t>
  </si>
  <si>
    <t>0911128025</t>
  </si>
  <si>
    <t>可以預約今天下午參觀嗎?
我自己看就可以
台中人,假日較方便安排參觀</t>
  </si>
  <si>
    <t>目前沒有基地
願意來現場參觀感受
要與另外2位朋友喬參訪時間
會在line跟我們說(尚未加line)</t>
  </si>
  <si>
    <t>廖小姐</t>
  </si>
  <si>
    <t>0932635265</t>
  </si>
  <si>
    <t>7年前看過青山
現場跑來問能否參觀</t>
  </si>
  <si>
    <t>以前的家具客戶，有錢
純粹想參觀，沒有太多要蓋的想法。
要來才會自己來電預約</t>
  </si>
  <si>
    <t>傅小姐</t>
  </si>
  <si>
    <t xml:space="preserve"> 0988606896</t>
  </si>
  <si>
    <t>你好，想請問費用，謝謝
時間比較彈性，如果在忙會告知謝謝
貓狗救援</t>
  </si>
  <si>
    <t>有一塊300坪建地，還在賣(完全合法鋼構屋，但因為救援貓狗，所以還是被鄰居一直檢舉)
把貓狗救援視為自己的使命 (要帶著走)
住桃園，找桃園 龍潭 or 北埔
找一塊 沒有鄰居的地
主要好奇合掌屋 但需求坪數300坪
已有看 龍潭 有100坪 相連(吉村農地) 含水電，但怕基地太小，不合法，鄰居又檢舉麻煩
建議他找大塊農地，沒有鄰居的，就不用申請 麻煩
馬廄民宿(https://share.google/FSGLLpecmvo93TWjE)
有本職(馬廄民宿)，才收養貓狗
紅屋觀察很久
問朋友能不能開車載 3/17二or3/19四</t>
  </si>
  <si>
    <t>馮太太</t>
  </si>
  <si>
    <t>0926106785</t>
  </si>
  <si>
    <t>謝玉英        0926248537</t>
  </si>
  <si>
    <t>基督徒，推測已80歲
地：屏東楓港 (比枋寮更南邊，載一公里就轉到台東的地方) 祖產，150坪+ 農地，水電尚無 在申請分割中
有看過其他木屋廠商(從越南、東南亞進口木材不喜歡)、貨櫃組合屋廠商不喜歡(但又有價格考量)
小孩已經60歲，傳紅屋的連結給老爸媽看
3/17 下午兩點 老夫妻 確認中</t>
  </si>
  <si>
    <t>宋小姐</t>
  </si>
  <si>
    <t>0937763198</t>
  </si>
  <si>
    <t>請問價格是如何計算呢？</t>
  </si>
  <si>
    <t>5點後接送小孩比較不方便
參訪：1+1(小孩3歲很穩定)P
住：台中
找地：東勢，本周要去看地
小孩，華德福
住：只有自己跟小孩
目標、短2院or展示屋移轉
理念 A~</t>
  </si>
  <si>
    <t>廖涓茜</t>
  </si>
  <si>
    <t>0919058070</t>
  </si>
  <si>
    <t>請問建築費用怎算</t>
  </si>
  <si>
    <t>A 三分農地
嘉義 梅山 斷層，想了10年
現在每天要15分鐘往返 有時候農忙12點才回家，也只是睡個覺，不喜歡透天
簡單的住的地方，夫妻兩人 (極簡生活)
工作：水果大盤商(工作在附近) 水果集貨場 橘子場
假日佛教課程
最近剛好農忙結束下周可約
3/17 19 這兩日詢問中</t>
  </si>
  <si>
    <t>0981269240</t>
  </si>
  <si>
    <t>海悅廣告股份有限公司
代銷公司 要做展示屋 (客製)
之前已有同事來看過，若確定有需求想要現場參訪+洽談再請他主動聯繫我們</t>
  </si>
  <si>
    <t xml:space="preserve">唐先生 </t>
  </si>
  <si>
    <t>0978142388</t>
  </si>
  <si>
    <t>老闆您好，我想了解合掌屋範例的室內坪數及不含家居設備、軟裝、家電…等，的預算大約落在什麼區間</t>
  </si>
  <si>
    <t>已有看資料，預計3月底4月初來訪，下周會提供想安排參訪的時間!</t>
  </si>
  <si>
    <t>0930381388</t>
  </si>
  <si>
    <t>了解一下我們收300是純活動，還是在賣木屋做木屋參訪，要來訪在來電。
已告知資訊看完，我們會再安排人員去電聯繫。</t>
  </si>
  <si>
    <t>找露營車，已+LINE@，先看資料</t>
  </si>
  <si>
    <t>陳金濶</t>
  </si>
  <si>
    <t>0920472761</t>
  </si>
  <si>
    <t>抗強風嗎?
澎湖有服務嗎?</t>
  </si>
  <si>
    <t>3/17未接,軍3/17有回電.3/18人現在在宜蘭有傳過WIX.地在澎湖54P想規劃30P.有提到法規怎麼處裡.若有木屋預計希望暑假動工.要來時會再聯絡. 不會加line@</t>
  </si>
  <si>
    <t>張嘉麟</t>
  </si>
  <si>
    <t>0908601751</t>
  </si>
  <si>
    <t>參訪要預約？ 先+LINE@</t>
  </si>
  <si>
    <t>LINE@
1-2年後規劃，建地 21坪(都計內)
沒有緊急規劃，建議他趕快排時間來看</t>
  </si>
  <si>
    <t>黃奕濬</t>
  </si>
  <si>
    <t>0900110099</t>
  </si>
  <si>
    <t>請問一間大約多少錢</t>
  </si>
  <si>
    <t>可能是風水老師?
已有看資料，預計3月底4月初來訪，下周會提供想安排參訪的時間!</t>
  </si>
  <si>
    <r>
      <rPr/>
      <t xml:space="preserve">二手
彰化縣福興鄉秀厝街
彰化縣福興鄉秀安段(0335)1563地號
陳通紀念花園
</t>
    </r>
    <r>
      <rPr>
        <color rgb="FF1155CC"/>
        <u/>
      </rPr>
      <t>https://share.google/8VMiAb6e9CsG5udcw</t>
    </r>
  </si>
  <si>
    <t>第一通電話，正在簽約(千啥不知道)
陳通的兒子，幫老爸蓋的紀念園區
住：台北
地：彰化縣福興鄉秀安段(0335)1563地號
陳通紀念花園
https://share.google/8VMiAb6e9CsG5udcw
不一定要展示屋，4月初~4月中會回彰化，可安排平日來訪</t>
  </si>
  <si>
    <t>何昕曇</t>
  </si>
  <si>
    <t>0972010195</t>
  </si>
  <si>
    <t>想詢問是否可以參觀后土村，謝謝</t>
  </si>
  <si>
    <t>住：高雄
地：家裡有空地 建地，屏東 枋寮
參訪：家人
明日確認是否要預約本週六3/14</t>
  </si>
  <si>
    <t>吳之琳</t>
  </si>
  <si>
    <t>0906950910</t>
  </si>
  <si>
    <t xml:space="preserve">有興趣了解，
吳之琳
0906950910
基地
雲林縣古坑鄉山峰國小旁
經由和家人討論後決定還是不考慮展示屋。
你好，我想預約4/3早上。現場參訪、看看各個規格的紅屋。
</t>
  </si>
  <si>
    <t>無法接聽
教職業,上班可能無法電話
想了解長3院
居住人:老父母+自己+孩子
參訪:上述4位</t>
  </si>
  <si>
    <t>0933012859</t>
  </si>
  <si>
    <t>请問有更详细內容嗎</t>
  </si>
  <si>
    <t>新店的基地(林地),有水電
放泳池(沒有下挖)兩天就有人連絡要勘查了,因為泳池沒有下挖,後來就沒有被罰,擔心木屋放上去也會被空拍檢舉,會不會難處理
兩年前參觀過,要來了解(先與先生商量)
已經給時間</t>
  </si>
  <si>
    <t>呂居諾</t>
  </si>
  <si>
    <t>0919748418</t>
  </si>
  <si>
    <t xml:space="preserve">請問尺寸大小。謝謝。
請問吊裝及運費？
在東勢上城區新城國小邊。謝謝。
</t>
  </si>
  <si>
    <r>
      <rPr>
        <rFont val="Arial"/>
        <color rgb="FFFF0000"/>
      </rPr>
      <t>尚未參訪過木屋</t>
    </r>
    <r>
      <rPr>
        <rFont val="Arial"/>
        <color theme="1"/>
      </rPr>
      <t>(感覺蠻忙碌)
或是動力不足??
說在跟我們約時間
盡力邀約參訪中</t>
    </r>
  </si>
  <si>
    <t>崔小姐</t>
  </si>
  <si>
    <t>0986863597</t>
  </si>
  <si>
    <t>花蓮國福街</t>
  </si>
  <si>
    <t xml:space="preserve">人旅居於國外~不確定何時回台灣(說在幫我們告知)
電話接起來是崔小姐的親人~男生
</t>
  </si>
  <si>
    <t>駱小姐</t>
  </si>
  <si>
    <t>0963085060</t>
  </si>
  <si>
    <t>請問面積幾坪？謝謝</t>
  </si>
  <si>
    <t>參訪者：夫妻
居住：?
預算：?
用途：現在農舍要蓋，在旁邊做二工，給婆婆跟姑姑住。2房、1衛浴。
基地：桃園／地目：農地 ／面積：756+
水電：農舍／基地現況：尚未動工
取得方式：
合法性：木屋不申請／完工時間：等農舍蓋好 (2月底建築師交圖)
認識管道：好幾年前跟建築師來聊過木構(餐廳)，20幾萬/一評，太貴不做／看過廠商：日式輕鋼構，二工看中紅屋快 可拆 居家
小家園理念傳達： yes
涵3/14 
申請休閒農莊()正在來回與建築師規劃中,種樹&amp;園藝
預計明年初才會放入房子,想要17坪屋款,
2025來參觀過,不過還沒有看過17坪的</t>
  </si>
  <si>
    <t>葉坤益</t>
  </si>
  <si>
    <t>0928223538</t>
  </si>
  <si>
    <t>住：桃園市桃園區</t>
  </si>
  <si>
    <t>職業：葉代書
要先參訪</t>
  </si>
  <si>
    <t>賴志誠</t>
  </si>
  <si>
    <t>0975587151</t>
  </si>
  <si>
    <t>請問這3院的總面積？</t>
  </si>
  <si>
    <t>兩年前參觀過木屋
有基地可規劃,正在評估
有意願來參觀新款~
在line時間給客戶</t>
  </si>
  <si>
    <t>林亞蒨</t>
  </si>
  <si>
    <t>0975633688</t>
  </si>
  <si>
    <t xml:space="preserve">能再詳細看一下嗎
方便給我長、寬尺寸嗎？
</t>
  </si>
  <si>
    <r>
      <rPr>
        <rFont val="Arial"/>
        <color rgb="FFFF0000"/>
      </rPr>
      <t>沒有來看過木屋~</t>
    </r>
    <r>
      <rPr>
        <rFont val="Arial"/>
        <color theme="1"/>
      </rPr>
      <t xml:space="preserve">
要來參訪會需要買高鐵車票
下周再跟我們約時間
朋友有買我們木屋</t>
    </r>
  </si>
  <si>
    <t>陳志文</t>
  </si>
  <si>
    <t>0909333738</t>
  </si>
  <si>
    <t>https://maps.app.goo.gl/Nw2NcAqC2V2qghvG6?g_st=al</t>
  </si>
  <si>
    <t>"加榕line，0314出國
3年前有跟我們連繫過(不喜歡自己測量基地的客戶，可接受場勘)
回國後會丟土地資訊給我
目前這塊：祖產、都計內、總共有兩塊要確認哪一塊是他的地號"</t>
  </si>
  <si>
    <t>盧先生</t>
  </si>
  <si>
    <t>0911653688</t>
  </si>
  <si>
    <t>有釋出展示屋的外觀及尺寸嗎？</t>
  </si>
  <si>
    <r>
      <rPr>
        <rFont val="Arial"/>
        <color rgb="FFFF0000"/>
      </rPr>
      <t xml:space="preserve">尚未看過木屋
</t>
    </r>
    <r>
      <rPr>
        <rFont val="Arial"/>
        <color theme="1"/>
      </rPr>
      <t>基地在台南面寬只有4.2米
也有別塊基地,是農地,只是怕法規的問題
盡力邀約參訪中
詢問外觀尺寸
4/11</t>
    </r>
  </si>
  <si>
    <t>林怡君</t>
  </si>
  <si>
    <t>0912382848</t>
  </si>
  <si>
    <t>能去貴司參觀嗎？須付費嗎？</t>
  </si>
  <si>
    <t>林小姐有基地~
說,買木屋的金額不會是自己而已,有幾位需要一起了解
因為有幾位朋友一起來參觀,大家時間要喬一下
4/11 語音</t>
  </si>
  <si>
    <t>孫語婕</t>
  </si>
  <si>
    <t>0905282701</t>
  </si>
  <si>
    <t>六龜區公所鄰邊建地59坪
約幾坪
可住多久
請問單院能否架3院2樓</t>
  </si>
  <si>
    <t>本週六沒空，之後再約平日時間
b
展示品出清，2年前看過
想做為自宅，建照問題、兩額外搭建2樓，都暫時先不回
4/11 最近很忙,有想安排參觀
先傳資訊&amp;照片</t>
  </si>
  <si>
    <t>余翡苓</t>
  </si>
  <si>
    <t>0921603377</t>
  </si>
  <si>
    <t>嚮往這種生活
有問到客人買了後也二手轉賣嗎?有案例嗎?
兩三年前來看過
有機會想再次參訪
盡力邀約中
4/11 客人說用LINE聯絡
客人抱怨太久聯絡我
5/22 榕，3月 約到4月 都沒約成功，客人只說習慣用LINE@ 聯絡，若無回復就先暫緩</t>
  </si>
  <si>
    <t>周靚芬</t>
  </si>
  <si>
    <t>0919329720</t>
  </si>
  <si>
    <t>請問你們是在台中哪裡？
想了解一下</t>
  </si>
  <si>
    <t xml:space="preserve">
住: 桃園
基地: 桃園大園(公婆家留下的)
決策: 夫妻兩
職業: 退休化學老師
工作: 目前教一些大自然療癒身心的課程
預算: 僅說需精打細算
法規: 怕,有疑慮
4/16
可能要約端午節後(學生課程告一個段落)
會專程來體驗木屋夏日室內的感受
參訪: 夫妻+ 孩子
6/9涵  最近忙,時間可約會line或電話</t>
  </si>
  <si>
    <t>黃瑞娟</t>
  </si>
  <si>
    <t>0932988321</t>
  </si>
  <si>
    <t>請問有詳細照片嗎？房屋坪數？</t>
  </si>
  <si>
    <t>跟先生自己開公司
時間自由~但是要跟先生喬時間
台南人
尚未看過實體木屋
4/11語音信箱</t>
  </si>
  <si>
    <t>陳月霞</t>
  </si>
  <si>
    <t>0916100799</t>
  </si>
  <si>
    <t>請聯絡</t>
  </si>
  <si>
    <t>先生重聽
是否要安排來看現場會再聯繫
住台北，有地，車庫要拆除，已知道尺寸7.5M*6M 要去量尺寸~
2-3年前有來看過</t>
  </si>
  <si>
    <t>楊沛諭</t>
  </si>
  <si>
    <t>0935887715</t>
  </si>
  <si>
    <t xml:space="preserve">
基地在竹山（到竹山交流道車程10分鐘）
地勢平坦</t>
  </si>
  <si>
    <t>以前家具客人
還沒看過木屋
還要跟老公喬參觀時間
竹山/農林用地1000坪
在line我們
3/17先生比較忙~時間難確認
在跟我們提前約參訪
4/11語音</t>
  </si>
  <si>
    <t>曾太太</t>
  </si>
  <si>
    <t>0972382900</t>
  </si>
  <si>
    <r>
      <rPr>
        <rFont val="Arial"/>
        <color theme="1"/>
      </rPr>
      <t xml:space="preserve">2..3年前看過,
基地在嘉義民雄農(700平)建地(400平)
是因為看到3院展品出清消息
想問可申請合法嗎?
週六才方便安排到現場
</t>
    </r>
    <r>
      <rPr>
        <rFont val="Arial"/>
        <color rgb="FFFF0000"/>
      </rPr>
      <t xml:space="preserve">
LINE 沒有搜尋到此人</t>
    </r>
  </si>
  <si>
    <t>蔡博勝</t>
  </si>
  <si>
    <t>0976824287</t>
  </si>
  <si>
    <t>詢問出清款木屋: 全設備嗎?要申請建照嗎?
蔡博勝 0976824287
新北市淡水區樹林口</t>
  </si>
  <si>
    <r>
      <rPr>
        <rFont val="Arial"/>
        <color theme="1"/>
      </rPr>
      <t xml:space="preserve">自己&amp;老父親使用,土地為共同持有(3人)
</t>
    </r>
    <r>
      <rPr>
        <rFont val="Arial"/>
        <color rgb="FFFF0000"/>
      </rPr>
      <t>尚未來看過木屋</t>
    </r>
    <r>
      <rPr>
        <rFont val="Arial"/>
        <color theme="1"/>
      </rPr>
      <t>,嫌路程遙遠,
如果要安排是週四較合適
下周在與客人確認可參觀日期
4/11 未接</t>
    </r>
  </si>
  <si>
    <t>吳曄真</t>
  </si>
  <si>
    <t>0913977225</t>
  </si>
  <si>
    <t>給我兩天時間，我想一下好嗎？
看空間是否適合
含基礎是嗎？
水電施工</t>
  </si>
  <si>
    <t>上午打過去在上課
會再跟我們聯繫
是室內設計師,幫客戶了解
吳小姐回覆:客戶目前不計劃買木屋，將來有機會再合作哦，謝謝您！</t>
  </si>
  <si>
    <t>邱雨桐</t>
  </si>
  <si>
    <t>0922931111</t>
  </si>
  <si>
    <t>請問這個如被列入違章，該能怎麼處理？
請下午三點後再來電</t>
  </si>
  <si>
    <t>打過去馬上說忙
約時間 下周三4/15 下周五4/17，下午14:30以後可以電話聯繫
苗栗
一定要合法,口氣態度很強硬
希望我們講清楚到底能否合法?
有相關苗栗農地資料參考?
去一趟結果不能合法,不值得花這個時間</t>
  </si>
  <si>
    <t>楊豐兆</t>
  </si>
  <si>
    <t>0955884078</t>
  </si>
  <si>
    <t>這只能在建地或是足坪農地才可以蓋吧
我有農地想蓋，但這沒辦法，因為不足坪，至少要756.25坪，不然我就買了</t>
  </si>
  <si>
    <t>2023/9/21已電話聯繫過，但尚未來訪
客戶基地宜蘭三星農地，自己已有透天，所以看木屋主要是想作農舍。(不確定比例上還能否申請)
想要做民宿，但又很擔心法規問題，基地是家族產，還有兩位堂弟擁有繼承權，故兩位堂弟是股東，都要同意才可能執行，地上已經有農舍，隔一條馬路對面的地也是自家的</t>
  </si>
  <si>
    <t>0938612067</t>
  </si>
  <si>
    <t xml:space="preserve">我要知道幾坪，什麼木頭？包括安裝费嗎？
</t>
  </si>
  <si>
    <t>人在國外
留言:之後如果有回台灣，可以先跟我們說一聲～幫您安排時間現場看，會更清楚(傳照片)</t>
  </si>
  <si>
    <t>陳國誼MAX</t>
  </si>
  <si>
    <t>0963330921</t>
  </si>
  <si>
    <t>宜蘭縣政中心建地
國外出差明天回國
能合法申請嗎</t>
  </si>
  <si>
    <t>下周二4/14確認時間
想安排跟太太一起參訪(意願高)
台北工作
基地: 宜蘭
需求:假日屋
4/14因為基地水電還沒處理完
再加上最近比較忙碌
我們有要安排參訪會再來電</t>
  </si>
  <si>
    <t>許阿田</t>
  </si>
  <si>
    <t>0928234887</t>
  </si>
  <si>
    <t>無地的參觀
想請教在現有農地温室內蓋木屋.
可聯繫時間 3/14上午9點</t>
  </si>
  <si>
    <t>參訪：需要小孩載
林宏田 0928493369 (小孩)林先生匯款完成
好幾年看過
基地：桃園？</t>
  </si>
  <si>
    <t>楊雅琇</t>
  </si>
  <si>
    <t>0933628753</t>
  </si>
  <si>
    <t>您好 可以提供坪數與尺寸嗎? 謝謝
我目前並沒有合適的土地 ...</t>
  </si>
  <si>
    <t>來看過兩次了
因為要找地需要知道我們的屋款尺寸</t>
  </si>
  <si>
    <t>徐莉玲</t>
  </si>
  <si>
    <t>0928580610</t>
  </si>
  <si>
    <t>去年8月來參觀過~有位小姐子榕介紹的
想了解出清屋款,有基地(還沒整地可以嗎?)
也想了解合掌屋
3/14週六剛好回台中~可以安排嗎?
新竹縣關西鎮</t>
  </si>
  <si>
    <t>想約0314.1100現場了解
已告知可先場勘。</t>
  </si>
  <si>
    <t>蕭文勇</t>
  </si>
  <si>
    <t>0956632565</t>
  </si>
  <si>
    <r>
      <rPr/>
      <t xml:space="preserve">早安，請問有詳細資料？照片、配件，謝謝
花蓮壽豐
</t>
    </r>
    <r>
      <rPr>
        <color rgb="FF1155CC"/>
        <u/>
      </rPr>
      <t>https://maps.app.goo.gl/eUJUdUSbJks12nbq9?g_st=il</t>
    </r>
  </si>
  <si>
    <t>問問而已，以為是6進大院。2025有基地資料</t>
  </si>
  <si>
    <t xml:space="preserve">林憶華 </t>
  </si>
  <si>
    <t>0952520876</t>
  </si>
  <si>
    <t>最低多少錢?
請我們直接跟先生聯絡~才不用轉述
0939267277曾先生</t>
  </si>
  <si>
    <t>有基地、水電了
請我們直接跟先生聯絡~才不用轉述
0939267277曾先生
與先生兩年前參觀過
有兩三塊基地,木屋主要想做招待所
3/17 曾先生先了解價格區間~就說自己在評估看看
匆忙掛電話,看似沒有要積極了解,已傳美照片給他們</t>
  </si>
  <si>
    <t>許庭菀</t>
  </si>
  <si>
    <t>0953006321</t>
  </si>
  <si>
    <t>台東長濱</t>
  </si>
  <si>
    <t>3年前已參訪過, 想放在新買的地上,還有些準備期,</t>
  </si>
  <si>
    <t>蔡奇玲</t>
  </si>
  <si>
    <t>0953707008</t>
  </si>
  <si>
    <t>清水基地 還在整地,預計會填土150cm,因為是填新土,蓋木屋會有甚麼要注意嗎?
農地,
蔡小姐說114年7-8月份來看過此款出清屋</t>
  </si>
  <si>
    <t>清水 90坪建地，基地小鄰路，不喜歡水泥太多
但最近土方問題大，也還在談填土價格中
已+榕LINE，屬於慢慢談客戶
參訪：11407~11408
講話很慢(感覺也是動作很慢的人)</t>
  </si>
  <si>
    <t>蘇建豪</t>
  </si>
  <si>
    <t>0912032722</t>
  </si>
  <si>
    <t>能了解土地需具備什麼條件嗎？</t>
  </si>
  <si>
    <t>2+3(1Y6Y11Y)p 蘇建豪 0912032722 (收費五位)
無地，疫情前就想看，現在還沒有地</t>
  </si>
  <si>
    <t>陳文熙</t>
  </si>
  <si>
    <t>0972895389</t>
  </si>
  <si>
    <t>基地在田尾鄉公路花園附近。明天早上是否可以看屋。</t>
  </si>
  <si>
    <t>沒參訪過的客戶，直接看展示屋移轉(客戶說他心裡有個底)
住：台中
地：田尾鄉公路花園附近
0314現場，客戶真的不太懂，說後續會再約</t>
  </si>
  <si>
    <t>鄭亦修</t>
  </si>
  <si>
    <t>0972120369</t>
  </si>
  <si>
    <t>基地位置：台東市知本段7458號, 有農用水電</t>
  </si>
  <si>
    <t>僅網路看過原比較居林, 約家人來, 提到法規,滿積極</t>
  </si>
  <si>
    <t>謝雅穎</t>
  </si>
  <si>
    <t>0922208304</t>
  </si>
  <si>
    <t>詢問周末是否可以參觀</t>
  </si>
  <si>
    <t>彰化</t>
  </si>
  <si>
    <t>邱梅鳳</t>
  </si>
  <si>
    <t>0928978733</t>
  </si>
  <si>
    <t>21號星期六上午帶朋友去看可否</t>
  </si>
  <si>
    <t>南投 魚池 木屋舊客,帶妹妹來看展品移轉3院
妹妹基地在隔壁,有水有電,全額付款OK
3P(邱梅鳳夫妻+妹妹 妹妹的先生在大陸工作，無法來)
3/19 榕 約展示屋移轉</t>
  </si>
  <si>
    <t>張文放</t>
  </si>
  <si>
    <t>0963182555</t>
  </si>
  <si>
    <t>朋友告知他我們有出清屋款
有土地&amp;水電
台中大坑129縣道11公里處</t>
  </si>
  <si>
    <t>已退休
平常都在大坑這塊地休閒
與太太喬時間過去 平日可以安排
想要申請合法(文件正在申請中)
官line給定位點:https://maps.app.goo.gl/dioDYhd69s6vFafC7
台中市北屯區東山路二段176-4號</t>
  </si>
  <si>
    <t>劉熾營</t>
  </si>
  <si>
    <t>0929881580</t>
  </si>
  <si>
    <t>東勢人，現在住高雄，本周剛好來東勢想參訪
有老宅921倒塌 想要重蓋
參訪：夫妻</t>
  </si>
  <si>
    <t>吳經文</t>
  </si>
  <si>
    <t>0912016707</t>
  </si>
  <si>
    <t>問,是否有可以住宿2天可以體驗?
問參觀地址,大眾運輸可以到嗎?</t>
  </si>
  <si>
    <t>在苗栗有2塊地
其中一處已有在住,
另一基地要蓋起來作為招待所
想蓋雙層樓,提議先來看過在討論
有看過居林
參觀: 夫妻
4/21 再撥過去跟吳先生確認參觀時間
4/21未接2通 已留言</t>
  </si>
  <si>
    <t>0918016259</t>
  </si>
  <si>
    <t>您好
請問週二賞屋的時段是幾點到幾點呢？
方便聯繫的時間是
週一到週五10：30-14：30
再麻煩您下週來電</t>
  </si>
  <si>
    <t>4/21 說明天11點到下3點前電話可聯絡
已經在傳最新資訊給林小姐(林很開心終於接到電話)</t>
  </si>
  <si>
    <t>陳若穎</t>
  </si>
  <si>
    <t>0933810243</t>
  </si>
  <si>
    <t>台中清水，何時可參觀</t>
  </si>
  <si>
    <t>原打算清明連假帶父母來參觀木屋
時間要在與家人橋看看,
貼美照片&amp;時間給陳小姐
4/11未接</t>
  </si>
  <si>
    <t>曾泰睿</t>
  </si>
  <si>
    <t>0929357577</t>
  </si>
  <si>
    <t>嘉義縣民雄鄉民權路40之88號,想了解屋子的長寬高度
星期六想去參觀</t>
  </si>
  <si>
    <t>電話有誤 空號</t>
  </si>
  <si>
    <t>莊才昇</t>
  </si>
  <si>
    <t>0933254679</t>
  </si>
  <si>
    <t>桃園市中壢區內定二十街127號 附近。</t>
  </si>
  <si>
    <t>鍾岱蓉</t>
  </si>
  <si>
    <t>0910628953</t>
  </si>
  <si>
    <t>有興趣
你們先來我這邊看看能不能施工,等3月26日再開始</t>
  </si>
  <si>
    <r>
      <rPr>
        <rFont val="Arial"/>
        <color theme="1"/>
      </rPr>
      <t xml:space="preserve">兩年前關注過我們
朋友推薦他去龍潭農田(很多組合屋方式)
但是鍾小姐沒有去了解
參觀: 自己 (兒子可能要約看看)
基地: 中壢
</t>
    </r>
    <r>
      <rPr>
        <rFont val="Arial"/>
        <color rgb="FFFF0000"/>
      </rPr>
      <t>預算:40~400萬(鍾小姐說中價位可接受)</t>
    </r>
    <r>
      <rPr>
        <rFont val="Arial"/>
        <color theme="1"/>
      </rPr>
      <t xml:space="preserve">
電話中提到資訊:
1.基地怪手能進去
2.長型基地
3.土壤不能灌水泥(力邀來參觀實體先了解架構)
4/18參訪日未到,去電也未接未回電</t>
    </r>
  </si>
  <si>
    <t>張美紅</t>
  </si>
  <si>
    <t>0921046026</t>
  </si>
  <si>
    <t>田中鎮中州路一段144號</t>
  </si>
  <si>
    <t>台中.只想看展示屋, 不想參加團體參觀,2/22後要出國, 可以約時間純看展示屋</t>
  </si>
  <si>
    <t>林勝正</t>
  </si>
  <si>
    <t>0918195616</t>
  </si>
  <si>
    <t>有傳基地位置圖片，看不太懂</t>
  </si>
  <si>
    <t>去電,他說搞錯沒有啊 可能沒聽懂 先這樣</t>
  </si>
  <si>
    <t>張芳榛</t>
  </si>
  <si>
    <t>0978156656</t>
  </si>
  <si>
    <t>基地面積約49坪
基地面積面寬約7米左右
基地深度約24米</t>
  </si>
  <si>
    <t>和兒子商量一下預約日期. 3/18取消</t>
  </si>
  <si>
    <t>(家具裝潢)
劉芸榛</t>
  </si>
  <si>
    <t>0912398518</t>
  </si>
  <si>
    <t>幾坪？3/18沒有要買</t>
  </si>
  <si>
    <t>黃盈豪</t>
  </si>
  <si>
    <t>0920898108</t>
  </si>
  <si>
    <t>出售展示屋要去哪裡看？</t>
  </si>
  <si>
    <t>之前已經有看過了,有詢問價格是否含吊運. 若有需要再聯繫</t>
  </si>
  <si>
    <t>王人庠</t>
  </si>
  <si>
    <t>0932983164</t>
  </si>
  <si>
    <t>沒有參觀過
想了解出清3院細節</t>
  </si>
  <si>
    <t>台南人
基地在新竹橫山
會跟太太一同先來參觀了解
跟客人約3/17~等待確認太太的時間
會帶一隻中型狗狗</t>
  </si>
  <si>
    <t>張珮瑤</t>
  </si>
  <si>
    <t>0922556363</t>
  </si>
  <si>
    <t>您好；
張小姐
0922-556-363
想預約參觀：3/17 (二) </t>
  </si>
  <si>
    <t>嘉義人
尚未有基地,了解參訪流程
先過來了解</t>
  </si>
  <si>
    <t>陳裕旻</t>
  </si>
  <si>
    <t>0921986065</t>
  </si>
  <si>
    <t>請問目前政府法規，自行購買農地已經無法變更為建地。那如何買地放紅屋？
3/19來電, 問法規, 目前無地,已有看過資料.  下午4.5點可回電
后里</t>
  </si>
  <si>
    <t>約參訪OK
3/26再連絡(3/25在忙工作)
4/11 接通直接說不用掛電話</t>
  </si>
  <si>
    <t>李美珠
吳太太</t>
  </si>
  <si>
    <t>0932390554</t>
  </si>
  <si>
    <t xml:space="preserve">朋友在宜蘭有千坪農地可以給我們蓋一棟木屋
計畫不急,先了解一下
希望11/1下午可以確定,有沒有約參觀成功,不然我就要先看別間
11/6 2026 2月過年後才有空，屆時另約
3/17請問3/25下午2至3點想去参關觀行動紅屋 OK嗎？
吳豐裕 0932390554
</t>
  </si>
  <si>
    <t>以下是line討論
原本預約4/15(三)要來參訪
後來取消了，給他其他近期參訪日期他說暫時不用了
後續應該可以詢問一下原因
4/11語音</t>
  </si>
  <si>
    <t>陳桃霞</t>
  </si>
  <si>
    <t>0958586876</t>
  </si>
  <si>
    <t>請問 建地可以蓋嗎？</t>
  </si>
  <si>
    <t>基地: 宜蘭南澳
工作:桃園
評估蓋RC太貴了
建照許可快到期,考慮改木屋,紅屋能協助嗎?
預算:120萬 (想參考單院)
老家建地,掃墓&amp;度假用
4/11 LINE問大單價格</t>
  </si>
  <si>
    <t>竇廣玲</t>
  </si>
  <si>
    <t>0938077117</t>
  </si>
  <si>
    <t>展示屋
有地，規劃中，已有建築物 是鋼構
團隊，除了自住之外也會有對外開放
3P</t>
  </si>
  <si>
    <t>三位朋友一起規畫園區,有公共空間(當作教室教學)
想要三個各自的臥室空間
竇小姐另兩位朋友有公司行號</t>
  </si>
  <si>
    <t>呂小姐</t>
  </si>
  <si>
    <t>0937148441</t>
  </si>
  <si>
    <t>預約，今日
FB上看到資訊，已+LINE@</t>
  </si>
  <si>
    <t>會後找老闆聊基地規劃,教會相關
媽媽長得像蔡英文</t>
  </si>
  <si>
    <t>吳朝瑞</t>
  </si>
  <si>
    <t>0937544268</t>
  </si>
  <si>
    <t>有一個農地要放,想說我們有展示屋出清
但是他的預算僅30萬</t>
  </si>
  <si>
    <t>郭順益</t>
  </si>
  <si>
    <t>0911119010</t>
  </si>
  <si>
    <t>大雪山社區 建地90坪 可用原來舊屋整修方式更換</t>
  </si>
  <si>
    <t>跟我們老闆打拳的同學認識
台中北屯人
大雪山基地,有房子太老舊
考慮整修或直接蓋我們木屋
正在評估階段
與太太參觀
(應該是)
公司名稱 :	英材電腦科技有限公司
統一編號 :	16939967
主要產品 :	印表機維修
　連絡人 :	郭順益
公司地址 :	台中市北屯區永定2街95號
連絡電話 :	04-22303787</t>
  </si>
  <si>
    <t>余湘筠</t>
  </si>
  <si>
    <t>0989931560</t>
  </si>
  <si>
    <t>基地於:苗栗西湖森林之歌二期
有地的參觀
聯繫時間 每日的13:30過後</t>
  </si>
  <si>
    <t>美術老師
參訪會帶一位學生
是一間民宿經營者,
現在想在這間民宿旁邊的基地
蓋一個花園小屋,可讓人在這邊用餐等等
空間可以容納14人嗎?要落地門
擔心法規問題,
展示屋是可以接受的
參訪後：想蓋合掌屋</t>
  </si>
  <si>
    <t>李懿修</t>
  </si>
  <si>
    <t>0922365384</t>
  </si>
  <si>
    <t>請問萬里加投小段地號0184-0004這裡可以蓋嗎？謝謝您！
如果可行的話，鋼琴搬進去的話能承載這重量嗎？
大約300公斤，</t>
  </si>
  <si>
    <t>主要使用者: 父母
基地:祖傳留下的基地,目前是自己&amp;母親持分
父母目前住台中西區
打算賣掉搬鄉下住,
這基地離市區車程50分鐘
水電:無
現況:
職業:補教業
居住:住士林
放鋼琴是自己的想法&amp;需求</t>
  </si>
  <si>
    <t>黃惠如</t>
  </si>
  <si>
    <t>0922212227</t>
  </si>
  <si>
    <t>我對這1棟有興趣可以跟我聯絡嗎？
基地在屏東縣枋寮鄉</t>
  </si>
  <si>
    <t>客人3/22要出國,會玩五天
起因是朋友有來參觀過推薦他自然紅屋
在屏東縣枋寮鄉的基地,想要蓋給爸爸住
也是詢問展示屋移轉,沒看過實體屋
台中人
4/1長住日本(因女兒在日本讀書)
所以4/7會回日本,預計回來時間5月
想參觀了解紅屋產品&amp;理念
確定時間在跟我們說
參訪: 黃小姐&amp;朋友
希望約平日時間</t>
  </si>
  <si>
    <t>郭小姐</t>
  </si>
  <si>
    <t>0952785600</t>
  </si>
  <si>
    <t>2026/12月聯繫過,內容如下
無地的參觀
目前在餐廳打工
未來想成為結合生態,環保永續的餐廳老闆
魚菜共生,雨水廢水回收再利用
跟周遭朋友講這個計畫都被嘲笑,
兩天前看到我們的廣告,很認同理念與造屋方式
之前也看過太空艙&amp;其他組合屋
想找新北市郊區的基地
榕11/28 call想參訪，但假表月底主管才會排，要等假表出來才會有辦法預約，已請他先傳假表到LINE上</t>
  </si>
  <si>
    <t>陳嘉琳</t>
  </si>
  <si>
    <t>0931082758</t>
  </si>
  <si>
    <t>24/3/1朋友有意願租地給他們使用，他們也有在考慮。朋友：馮樺雯0972777360
25/4/22：太太常出差大陸工作，台灣到處跑。台北台中都有小宅，目前要到雲林(孩子華德福就學的地方，說是野孩子)找一個可以真正讓小孩落實生活的地方。</t>
  </si>
  <si>
    <t>張喬治</t>
  </si>
  <si>
    <t>0911562762</t>
  </si>
  <si>
    <t>line名稱寫: Green Journey綠喬園
(網路查是彰化員林綠喬園建設公司)
再確認下週平日時間3or5(家庭成員2大3小)</t>
  </si>
  <si>
    <t>3/28太太時間喬不出來
有詢問3院展示屋,已告知售出
已留line文字,請客人傳可參觀日期</t>
  </si>
  <si>
    <t>陳巧宜</t>
  </si>
  <si>
    <t>0910345286</t>
  </si>
  <si>
    <t>基地在桃園，請問可以實體參訪？</t>
  </si>
  <si>
    <t>4/21 在發最新參訪資訊給陳小姐
過兩天在確認可參訪時間
態度有一點點不耐</t>
  </si>
  <si>
    <t>張耘瑄</t>
  </si>
  <si>
    <t>0938005815</t>
  </si>
  <si>
    <t>請問如何預約參觀</t>
  </si>
  <si>
    <t xml:space="preserve">基地: 宜蘭
職業: 藝術家
更多資訊: </t>
  </si>
  <si>
    <t>陳志政</t>
  </si>
  <si>
    <t>mail 暫時留存
敬啟者:
我是一位年過50的科技人, 畢業於台灣科技大學電子系, 有20多年的程式設計經驗, 目前任職於電子製造大廠的自動化設備單位, 擔任軟體部門的處級主管.
在面對父親過世, 自己的健康出現狀況, 經常思考著是否應該放慢腳步, 重新生活.
偶然間在FB看到自然紅屋的介紹, 一方面想了解這樣的建築是否能通過建照和使照的申請與使用壽命, 建造價格大概是多少.另一方面關於農食住的內容
謝謝
陳志政</t>
  </si>
  <si>
    <t>劉曉燕</t>
  </si>
  <si>
    <t>0923600219</t>
  </si>
  <si>
    <t>今日下午1位參訪，目前人在台南，關注我們很久</t>
  </si>
  <si>
    <t>本身是有基地,但是想換地
先了解木屋找地才有方向再執行
有詢問木屋可否住宿體驗</t>
  </si>
  <si>
    <t>0923360723</t>
  </si>
  <si>
    <t>很小聲</t>
  </si>
  <si>
    <t>在台北家具店買過一張床想要做維修
乳膠床墊已經脆化,想更換乳膠可以嗎?
已請先生找坊間家具維修</t>
  </si>
  <si>
    <t>廖素珍</t>
  </si>
  <si>
    <t>0912049228</t>
  </si>
  <si>
    <t>職業:代書 (已退休現在是女兒在做)
目前與女兒住一起(台中市)
看到我們的影片,嚮往這樣退休生活
想跟先生一起過來參觀了解</t>
  </si>
  <si>
    <t>引導加Line
沒有基地,還探不出是否有實際條件買地買屋
有看到我們租地買屋的方案,對這個較有興趣</t>
  </si>
  <si>
    <t>周敏惠</t>
  </si>
  <si>
    <t>0910528926</t>
  </si>
  <si>
    <t>想今天參觀
3/19 軍下午回電, 討論下週可以參訪的日期</t>
  </si>
  <si>
    <t>基地:清水
地目:農地
說都看過實體了(花博)
與先生討論過
暫時還沒有要規劃了</t>
  </si>
  <si>
    <t>呂奕嫻</t>
  </si>
  <si>
    <t>0919822042</t>
  </si>
  <si>
    <t>呃 您好！不知道是否方便要一下圖面？點照片要放大一直跳出預設訊息😆</t>
  </si>
  <si>
    <t>4/11 傳資訊說正在看
10分鐘後已不接也不讀
後來告知是帶孩子太忙漏訊息
4/21 豐原人
認為不需要用到全實木空間(價格超出預算)
先生說太太決定就好(買哪一個)
蘋果倉看過了需要擴建,認為我們標的價格一樣會往上加
認為山上的空間一個月才去3、4次
平日參訪也OK時間要喬
已加梓涵公務機</t>
  </si>
  <si>
    <t>吕東霖</t>
  </si>
  <si>
    <t>0922826000</t>
  </si>
  <si>
    <t>Line留言
預約參訪洽談購置組合屋，安裝在都市計劃住宅區土地，規劃40坪面積雙主臥。
四月第一個禮拜，什麼時間可以安排？安裝地點在新北市三芝區。
以上
2022.11.25參觀過</t>
  </si>
  <si>
    <t>長期都在國外住,最近才回台打算定居
看過那麼多種組合屋,認為我們的木屋與他們價值觀較相近
也想給孩子天然無毒的環境成長(孩子目前1歲)
有4台車,蓋在建地生活一段時間,願意付工程費把房子拆到緊鄰的自己農地上,原地要申請建照使照蓋RC房屋
太太還在攻讀博士(準備論文等等)
參訪者：先生(美國)、太太(英國)
居住：新北市三芝
基地：等待基地資訊...
地目：建地+農地
面積：247坪建地,農地??
水電：
基地現況：土地緊鄰12米大馬路,工程車沒問題
取得方式：自購
合法性：???
完工時間：
預算：???
用途：長住,
認識管道：多年前有參觀過
看過廠商：
2022.11.4初次聯絡
長期國外工作，偶回台灣，但不喜歡都市，想住花蓮農地，閒置已久，看過馬斯克的迷你屋，但覺得紅屋更完整完善，不懂法律擔心合法性，想跟業務談，預計11/8從德國回台，可電聯
記得馥寧(第一次客服)聲音，需要業務再回復以下3需求，1. 旁邊加蓋車庫 2. 長住3院 3. 茶屋，起初認為3院太小，想要大片水泥，同意明白環保通風二行館，就依我們標準
呂先生六&amp;日要照顧小孩
太太時間真的很難喬
4/7 客人說計畫暫緩</t>
  </si>
  <si>
    <t>蔡一師
（蔡欽印</t>
  </si>
  <si>
    <t>0921998914</t>
  </si>
  <si>
    <t>請傳更多格局的圖片照片
到花蓮秀林鄉運費及安裝多少$
還有房屋的尺寸</t>
  </si>
  <si>
    <r>
      <rPr>
        <rFont val="Arial"/>
        <color rgb="FFFF0000"/>
      </rPr>
      <t>看過廠商: 太空艙</t>
    </r>
    <r>
      <rPr>
        <rFont val="Arial"/>
        <color theme="1"/>
      </rPr>
      <t xml:space="preserve">
有實際住過朋友的太空艙120萬就能住4位,有遮陽棚,也不熱 (R已正面回覆)
基地: 花蓮
預算:200內
度假屋:.偶而住4位,主要夫妻一起住
最慢7月會做出決定
認為我們價格是BMW等級,
展示品出清可再告知他們 (R沒看過不可以)
聽到參觀會收取費用有點不開心
已傳漂亮照片&amp;可預約日期
4/18 H要參加白沙屯繞境
4/21 H去電說正在會議,隨即掛電話,已留言
4/22 R認為要花 $2-3千，兩夫妻要從台北來，啟蒙質不好，如果不能不花錢就來，就不來。
啥都想拿，假白鵝，直接掛我電話很沒禮貌。</t>
    </r>
  </si>
  <si>
    <t>林佾(一ˋ)璇</t>
  </si>
  <si>
    <t>0978121611</t>
  </si>
  <si>
    <t>想約4/11(六)下午四點
已引導加line</t>
  </si>
  <si>
    <t>上班不方便電話,若沒接到電話,看到會回
目前還沒有基地,
三位朋友先來參觀了解
台北工作
3/25 來電+1位</t>
  </si>
  <si>
    <t>胡燕妮</t>
  </si>
  <si>
    <t>0933986801</t>
  </si>
  <si>
    <t>問長3的費用, 先發WIX</t>
  </si>
  <si>
    <t>先生沒體驗過,主要約先生來看,
胡小姐有住過知本客人的木屋兩次,看到我們有長3院,覺得空間很適合自己,有說道木屋主在緬甸,知本木屋給同事管理,胡小姐因為宗教關係認識,有住過2次
胡小姐是花蓮人,有基地</t>
  </si>
  <si>
    <t>林煜騰</t>
  </si>
  <si>
    <t>0963638877</t>
  </si>
  <si>
    <t xml:space="preserve">pm15:45人已開車到達停車場,詢問今日可否參觀
回絕,留客戶資訊另約時間
</t>
  </si>
  <si>
    <t>看我們很多影片,
比較過很多廠商,比較喜歡我們的產品
主要居住者:自己 (其他家人來來去去)
桃園人
基地桃園,會自己慢慢去規劃</t>
  </si>
  <si>
    <t>黃佳屏</t>
  </si>
  <si>
    <t>0988353153</t>
  </si>
  <si>
    <t>基地宜蘭 
是想問這套還有在嘛？</t>
  </si>
  <si>
    <t>地很多~
都在宜蘭地區,可能自住或是蓋起來租出去的想法
蠻喜歡我們的風格
要自己蓋又很難掌控預算
有考慮直接用我們的就好
最近比較忙,有需要會再聯繫我們
推薦再來參觀 [合掌屋]</t>
  </si>
  <si>
    <t>陳美玲</t>
  </si>
  <si>
    <t>0919263786</t>
  </si>
  <si>
    <t>基地：用哪一塊地 很多農地，水電沒有
想問展示屋，但不一定要
三個朋友一起來
4/3週五 (假日) 或 3/27周五(其中有一位要上課)</t>
  </si>
  <si>
    <t>客人留line: 預約4/11 14:00場次4位
桃園</t>
  </si>
  <si>
    <t>莊雅茹</t>
  </si>
  <si>
    <t>0966786729</t>
  </si>
  <si>
    <t>非常有興趣貴公司行動木屋，請儘速聯繫，欲知詳情與預算，謝謝！</t>
  </si>
  <si>
    <t>居住:桃園中壢
基地:桃園中壢
地目:乙種工業用地
坪數: 1000多坪
原因: 目前就是住美式木屋(三層樓,一層樓就100多坪)
房間都是套房式,因為目前居住人口不多,不需要那麼多空間
想在這塊基地蓋一間空間不用太大的木屋,我&amp;先生居住,價格,參觀都不是問題,要合法,理解合法要額外費用&amp;時間
莊小姐最近忙,時間要再看一下</t>
  </si>
  <si>
    <t>0986665566</t>
  </si>
  <si>
    <t>基地位置新竹縣峨眉鄉湖光村</t>
  </si>
  <si>
    <t>人在國外
回國再聯絡我們</t>
  </si>
  <si>
    <t>周思伶</t>
  </si>
  <si>
    <t>建設公司/銷售人員</t>
  </si>
  <si>
    <t>高佳荷</t>
  </si>
  <si>
    <t>0929613286</t>
  </si>
  <si>
    <t>你好
我要預約星期三參觀
4位</t>
  </si>
  <si>
    <t>4/21 尚未有基地,四位朋友時間不好喬
已告知可以1位或2位先來參觀
5/15 在看6月的時間~會再跟我們說</t>
  </si>
  <si>
    <t>黃小姐</t>
  </si>
  <si>
    <t>0905208657</t>
  </si>
  <si>
    <t>原本要問展示屋
之前有關注我們
再和先生討論可參訪的日期
也許4月中旬
農地 有問到申請&amp;申請用到好價格</t>
  </si>
  <si>
    <t>4/17正在上課
4/28 口誤~我說我姓黃
一直有想做規劃,想參觀
預計5月底&amp;6月初才有時間
參訪:夫妻
居住:桃園
職業:房產業
5/15
告知5月份無法安排~在跟我們保持聯繫</t>
  </si>
  <si>
    <t>羅桂華</t>
  </si>
  <si>
    <t>0963158190</t>
  </si>
  <si>
    <t>發WIX
2023/6/26聯繫:住潭子，石岡農地，10年前購買現荒廢，無思考用途，3P 先生小孩
2023/7/8參訪過</t>
  </si>
  <si>
    <t>想約早上1000
住: 潭子
基地:石岡(土牛派出所旁)
參訪: 夫妻
疑慮: 1.合法
         2.水電工程</t>
  </si>
  <si>
    <t>劉天</t>
  </si>
  <si>
    <t>0972434423</t>
  </si>
  <si>
    <t>可以申請建照及使用執照嗎？
約幾坪？謝謝！</t>
  </si>
  <si>
    <t xml:space="preserve">腳韌帶斷裂,現在正在休養中
可能晚一些時間跟我們約參訪
想要申請合法
</t>
  </si>
  <si>
    <t>陳黑龍</t>
  </si>
  <si>
    <t>0922988273</t>
  </si>
  <si>
    <t>詢問價格,詢問小琉球有案例嗎?</t>
  </si>
  <si>
    <t>基地太小~
預算不高</t>
  </si>
  <si>
    <t>鄭惠分</t>
  </si>
  <si>
    <t>0910699428</t>
  </si>
  <si>
    <t xml:space="preserve">官網看到我們案例
苗栗通霄黃連發(3院) 山壁
說他基地類似但沒有案例這麼危險
(有做水土保持)
</t>
  </si>
  <si>
    <t>台南人
參訪者: 母女(兩家人)，主要要買的人是女兒
基地:台南 南化區(水電申請中)
4月中後回國,再安排參訪
4/17 榕 補充資料，主要要買的是女兒，女兒只有4/22有空 (女兒18號還在日本、24號去越南，之後就要回美國。)
5/8 5P 不願意改時間</t>
  </si>
  <si>
    <t>楊博文</t>
  </si>
  <si>
    <t xml:space="preserve">
0933183284
楊太太(沈慧玲)</t>
  </si>
  <si>
    <t>現場客戶，到附近用餐，兩家人，說另一位楊先生比較急，楊先生自己說還好</t>
  </si>
  <si>
    <t>下周到4/25都不再台灣(出國玩)
原則上約5月初的時間</t>
  </si>
  <si>
    <t>林先生</t>
  </si>
  <si>
    <t>0916165522</t>
  </si>
  <si>
    <t>現場客戶，到附近用餐，兩家人，說另一位楊先生比較急，楊先生自己說還好
##林先生是沈慧玲表弟</t>
  </si>
  <si>
    <t>目前不方便電話
晚點打給我們
主要跟楊先生0933183284確認時間,他們會一起來參訪</t>
  </si>
  <si>
    <t>林維頌</t>
  </si>
  <si>
    <t>0918121936</t>
  </si>
  <si>
    <t>預計4月底會去彰化
參訪人:夫妻
居住:台北
基地:宜蘭
地目:丙建
水電: 有
基地現況:荒地,尚未整地
想法: 
沒看過資料,目前先讓客人加line
打去請客人傳貼圖,他問說最近生意好嗎?
客人說晚上6點後參觀可行嗎?
覺得客戶很白鵝心態並不想特別花時間參訪，暫時不聯繫</t>
  </si>
  <si>
    <t>劉奕呈</t>
  </si>
  <si>
    <t>0919271217</t>
  </si>
  <si>
    <t>2-3年有來園區參訪過
現在有想規劃在高雄, 1-2人長住
問官網的長院價格
-&gt;先傳WIX
(太太是林彥杏0928999971)</t>
  </si>
  <si>
    <t>上次參訪約2024年前
參訪：夫妻
正在談高雄建地(100坪)+50年老屋(60坪)
因為兩夫妻沒有看到長3院，但他們想了解長3院，所以先推薦他們趕快來看，為主。
先不要買地，美濃大峽谷現在清運很貴</t>
  </si>
  <si>
    <t>洪小姐</t>
  </si>
  <si>
    <t>0918390068</t>
  </si>
  <si>
    <t>想預約參觀</t>
  </si>
  <si>
    <t>參訪: 夫妻、可能找妹妹一家(嫁去南部有地)
基地: 無地,想找
已告知至少提前一兩周預約參訪時段</t>
  </si>
  <si>
    <t>卓财成</t>
  </si>
  <si>
    <t>0910472910</t>
  </si>
  <si>
    <t xml:space="preserve">
慾想評估鋼構屋或與木構結合的組合屋.
農地自建一層, 房約9坪+ 雨棚5 坪= 14</t>
  </si>
  <si>
    <t>大甲人，大甲區經國路1173 巷5 號
基地離住家50米
水電:有
不喜歡貨櫃屋那種
居住人:自己
想法:想規劃退休後長住的空間
想申請合法 ,問過經辦目前有一項沒符合
參訪有問題想問</t>
  </si>
  <si>
    <t>顏文杰</t>
  </si>
  <si>
    <t>0912155925</t>
  </si>
  <si>
    <t>問高雄有沒有施作</t>
  </si>
  <si>
    <t>已看過資料
客人說他計畫暫緩</t>
  </si>
  <si>
    <t>吳郁君</t>
  </si>
  <si>
    <t>0921809876</t>
  </si>
  <si>
    <t>打來說要參訪</t>
  </si>
  <si>
    <t>從台北坐車下來
常住淡水
基地愈買台東(因為喜歡這邊)</t>
  </si>
  <si>
    <t>蔡惠婷</t>
  </si>
  <si>
    <t>0936263489</t>
  </si>
  <si>
    <t xml:space="preserve">家具遊龍沙發
內部泡棉可以更換嗎?
</t>
  </si>
  <si>
    <t>已回覆
沒有生產線</t>
  </si>
  <si>
    <t>王竹安</t>
  </si>
  <si>
    <t>0920022254</t>
  </si>
  <si>
    <t>雲林縣麥寮鄉泰順路229號</t>
  </si>
  <si>
    <t>舊客，只是要問有沒有折價而已，原本的農地已經賣掉，現在要改用建地去做 更難了......</t>
  </si>
  <si>
    <t>王子明</t>
  </si>
  <si>
    <t>0931511055</t>
  </si>
  <si>
    <t>我對你們的小木屋有興趣，請跟我聯絡
聯絡時間 早上9:00～11:00請打給我</t>
  </si>
  <si>
    <t>父母行動不便,住家不合適裝電梯
想在住家旁多一間木屋
給父母&amp;外傭住
一定要可裝冷氣
基地: 神岡
面積:9*6.5米(扣掉預留路寬剩7*4米)
決策者:自己
4/11 後續聯繫都未接通，結案處理</t>
  </si>
  <si>
    <t>黃暐婷</t>
  </si>
  <si>
    <t>0911028551</t>
  </si>
  <si>
    <t>以前的LINE客戶，詢問上周六是否有營業</t>
  </si>
  <si>
    <t>住南部，有機會5月安排來訪，或者要6月連假(端午節)
黃小姐您好~
剛剛電話通知，5月份可以預約的周六
5/2、5/23 ，都是下午兩點開始唷！</t>
  </si>
  <si>
    <t>蔡呈祺</t>
  </si>
  <si>
    <t>0972918307</t>
  </si>
  <si>
    <t>4/7號 10:30 (方便聯繫時間)
已請他先看LINE資料</t>
  </si>
  <si>
    <t>4/8 通話中
4/11 語音
而且line都未讀</t>
  </si>
  <si>
    <t>王明瑛</t>
  </si>
  <si>
    <t>0925933363</t>
  </si>
  <si>
    <t xml:space="preserve">請問只有台中有展示中心嗎
</t>
  </si>
  <si>
    <r>
      <rPr>
        <rFont val="Arial"/>
        <color theme="1"/>
      </rPr>
      <t xml:space="preserve">參訪: 夫妻
住: 台南
基地: 台南西港 (購買3~4年了)
水電: 無
面積: 50坪(狹長型)
疫情期間建築成本一坪15萬~最近得知20萬都有風險(倒帳)
看到我們的木屋&amp;宥勝的影片,
喜歡我們外型,想來了解看看
請小姐加line~
參觀時間假日較方便,需要跟先生討論一下時間
最近的周六都排滿了
</t>
    </r>
    <r>
      <rPr>
        <rFont val="Arial"/>
        <color rgb="FFFF0000"/>
      </rPr>
      <t>5月初在確認時間</t>
    </r>
  </si>
  <si>
    <t>幸先生</t>
  </si>
  <si>
    <t>0958956601</t>
  </si>
  <si>
    <t>已購買一塊建地長寬為32*24米
要買4間木屋獨立的,放在這間基地上
給兒子&amp;自己要住的,不是經營休閒</t>
  </si>
  <si>
    <r>
      <rPr>
        <rFont val="Arial"/>
        <color theme="1"/>
      </rPr>
      <t xml:space="preserve">這客人一直講他想說的(機關槍)
住: 高雄人
基地:高雄別墅建地(預計5月底才付款完成)
說是親戚朋友賣給他的,金額破億
面積 : 32*24米
工作: 很複雜,不願透漏,本業已退休,
說家人都不清楚他在做的工作
工作關係時常往返,中國&amp;香港等地
</t>
    </r>
    <r>
      <rPr>
        <rFont val="Arial"/>
        <color rgb="FFFF0000"/>
      </rPr>
      <t xml:space="preserve">5/10才會在台灣,到時候再跟我們約參觀
看過貨櫃屋(不喜歡)
</t>
    </r>
    <r>
      <rPr>
        <rFont val="Arial"/>
        <color theme="1"/>
      </rPr>
      <t>職業:作組織,內容家人不清楚內容
就近廠商:築地岩(僅線上諮詢,已經簽約)
要合法,土地240坪
基地確定地主只租不賣
加梓涵公務機</t>
    </r>
  </si>
  <si>
    <t>鍾正偉</t>
  </si>
  <si>
    <t>0933833916</t>
  </si>
  <si>
    <t>我是鍾正偉，對貴公司推廣的自然紅屋，有興趣作進一步了解，煩請得便時與我聯絡，謝謝！</t>
  </si>
  <si>
    <t>屏東內埔，住在老三合院裡
有想要給自己一個更好的生活環境
參訪：夫妻
基地:屏東縣內埔鄉富田段110地號&amp;82地號
路很小,待判斷
現場追蹤A</t>
  </si>
  <si>
    <t>陳玟玟</t>
  </si>
  <si>
    <t>0980567818</t>
  </si>
  <si>
    <t>請問，若想購買木屋
我需先具備什麼條件</t>
  </si>
  <si>
    <t>2024就聯繫過，但沒有來參訪過
關注木屋很久，以為要有第才能來看。聽到能先來看放心很多，有年紀很在意醫院問題(請他跟創辦人請教)
住國外一陣子，回台灣覺得沒有喜歡的地方
1人住，想要小間的(問42-80萬的)，建議他要看短2院(178萬)
1-2位參訪，問朋友要不要一起來
今天跟朋友去醫院，要4-5點在聯繫時間</t>
  </si>
  <si>
    <t>陳瀚文</t>
  </si>
  <si>
    <t>0918070350</t>
  </si>
  <si>
    <t>你好 請問自然紅屋可以裝在建地上面嗎？</t>
  </si>
  <si>
    <t>3+1</t>
  </si>
  <si>
    <r>
      <rPr>
        <rFont val="Arial"/>
        <color rgb="FFFF0000"/>
      </rPr>
      <t xml:space="preserve">2023/李珮琪0919286553，85motorcat@gmail.com
想了解房型、價格、以及土地法規等相關資訊
希望時間能安排在週六下午3P，謝謝
</t>
    </r>
    <r>
      <rPr>
        <rFont val="Arial"/>
        <color theme="1"/>
      </rPr>
      <t xml:space="preserve">跟太太2年前有來看過
目前正在找地
但是對法規還不是很清楚
參訪者: 夫妻+2孩(6個月&amp;2歲)
</t>
    </r>
  </si>
  <si>
    <t>王宇晴</t>
  </si>
  <si>
    <t>0955703113</t>
  </si>
  <si>
    <t>11/8初次聯繫
想問林地可否使用我們的房子，不行的話有其他方式嗎?(想規避法律問題，順便詢問經驗)
想增加空間作使用
使用基地有水電 
費用計算(預計想2院，想要有床有衛浴，其他部分有點想更動內裝)
工作：室內設計</t>
  </si>
  <si>
    <t>11/13 榕
沒有要急著，太忙了(一直不斷強調自己很忙)
彰化 芳苑 國有林地租賃 大片平原，已經4代
現有平房已經50-60年以上，有水電
1房1廚1衛，預算200萬，蓋再原本羊舍位置
跟縣長關係好，要富麗建設(媽媽的好朋友)蓋廟(不申請)
4/11 已寄交通資訊(簡訊)給王
4/17 榕 LINE@已加入 下午1330聯繫預約
1330去電2通未接
王小姐彰化的祖傳基地
有水電
先生都要回診,時間比較難喬,詢問時間中</t>
  </si>
  <si>
    <t>廖顯慶</t>
  </si>
  <si>
    <t>0955828672</t>
  </si>
  <si>
    <t>嚮往親近自然這樣的生活</t>
  </si>
  <si>
    <t xml:space="preserve">參訪者: 夫妻+14歲孩子+狗(推車)
基地:無
興趣:露營活動
</t>
  </si>
  <si>
    <t>李月梅</t>
  </si>
  <si>
    <t>0937069115</t>
  </si>
  <si>
    <t>你們有幫人規劃小房子的嗎</t>
  </si>
  <si>
    <t>梓涵公務機
基地:苗栗頭份
面積:600坪(含40坪建地)
之前這基地請建築師規劃以付20萬
估價蓋起來要2000萬,從而放棄
蓋起來想給自己客人來這邊泡茶休閒(招待所)
職業:業務已退休
反推銷朋友的組合屋
4/11 一直說兒子還沒有空,要約兒子來
自己看過很多木屋,要先和兒子約,兒子還沒看過資料
我會再跟你們提前約</t>
  </si>
  <si>
    <t>林慧英</t>
  </si>
  <si>
    <t>0931692178</t>
  </si>
  <si>
    <t>問價格 地需要多大
有看過網路很久了</t>
  </si>
  <si>
    <t>丙建50坪(可蓋只有22坪)
考慮我們兩層樓,但想知道預算
4/11 住霧峰,說我們參觀地太遠??
說與先生個性是要蒐集資料齊全在來
需要我會提早跟你們約
4/30打電話來說~有看中一塊地, 要先到貴司參訪
 條件可行才會有後續的買地,,蓋房
居住: 霧峰
參訪: 夫妻
基地: 丙建50坪</t>
  </si>
  <si>
    <t>陳薇羽</t>
  </si>
  <si>
    <t>0919029021</t>
  </si>
  <si>
    <t>社區的露臺
想放大單院,不要衛浴
傳現況照片
4/11 榕：已告知 看過 喜歡 再談工程細節，客戶ok
問下周三 2P(不是夫妻) 待確認
4/17 榕：再評估一下意願度高不高，因為外縣市，最近公司又很忙，若有符合再安排來訪。(不想約電話)</t>
  </si>
  <si>
    <t>黃先生</t>
  </si>
  <si>
    <t>0938919896</t>
  </si>
  <si>
    <t>新竹 補習班，想做為辦公室用途
夫妻都蠻喜歡我們的風格</t>
  </si>
  <si>
    <r>
      <rPr>
        <rFont val="Arial"/>
        <color theme="1"/>
      </rPr>
      <t xml:space="preserve">問 4/15 4/24 4/29
居住：太太在新竹工作(兩間補習班)，先生在台北工作
預約時間：周間先生可以，周末太太可以
接電話時間：太太早上有空，下午補習班忙碌碰運氣
</t>
    </r>
    <r>
      <rPr>
        <rFont val="Arial"/>
        <color rgb="FFFF0000"/>
      </rPr>
      <t>"新竹 補習班，想做為辦公室用途
主決策者是太太(開補習班)</t>
    </r>
    <r>
      <rPr>
        <rFont val="Arial"/>
        <color theme="1"/>
      </rPr>
      <t>，夫妻都蠻喜歡我們的風格"
他說看到木屋預算就打退堂鼓，但還是先建議他們一定要看過實體！(都想花錢了)
若太太先來 就近期假日
若夫妻同訪，就5/23
4/22 R 太太最近剛好，長輩身體有狀況(已在找墓地)，所以才延期
問到太太電話，江小姐0987866038 (3點後撥通)
太太1人先來訪，ok
只有周一(上午) 周五上午(0900-1000) 其他都要工作跟接小孩
基地：地主無償借用
需求：老師休息小空間、3-5人辦公室、自己的辦公室
時間：年底完工(有答應partner)</t>
    </r>
  </si>
  <si>
    <t>0963596731</t>
  </si>
  <si>
    <t>住: 桃園
欲規畫基地:中壢
行旅目的?
只看看
您的屬性?
小家庭 (合院)
希望參訪的日期
4/15</t>
  </si>
  <si>
    <t xml:space="preserve">有看過太空艙
目前先來初步了解
</t>
  </si>
  <si>
    <t>0933721481</t>
  </si>
  <si>
    <t>姊姊住在加拿大，早期買過我們的寢具很喜歡
現在姐姐在國外，所以她幫忙問(不知道家具是要放國內還是國外)
已說明目前的營運轉為木屋
還是盡量說明木屋的好，邀妹妹先來做體驗</t>
  </si>
  <si>
    <t xml:space="preserve">工作比較忙,抽不出時間
目前對木屋都沒有想法
當初找到我們是因為家具產品
(我們產品有在誠品販售??)
也有意願,若要來參觀會提早跟我們約
</t>
  </si>
  <si>
    <t>陳延靜</t>
  </si>
  <si>
    <t>0928329069</t>
  </si>
  <si>
    <t>有地的參觀
希望可以週六日的時間，
5/16.17或5/30.31，謝謝</t>
  </si>
  <si>
    <t xml:space="preserve">老家基地,未來想在這邊蓋
沒有急迫性,先來了解看看
主要會是妹妹住
參訪: 姊&amp;妹
</t>
  </si>
  <si>
    <t>黃昭憲</t>
  </si>
  <si>
    <t>04-25879800
04-25888257</t>
  </si>
  <si>
    <t>在FB 看到資訊，已看過WIX 先留室話
下午3:30-4:00會在家可以聯繫
太太：胡淑雅0937082598／04-25888257
先生：黃昭憲 0911144807 (有留官網又有留電話)</t>
  </si>
  <si>
    <t>住 東勢(公所對面)在東勢區公所對面(快樂牙醫)
職業：醫生&amp;醫生娘
初步想法在自家頂樓蓋(先生也想買其他的地去蓋)
初步說太太覺得有點麻煩，要先說服太太來訪，平日先生只有周四下午有空，其他天要在橋。但太太都在家帶雙胞胎，有空。
20分鐘後打給太太，已寄簡訊給他
4/16 未接電話
4/17太太說先生想太多,一下要買這個一下要買別的
她受不了,她昨日還帶先生去拿藥
太太說自家都住那麼山上了,不需要住木屋</t>
  </si>
  <si>
    <t>李昕燁</t>
  </si>
  <si>
    <t>0958259215</t>
  </si>
  <si>
    <t>我有一個2F的露臺坪數80坪
想在這邊放你們的木屋可行嗎?
在FB看到你們的資訊</t>
  </si>
  <si>
    <t>職業:設計師
業主:佛寺修繕工程
基地:桃園大園
面積:2F露臺 面積有80坪
設計師跟他業主提案用我們的木屋
我們木屋含全設備,確認一單位重量(3噸)
設計師有朋友在屏東蓋我們的木屋,(說是一半用住家,一半是瑜珈教室),
設計師本身有體驗過木屋了,他認為可幫業主掌控預算,比打掉重建更好,我們木屋又可以移動,
基本上認同我們木屋,只是預算上想了解大概會落在哪,
目前初步認為大單院或短2院
4/17 尚未決定用紅屋喔! 正在跟業主討論</t>
  </si>
  <si>
    <t>蕭素蓉</t>
  </si>
  <si>
    <t>0932058819</t>
  </si>
  <si>
    <t xml:space="preserve">關注我們很久了
因為交通的問題還沒來參觀(高速公路不敢開)
要把時間安排一下,要過來提早告訴我們
沒有基地可以規劃,不急的來看
如果我們有體驗住宿會想來
覺得去參觀時間要花費5小時,
交通不便而婉拒
</t>
  </si>
  <si>
    <t>劉軒捷
(小姐)</t>
  </si>
  <si>
    <t>0937301901
(空號)</t>
  </si>
  <si>
    <t>參觀地址在哪?
4/18已留言詢問</t>
  </si>
  <si>
    <t>陳宏昌</t>
  </si>
  <si>
    <t>0910888090</t>
  </si>
  <si>
    <t>豐原木屋,可幫評估移走嗎?
因土地要歸還給地主</t>
  </si>
  <si>
    <t xml:space="preserve">居住:台北 (工作)
基地:嘉義
現況: 朋友豐原的木屋要給他,打電來問我們可否協助移動
屋頂太大,老師傅都退休,沒有人幫忙
</t>
  </si>
  <si>
    <t>黃鑫浪</t>
  </si>
  <si>
    <t>0936822996</t>
  </si>
  <si>
    <t xml:space="preserve">以前來onon用餐,看過3院長住款220萬
買給母親住,需求2臥房,可簡單料理廚房,
</t>
  </si>
  <si>
    <t>居住:板橋(退休)不過目前還有在工作
基地:卓蘭壢西坪
面積:約171坪
水電:有
現況:有老房子,還有在使用
原因:目前已退休
預算:200萬</t>
  </si>
  <si>
    <t>Philip Hsu</t>
  </si>
  <si>
    <t>0975170749</t>
  </si>
  <si>
    <t>聯繫時間:1700後</t>
  </si>
  <si>
    <t>陳秀義</t>
  </si>
  <si>
    <t>0920072277</t>
  </si>
  <si>
    <t>聯繫時間:1300~1700</t>
  </si>
  <si>
    <t>Gina許</t>
  </si>
  <si>
    <t>0955213658</t>
  </si>
  <si>
    <t>住台中
詢問我們參觀地址
說是女兒傳給她的資訊</t>
  </si>
  <si>
    <t xml:space="preserve">好奇而已,目前沒需求
很急掛我電話(怕被推銷的感覺)
有要參觀會再跟我們預約(不耐煩)
傳照片給她(梓涵公務機)
</t>
  </si>
  <si>
    <t>林恆宇</t>
  </si>
  <si>
    <t>0958651932</t>
  </si>
  <si>
    <t>住：台北
有地 (家裡的)
預約：平日
(要討論不太耐煩的感覺，資料都有了)
還要跟家人討論，才有辦法決定來訪日期。</t>
  </si>
  <si>
    <t>周延</t>
  </si>
  <si>
    <t>0976760190</t>
  </si>
  <si>
    <r>
      <rPr>
        <rFont val="Arial"/>
        <color theme="1"/>
      </rPr>
      <t>主要的決策者是媽媽，周先生在台中工作，只有周一二方便，</t>
    </r>
    <r>
      <rPr>
        <rFont val="Arial"/>
        <color rgb="FFFF0000"/>
      </rPr>
      <t xml:space="preserve">媽媽先來參訪
</t>
    </r>
    <r>
      <rPr>
        <rFont val="Arial"/>
        <color theme="1"/>
      </rPr>
      <t>下周二4/28 早上0900-0930先撥給媽媽預約(約的時間較彈性)
人數：2位</t>
    </r>
  </si>
  <si>
    <t xml:space="preserve">周延媽媽~
呂立平小姐 </t>
  </si>
  <si>
    <t>0936998973</t>
  </si>
  <si>
    <t xml:space="preserve">
想提早作退休規劃
基地:目前在看桃園基地
職業:室內設計師
參觀:夫妻&amp; 兒子周延(細木作老師)
看過廠商:太空艙(不喜歡)
過去看過我們很多影片&amp;介紹,想安排深度參訪,不過要下半年在約時間,手邊工作會忙完一個階段較有空,已告知三五六下午兩點時間
5月底在聯繫時間</t>
  </si>
  <si>
    <t>林一琳</t>
  </si>
  <si>
    <t>0919654610</t>
  </si>
  <si>
    <t>居住縣市
東勢
欲規劃基地縣市
東勢
您的屬性?
小家庭 (合院)
希望參訪的日期
4／28
您好。我之前有跟家人去你那邊參觀然後有吃過戰釜豬排，因為我現在要介紹朋友去妳們那邊參參觀，所以不知道要怎麼預約星期四上午11點兩人
LINE@</t>
  </si>
  <si>
    <t>確認有收到簡訊
詢問我們有沒有含餐點
答覆:沒有,再跟朋友確認要不要來
心臟科醫師
想約4/29下午參訪
林一琳小姐大力推薦我們,
醫師住台中北屯
在東勢往大雪山路上有一塊平整地想蓋
醫師原考慮用鐵皮鋼構去蓋,林小姐跟朋友推薦自然紅屋
4/29 臨時取消 原因:醫師多年前看過花博展印象不好</t>
  </si>
  <si>
    <t>黃淑華</t>
  </si>
  <si>
    <t>0923249393</t>
  </si>
  <si>
    <t>居住縣市
台中
欲規劃基地縣市
台南
您的屬性?
小家庭 (合院)
企業主 (合掌屋)
希望參訪的日期
5/2（六）
LINE@</t>
  </si>
  <si>
    <t>有基地,想要先評估可行性
參訪:夫妻&amp;家人(看排假狀況,有可能改2位)
統編）　 45185798
公司名稱 興芙華有限公司
代表人姓名 黃淑華
公司所在地 臺中市南區和平里復興路二段12號3樓、12之1號3樓  
公司狀況 核准設立
資本總額(元) 2,000,000</t>
  </si>
  <si>
    <t>Thomas Chang
陳先生</t>
  </si>
  <si>
    <t>0952039141</t>
  </si>
  <si>
    <t>中午 (12:00-13:00)</t>
  </si>
  <si>
    <t xml:space="preserve">基地:台中太平
地目: 租賃的國有財產局土地可以蓋嗎?
坪數:15~20坪
原因:因為沒蓋起來,土地雜亂無章
想先去問相關單位可否蓋再來約
假日較方便安排(但又說假日臨時會有事情)
</t>
  </si>
  <si>
    <t>佩卓</t>
  </si>
  <si>
    <t>0930070767</t>
  </si>
  <si>
    <t>合掌屋價格多少？
聯絡"林文斌" 0930070767 PM 5：30後</t>
  </si>
  <si>
    <t>合掌屋有進來時在約好不?
6月初在電話約時間
講話比較急
電話有問到5院屋款</t>
  </si>
  <si>
    <t>梅玲
(群恩.辰辰媽媽/北五吉野櫻)</t>
  </si>
  <si>
    <t>待</t>
  </si>
  <si>
    <t>想預約這週六（5/2）參觀</t>
  </si>
  <si>
    <t>莫保寧</t>
  </si>
  <si>
    <t>0931655851</t>
  </si>
  <si>
    <t>家具，竹蓆維修 早上11點～</t>
  </si>
  <si>
    <t>不客氣口吻
為何透過我們訂竹蓆,
直接給我廠商電話??不需要透過我們這樣</t>
  </si>
  <si>
    <t>沈弈維</t>
  </si>
  <si>
    <t>0918714636</t>
  </si>
  <si>
    <t>幫公司詢問
政府標案~在桃園一場地,評估可否蓋我們
在樹木叢林中放組合屋
已知貨櫃屋無法
活動專案業務副理
學思動力行銷有限公司</t>
  </si>
  <si>
    <t>參訪:3~4位
1700前確認
要和主管確認,晚點line我們人數
4/29 說今天時間趕不及因此取消參訪
說再自行打過來約時間</t>
  </si>
  <si>
    <t>曾琴梅</t>
  </si>
  <si>
    <t>0939705120</t>
  </si>
  <si>
    <t>請問
 想把土地利用最大化
住屋架高成二樓 一樓當車庫
不知貴公司木屋 適合嗎？
一樓鏤空</t>
  </si>
  <si>
    <t>多年前有參觀過老闆住的(可能是土牛園區?)
目前還沒找到合適土地
想合法化,抓預算很沒有概念
參訪:夫妻
居住:台北
職業:自由業者
土地想找:中部以北,但是考慮近幾年極端氣候可能擴大範圍找土地
4/29 自由業,時間真的不好排,怕跟我們排的日期,客人臨時約要跟我們取消,對我們不好意思,想等合掌屋蓋好之後聯繫約時間
5月底再去電</t>
  </si>
  <si>
    <t>楊志鴻</t>
  </si>
  <si>
    <t>0971016777</t>
  </si>
  <si>
    <t xml:space="preserve">居住縣市
台南市東區
欲規劃基地縣市
台南市佳里區
您的屬性?
小家庭 (合院)
企業主 (合掌屋)
</t>
  </si>
  <si>
    <t>子榕公務機
已於line約好時間
20260704</t>
  </si>
  <si>
    <t>徐淑媛</t>
  </si>
  <si>
    <t>0912322022</t>
  </si>
  <si>
    <t>方便聯絡時段
下午 (13:00-17:00)
City
台中市</t>
  </si>
  <si>
    <t>下午2點後
想跟先生去參觀
尚未看過資料</t>
  </si>
  <si>
    <t>陳興文</t>
  </si>
  <si>
    <t>0908592559</t>
  </si>
  <si>
    <t>方便聯絡時段
晚間 (17:00-21:00)
理想總價
360萬～450萬
City
台中</t>
  </si>
  <si>
    <t>再忙~
要求人員加line,用line聊
已加梓涵公務機
有基地要規劃,可以再多聊
因為5/6打去,可能再忙
要求[合掌屋]展出時可以約時間參訪
最近較忙
6 月初在約</t>
  </si>
  <si>
    <t>林文欽</t>
  </si>
  <si>
    <t>0922080086</t>
  </si>
  <si>
    <t>方便聯絡時段
上午 (09:00-12:00)
City
台中市</t>
  </si>
  <si>
    <t xml:space="preserve">現實考量,很喜歡木屋,但是價格就沒辦法接受
來看了能貸款嗎?不能買去看辛酸?
</t>
  </si>
  <si>
    <t>李育真</t>
  </si>
  <si>
    <t>0986616281</t>
  </si>
  <si>
    <t>今日可參訪？
居住縣市
台中
欲規劃基地縣市
梧棲
您的屬性?
小家庭 (合院)
希望參訪的日期
5/1
LINE@</t>
  </si>
  <si>
    <t>原本約好5/2,後來馬上取消
5/1 (五，子榕
客戶是因為目前沒有計畫要執行了，所以才取消
已告知，就算是5-10年後的規劃，現在看都很重要。
ai時代，有看過實體才知道。</t>
  </si>
  <si>
    <t>李艾倫</t>
  </si>
  <si>
    <t>0918774551</t>
  </si>
  <si>
    <t>您好：請問5/1下午方便過去看看嗎？（我和先生一起過去）
謝謝，敝姓李，0918774551</t>
  </si>
  <si>
    <t>有基地
居住:台中
地目:農地+建地
參訪:夫妻
平常忙,時間較難排
有告知合掌屋可以5月底看到
客人不在意看不看新款,原本就喜歡我們理念
主要想了解法規執行面可行性
也是FB名單,名稱tsubaki</t>
  </si>
  <si>
    <t>林豐順</t>
  </si>
  <si>
    <t>0932057659</t>
  </si>
  <si>
    <t>方便聯絡時段
下午 (13:00-17:00)
City台中市
7月初我們在約時間，謝謝</t>
  </si>
  <si>
    <t>2通未接</t>
  </si>
  <si>
    <t>謝文裕</t>
  </si>
  <si>
    <t>0920015579</t>
  </si>
  <si>
    <t>今天有空，請問能接受臨時預約嗎？ 3人</t>
  </si>
  <si>
    <t>有基地
居住:新北市
約臨時參訪,平常很忙碌
當下約下次可以時間,客人不確定,
理解提早一兩周預約時間</t>
  </si>
  <si>
    <t>陳雅瑜</t>
  </si>
  <si>
    <t>0921628648</t>
  </si>
  <si>
    <t>可以請問一下萬一被查緝說不合格不能擺放在農地上，我要從宜蘭移到花蓮的農地上都有馬路，都在平地不是山上距離大馬路都不遠，我可以了解一下 異地重建的費用大概需要多少嗎？</t>
  </si>
  <si>
    <t>目前不需要了
不用打給我了</t>
  </si>
  <si>
    <t>鄭彩屏</t>
  </si>
  <si>
    <t>0910552133</t>
  </si>
  <si>
    <t>方便聯絡時段
晚間 (17:00-21:00)
Full name
鄭彩屏
Phone number
+886910552133
City
台中市</t>
  </si>
  <si>
    <t xml:space="preserve">無地的參觀
先來了解
職業:櫃姐(百貨業)
</t>
  </si>
  <si>
    <t>張貞英</t>
  </si>
  <si>
    <t>0952380629</t>
  </si>
  <si>
    <t>方便聯絡時段
全天皆可
City
新竹</t>
  </si>
  <si>
    <t xml:space="preserve">
住:新竹
年齡:感覺50+
老家山上的一塊地,想規劃想很久了
廠商:有看過其他間
水電:無
參訪:夫妻
可安排時間:平日一或五&amp;週六
預計6月底約</t>
  </si>
  <si>
    <t>林碧玲</t>
  </si>
  <si>
    <t>0937071657</t>
  </si>
  <si>
    <t>方便聯絡時段
晚間 (17:00-21:00)
City
Taichung</t>
  </si>
  <si>
    <t>有回電 說沒事目前沒興趣</t>
  </si>
  <si>
    <t>林燄明</t>
  </si>
  <si>
    <t>0922701958</t>
  </si>
  <si>
    <t>方便聯絡時段
全天皆可
City
台南市</t>
  </si>
  <si>
    <t>去詢問過知道現在農地蓋房很困難
不用麻煩,先這樣,即掛電話</t>
  </si>
  <si>
    <t>林玉青</t>
  </si>
  <si>
    <t>0912625526</t>
  </si>
  <si>
    <t>方便聯絡時段
全天皆可
City
台中市</t>
  </si>
  <si>
    <t>以為是民宿,
未來會不會這樣規劃,還不確定
還在想&amp;在看</t>
  </si>
  <si>
    <t>陳雯芸</t>
  </si>
  <si>
    <t>0928234066</t>
  </si>
  <si>
    <t xml:space="preserve">請問如果是頂樓頂加是可以裝設的嗎
想問最小單位
</t>
  </si>
  <si>
    <t>以前購買過家具的客人
頂樓增加現成可休憩小屋
已有頂棚,高度不符合作罷</t>
  </si>
  <si>
    <t>郭智弘</t>
  </si>
  <si>
    <t>0912521357</t>
  </si>
  <si>
    <t>梓涵公務機</t>
  </si>
  <si>
    <t>想約太太可以的時間一起來參訪
太太常出差</t>
  </si>
  <si>
    <t>石楊薇</t>
  </si>
  <si>
    <t>0939391896</t>
  </si>
  <si>
    <t>無地的參觀
全天</t>
  </si>
  <si>
    <t>參訪:夫妻+小孩 (5歲)
居住:台中
未來規劃想找苗栗、南投基地</t>
  </si>
  <si>
    <t>李凾ㄏㄢˊ螢</t>
  </si>
  <si>
    <t>0988628372</t>
  </si>
  <si>
    <t>有地的參觀
皆可
如果沒接，可聯繫先生。但他是華裔外國人。需講慢點、簡單一點 0984262292</t>
  </si>
  <si>
    <t>正好要出門
再連絡
已經先引導加line
最近準備出國長住
出國一次都會待比較久的時間
用一處木屋可能會不常回來住
跟先生討論後,可能計畫先暫緩
有需要會再聯繫我們</t>
  </si>
  <si>
    <t>0926552978</t>
  </si>
  <si>
    <t>收到您的訊息~ 歡迎留下：
1. 大名：曾小姐
2. 電話：0926552978
3. 可聯繫時間
下午13:00以後</t>
  </si>
  <si>
    <t>FB名稱為"馬璐"
住: 台北
參訪: 夫妻+(柴犬可放置外出籠)
基地:嘉義老家的三合院
水電: 有
想要增建左邊棟
目前老公父母都住嘉義,因為小叔往生後
老公繼承了這個建物
想要蓋起來,退休會搬回來長住
狗狗僅有出國不帶身邊,其他時間都帶著一起跑
最近忙 還沒跟先生討論到這邊
時間點想要年底完成</t>
  </si>
  <si>
    <t>温雅惠</t>
  </si>
  <si>
    <t>0922011800</t>
  </si>
  <si>
    <t>問木屋放農地可以嗎(法規)
住桃園想目前在找台南的地</t>
  </si>
  <si>
    <t>朋友介紹她,才知道我們
參訪:夫妻
方便參訪時間:假日
5/7在跟先生確認時間中,今日回覆</t>
  </si>
  <si>
    <t>張國祥</t>
  </si>
  <si>
    <t>0932501919</t>
  </si>
  <si>
    <t>方便聯絡時段
下午 (13:00-17:00)
City
南投民間</t>
  </si>
  <si>
    <t>沒有耐性理解~
沒禮貌掛電話</t>
  </si>
  <si>
    <t>連淑嬅</t>
  </si>
  <si>
    <t>0953575798</t>
  </si>
  <si>
    <t>方便聯絡時段
下午 (13:00-17:00)
City
新北</t>
  </si>
  <si>
    <t>目前沒有基地
以為我們是一條龍(含基地的租賃方案)
這樣就先不用了</t>
  </si>
  <si>
    <t>金欣儀</t>
  </si>
  <si>
    <t>0922499188</t>
  </si>
  <si>
    <t>我之前有參觀過，目前繼續物色土地，可以再給我新的DM嗎?
請問長3院多少坪?
合掌屋多少坪?</t>
  </si>
  <si>
    <t>想復育原生植物，找農、林地，木屋是生活區
現居桃園，有機農產品的公司(五年內計畫)
參訪時間：2023/3/25
再找基地中
想再來參觀
[合掌屋]6月初可在約
撥去在上班中,不方便電話
假日較方便參觀</t>
  </si>
  <si>
    <t>葉曉音</t>
  </si>
  <si>
    <t>0982644884</t>
  </si>
  <si>
    <t>方便聯絡時段
晚間 (17:00-21:00)
City
台中市</t>
  </si>
  <si>
    <t>職業:老師
12點才方便電話
5/20 4pm後可聯繫</t>
  </si>
  <si>
    <t>郭翔怡</t>
  </si>
  <si>
    <t>0928435085</t>
  </si>
  <si>
    <t>你好，我在網站上有看到青銀后土村，想要了解這塊，這個也是報名參觀房屋時會順便介紹嗎？
星期四和星期天晚上八點前都可聯繫，今天也可以聯繫</t>
  </si>
  <si>
    <t>嘉義,診所上班族，目前班表排休是週四/日
嚮往這樣生活,目前無地所以有問到后土村
有排休會想來預約
可再追蹤</t>
  </si>
  <si>
    <t>5/14 參觀日5/29要延期,7、8月在確定日期
客人已先匯款了
尚未發預約成功訊息</t>
  </si>
  <si>
    <t>方便聯絡時段
下午 (13:00-17:00)
City
台中</t>
  </si>
  <si>
    <t>0913321798</t>
  </si>
  <si>
    <t>問木屋</t>
  </si>
  <si>
    <t xml:space="preserve">基地:台東
用途:給移工住
</t>
  </si>
  <si>
    <t>林勤為</t>
  </si>
  <si>
    <t>0926110838</t>
  </si>
  <si>
    <t>居住縣市
台北
欲規劃基地縣市
美國
您的屬性?
休閒業 (遊牧單院)
企業主 (合掌屋)
小家庭 (合院)
希望參訪的日期
2026/5/13 （之後就要去美國出差</t>
  </si>
  <si>
    <t>與能不能出口到美國
希望可以申請5/13參訪 因為之後就得去美國出差
居住 台北
5/13參訪延期</t>
  </si>
  <si>
    <t>Yu-cheng 
Tsai
蔡先生</t>
  </si>
  <si>
    <t>0968720767</t>
  </si>
  <si>
    <t>再忙工作
六點後才有空電話</t>
  </si>
  <si>
    <t>王晟桓</t>
  </si>
  <si>
    <t>0918319189</t>
  </si>
  <si>
    <t>只有週四有空，稱自己苗栗後龍有地
正在談很多家
今天不來就不來了，已告知園區有1500坪展示園區，以及如果有緊急規劃需求，可以先提供相關資訊，會提供專員公司進行VIP的約訪。
對方一直說 : 沒關係啦~ (裝客氣的感覺)</t>
  </si>
  <si>
    <t>方便聯絡時段
晚間 (17:00-21:00)
City
Taipei</t>
  </si>
  <si>
    <t>陳淑妙</t>
  </si>
  <si>
    <t>0903732288</t>
  </si>
  <si>
    <t>不需要,直接掛電話</t>
  </si>
  <si>
    <t>洪慈駿</t>
  </si>
  <si>
    <t>0956661202</t>
  </si>
  <si>
    <t>請教四人房單院的是屬哪種型態呢</t>
  </si>
  <si>
    <t>職業:設計師
公司名稱:加賀室內裝修
近期較忙(宜蘭案子)
商業用途
幫業主做的規劃,基地是農地
初步與業主共識(少破壞基地,快速,不大興土木建築方式)
有提供名片 官方line上
5/21 R語音1</t>
  </si>
  <si>
    <t>Lilian Ch</t>
  </si>
  <si>
    <t>0952780605</t>
  </si>
  <si>
    <t>方便聯絡時段
上午 (09:00-12:00)
City
台中東勢</t>
  </si>
  <si>
    <t>張又文 0952780605
已加梓涵公務機
人本森機(商店)老闆娘</t>
  </si>
  <si>
    <t>Sean Lin
林先生</t>
  </si>
  <si>
    <t>0925068681</t>
  </si>
  <si>
    <t>方便聯絡時段
下午 (13:00-17:00)
City
板橋</t>
  </si>
  <si>
    <t>無地的參觀
不急,會再打給我們</t>
  </si>
  <si>
    <t>吳梅鈴</t>
  </si>
  <si>
    <t>0987808404</t>
  </si>
  <si>
    <t>方便聯絡時段
全天皆可
City
高雄</t>
  </si>
  <si>
    <t>下午1300後可以聯絡
先看資料</t>
  </si>
  <si>
    <t>傅文賢</t>
  </si>
  <si>
    <t>0975929028</t>
  </si>
  <si>
    <t>方便聯絡時段
上午 (09:00-12:00)
City
桃園市中壢區青雲路100號</t>
  </si>
  <si>
    <t>初步想了解
軍5/12 4點二播
欣采建設/聯豐土地開發
官line上有給名片</t>
  </si>
  <si>
    <t>曾芷勻</t>
  </si>
  <si>
    <t>0963046009</t>
  </si>
  <si>
    <t>方便聯絡時段
下午 (13:00-17:00)
理想總價
200萬～360萬
City
屏東</t>
  </si>
  <si>
    <t>人在高雄
因為工作忙,較難排時間
只是好奇~尚未有需求
要參觀再自行連絡</t>
  </si>
  <si>
    <t>鄭艾綸</t>
  </si>
  <si>
    <t>0927701299</t>
  </si>
  <si>
    <t>嗨您好 請問還有申請體驗住宿的活動嗎</t>
  </si>
  <si>
    <t>無地的參觀
居住:台南
先來了解未來的規劃方向
週六較方便安排
已在官line留言
軍5/13 留言想要5/30參觀, 我請他選別天</t>
  </si>
  <si>
    <t>0918994081</t>
  </si>
  <si>
    <t>基地 雲林虎尾
假日休閒使用
太太協助加line</t>
  </si>
  <si>
    <t>5/16 在橋看看這天
5/15 未接,回電說5/16無法參加,下周可再聯繫</t>
  </si>
  <si>
    <t>陳子淇</t>
  </si>
  <si>
    <t>0923698585</t>
  </si>
  <si>
    <t>5/12 空號 梓涵聽錯號碼</t>
  </si>
  <si>
    <t>住大里 5F頂樓想蓋一個日式木屋區(來之前會自行先量尺寸)
(之前號碼記錯有再自行回電聯繫)</t>
  </si>
  <si>
    <t>郭坤宜</t>
  </si>
  <si>
    <t>0935166182</t>
  </si>
  <si>
    <t>這種適合放在三樓屋頂嗎
1730過後再電話聯繫</t>
  </si>
  <si>
    <t>職業:老師
居住:中壢
喜歡自然療癒自己的空間</t>
  </si>
  <si>
    <t>范姜小姐</t>
  </si>
  <si>
    <t>0911213156</t>
  </si>
  <si>
    <t>2院~想放在20坪土地上
費用多少?</t>
  </si>
  <si>
    <t>建地: 20坪
參訪:夫妻
預登記5/22或5/23(幫忙喬專員時間,再去電回覆)
5/15 先取消5/23參訪,家人生病最近忙</t>
  </si>
  <si>
    <t>楊永泉</t>
  </si>
  <si>
    <t>0922003775</t>
  </si>
  <si>
    <t xml:space="preserve">與傅文賢 0975929028是夥伴朋友一起來了解
</t>
  </si>
  <si>
    <t>土地開發建設公司
看到我們蓋屋形式
想看未來怎麼運用先來了解</t>
  </si>
  <si>
    <t>張又文</t>
  </si>
  <si>
    <t>方便聯絡時段
中午 (12:00-13:00)
City
台中</t>
  </si>
  <si>
    <t>居住: 台中東勢
基地: 國姓
地目: 農地
坪數: 5分地
參訪: 自己
規劃夫妻休閒度假屋,家人人數多,偶爾來
已關注我們很多年
親戚朋友有買紅屋~</t>
  </si>
  <si>
    <t>張簡瑞月</t>
  </si>
  <si>
    <t>0919101813</t>
  </si>
  <si>
    <t>方便聯絡時段
上午 (09:00-12:00)
理想總價
100萬～200萬
City
高雄</t>
  </si>
  <si>
    <t>軍5/12 4點半  電話沒有撥通
涵5/20 一直語音,無法接通</t>
  </si>
  <si>
    <t>邱朝隆</t>
  </si>
  <si>
    <t>0938505559</t>
  </si>
  <si>
    <t>我還可以提供「微槓桿有限公司」的「微零碳生態照明」</t>
  </si>
  <si>
    <t>作工程已退休
推薦我們產品,照明設備
無基地無想法
只是跟我們分享他的看法而已~
無預算
邀約參觀,說需要在自己聯絡</t>
  </si>
  <si>
    <t>吳尚艗</t>
  </si>
  <si>
    <t>0912772372</t>
  </si>
  <si>
    <t>蔡慈愛</t>
  </si>
  <si>
    <t>0988722930</t>
  </si>
  <si>
    <t>設計師幫業主規劃
需求放頂樓</t>
  </si>
  <si>
    <t xml:space="preserve">
兩周忙完後,可以自己先來參觀
有關注自然紅屋一段時間
在line時間或打電話預約
職業:室內設計師
地點:台南新營
業主:科技業主管職,常去日本度假
是新成屋透天屋頂想放紅屋,看出去是稻田
參訪: 設計師蔡小姐(&amp;同事)、業主兩夫妻
</t>
  </si>
  <si>
    <t>Benny Tien
田</t>
  </si>
  <si>
    <t>0978952038</t>
  </si>
  <si>
    <t>方便聯絡時段
上午 (09:00-12:00)
City
新竹</t>
  </si>
  <si>
    <t>苗栗頭份 靠水庫 農地想用資材室
有地分割4-5塊, 預計半年至一年
有問到木材耐候怕潮濕
說一定會來參觀, 只是還在用水...要計畫一下
可短中期追蹤</t>
  </si>
  <si>
    <t>王淑玲</t>
  </si>
  <si>
    <t>0955581837</t>
  </si>
  <si>
    <t>方便聯絡時段
全天皆可
理想總價
200萬～360萬
City
高雄市</t>
  </si>
  <si>
    <t>土地開發商
30個股東已購買土地&amp;申請好水電
想了解紅屋蓋屋方式&amp;可否合作的機會</t>
  </si>
  <si>
    <t>劉先生</t>
  </si>
  <si>
    <t>0956712777</t>
  </si>
  <si>
    <t>方便聯絡時段
晚間 (17:00-21:00)
理想總價
100萬～200萬
City
高雄</t>
  </si>
  <si>
    <t>轉語音</t>
  </si>
  <si>
    <t>張自驊</t>
  </si>
  <si>
    <t>0983113781</t>
  </si>
  <si>
    <t>方便聯絡時段
下午 (13:00-17:00)
理想總價
50萬～100萬
City
鳥松區</t>
  </si>
  <si>
    <t>張耀文</t>
  </si>
  <si>
    <t>0928360276</t>
  </si>
  <si>
    <t>方便聯絡時段
上午 (09:00-12:00)
理想總價
100萬～200萬
City
彰化市</t>
  </si>
  <si>
    <t>說和太太時間橋不確定
叫他加line
彰化建地寬6M想要走合法
有問2樓層</t>
  </si>
  <si>
    <t>吳月娥</t>
  </si>
  <si>
    <t>0952421665</t>
  </si>
  <si>
    <t>方便聯絡時段
晚間 (17:00-21:00)
理想總價
360萬～450萬
City
嘉義市</t>
  </si>
  <si>
    <t xml:space="preserve">找基地中
較不會操作手機,要請兒子協助
已加梓涵公務機
喜歡木屋氛圍,想來參觀,會再跟我們聯絡
5/29不會自己開車,住台南,有上台中再約參訪
是願意參訪的人,願意聊電話
</t>
  </si>
  <si>
    <t>方便聯絡時段
上午 (09:00-12:00)
理想總價
100萬～200萬
City
Kaohsiung</t>
  </si>
  <si>
    <t>住:高雄
基地:屏東萬丹
參訪: 自己
有基地資訊~提到可以先傳line
或是基地資訊備著當天可以跟專員討論</t>
  </si>
  <si>
    <t>李秈霈</t>
  </si>
  <si>
    <t>0909102767</t>
  </si>
  <si>
    <t xml:space="preserve">無地的參觀
以為能夠住宿
</t>
  </si>
  <si>
    <t>再忙,晚點再撥
居住:清水
5/20 目前積極找地中,有想來參觀木屋
偏向找苗栗基地
約6/3參訪客戶說沒這麼快
到時候提早一星期與我們聯絡約時間</t>
  </si>
  <si>
    <t>陳R</t>
  </si>
  <si>
    <t>0932699718</t>
  </si>
  <si>
    <t>80歲，長輩誤觸電話</t>
  </si>
  <si>
    <t>陳彥儒</t>
  </si>
  <si>
    <t>0960135688</t>
  </si>
  <si>
    <t xml:space="preserve">去年8月參訪(淺參訪)
基地考慮蓋2院或3院給父母住
</t>
  </si>
  <si>
    <t>加梓涵公務機
有單子</t>
  </si>
  <si>
    <t>傅R</t>
  </si>
  <si>
    <t>0955599952</t>
  </si>
  <si>
    <t>說沒有急著要住</t>
  </si>
  <si>
    <t>張玉貞</t>
  </si>
  <si>
    <t>0910566870</t>
  </si>
  <si>
    <t>方便聯絡時段
下午 (13:00-17:00)
City
Taichung</t>
  </si>
  <si>
    <t>剛好下周要出國，3個月(工作)，8月份才能再約
時間表：一年內可能(但不確定，完全不急)
有地
用途：目前已經有渡假小屋， 只是想再蓋一個休閒屋（可供朋友來時泡茶/賞池塘+或每天運動的小健身房+一個房間+農用工具室） </t>
  </si>
  <si>
    <t>陳鍾如</t>
  </si>
  <si>
    <t>0938029361</t>
  </si>
  <si>
    <t>方便聯絡時段
僅假日方便
City
南投市</t>
  </si>
  <si>
    <t>退休後想做個工作室
無地的參觀
參訪者:自己 (開車or大眾運輸)
會找時間參訪,再自行連絡</t>
  </si>
  <si>
    <t>Minami Kou
高先生</t>
  </si>
  <si>
    <t>0972013936</t>
  </si>
  <si>
    <t>方便聯絡時段
晚間 (17:00-21:00)
理想總價
50萬～100萬
City
台南市</t>
  </si>
  <si>
    <t>問是否要了解木屋，目前不需要</t>
  </si>
  <si>
    <t>0921388713</t>
  </si>
  <si>
    <t>方便聯絡時段
全天皆可
理想總價
100萬～200萬
City
Nantou</t>
  </si>
  <si>
    <r>
      <rPr>
        <rFont val="Arial"/>
        <color theme="1"/>
      </rPr>
      <t xml:space="preserve">已+LIN@E@
明早要去南投60坪的建地，處理台水&amp;電的簽立事宜。
是一個會殺價的人的個性
</t>
    </r>
    <r>
      <rPr>
        <rFont val="Arial"/>
        <color rgb="FFFF0000"/>
      </rPr>
      <t xml:space="preserve">4月 買好地就在設法自地自建，建築師報價 鋼構屋20.5萬/坪
</t>
    </r>
    <r>
      <rPr>
        <rFont val="Arial"/>
        <color theme="1"/>
      </rPr>
      <t xml:space="preserve">太貴，RC18-20萬/坪(我告訴他的)
搞到現在，一片瓦都還沒蓋上去。以後誰說要自地自建的都滾蛋 XD
</t>
    </r>
    <r>
      <rPr>
        <rFont val="Arial"/>
        <color rgb="FFFF0000"/>
      </rPr>
      <t>要去開刀、住院，兩個月後再聯繫。</t>
    </r>
    <r>
      <rPr>
        <rFont val="Arial"/>
        <color theme="1"/>
      </rPr>
      <t xml:space="preserve">
沒有自來水，因為最近剛鋪路，自來水公司說要等 2年後，才能申請水(超氣憤)
現在圖已經畫好，但因為太貴跟水的問題，不想直接送件
因為如果先跟鄰居借水，送件了然後房子蓋好，就不給他補請水錶??? (承廷覺得聽聽就好，可能是態度太差)</t>
    </r>
  </si>
  <si>
    <t>陳美妙</t>
  </si>
  <si>
    <t>0912678885</t>
  </si>
  <si>
    <t>住台中 有地，建地(無水電)100多坪
地點：陸光七村景觀餐廳(這兒附近約200公尺)
https://share.google/3gf0MqQgLGdnjkmKs
7-8年前有來過園區，現在想再帶小孩來訪，有想開始認真規劃的念頭</t>
  </si>
  <si>
    <t>Ping Feng
Chen
陳先生</t>
  </si>
  <si>
    <t>0937662263</t>
  </si>
  <si>
    <t>方便聯絡時段
下午 (13:00-17:00)
理想總價
100萬～200萬
City
Tainan</t>
  </si>
  <si>
    <t xml:space="preserve">寄簡訊 開車中，三點半後再聯繫~
15:52 siri阻擋 留言but無法接聽
5/29涵   siri阻擋 留言but直接掛電話 </t>
  </si>
  <si>
    <t>蘇信二</t>
  </si>
  <si>
    <t>0935872669</t>
  </si>
  <si>
    <t>方便聯絡時段
僅假日方便
理想總價
450萬+
Full name
蘇信二
City
左營區</t>
  </si>
  <si>
    <t>已看簡訊，感覺怪，只是要問我們有沒有連同土地一起販售
假日可預約，說要問問家人。
但又改口說 也許平日可預約
(會自行+LINE)</t>
  </si>
  <si>
    <t>(ㄍㄨㄢ)
關祥彬</t>
  </si>
  <si>
    <t>0987968970</t>
  </si>
  <si>
    <t>方便聯絡時段
僅假日方便
理想總價
50萬～100萬
City
Taichung</t>
  </si>
  <si>
    <t>住 台中
基地 南投國姓，農地，有水有電
想法：農地上種點農時 有一個可以休息洗澡的地方
參訪：自己
理想總價50萬～100萬，電話初步溝通 可能可以增加100+萬預算(双院)
原本約6/6, 但因為看另一間裝修案場,延期</t>
  </si>
  <si>
    <t>Fan</t>
  </si>
  <si>
    <t>0933693132</t>
  </si>
  <si>
    <t>方便聯絡時段
中午 (12:00-13:00)
理想總價
100萬～200萬
City
Taitunghsien</t>
  </si>
  <si>
    <t>說不用就拒絕了~</t>
  </si>
  <si>
    <t>陳雅芳</t>
  </si>
  <si>
    <t>0928270948</t>
  </si>
  <si>
    <t>住：台北
參訪：2位
無地
預計安排6/3周三場次 (PM02:00)
等她跟老公確認好
5/20 未接3
5/21 未接1</t>
  </si>
  <si>
    <t>等6月才約，他跟她老公時間喬不攏
有LINE@
5/29 態度非常好,是有興趣了解的,但真的不急
6/3是因為順路約看看,因為也還未退休,
有詢問我們有包含租地?
會再主動聯繫我們,不用再打給她了</t>
  </si>
  <si>
    <t>惠虔蔡</t>
  </si>
  <si>
    <t>0921222446</t>
  </si>
  <si>
    <t>有地的參觀
buddhism625@gmail.com</t>
  </si>
  <si>
    <t>說已經跟廠商簽約了
廠商價格、作品有符合需求就當下簽約了
我們太晚才聯絡~</t>
  </si>
  <si>
    <t>洪西國</t>
  </si>
  <si>
    <t>0931511919</t>
  </si>
  <si>
    <t>方便聯絡時段
上午 (09:00-12:00)
理想總價
200萬～360萬
City
Miaoli</t>
  </si>
  <si>
    <r>
      <rPr>
        <rFont val="Arial"/>
        <color theme="1"/>
      </rPr>
      <t>住：銅鑼
基地：銅鑼 丙建 老家的地
目的：長住
土地資料：</t>
    </r>
    <r>
      <rPr>
        <rFont val="Arial"/>
        <color rgb="FFFF0000"/>
      </rPr>
      <t>LINE會傳</t>
    </r>
    <r>
      <rPr>
        <rFont val="Arial"/>
        <color theme="1"/>
      </rPr>
      <t xml:space="preserve">
預算：
時間：
決策：
法規：
問題：怕潮濕(已告知木屋反而乾)、坪數
理念：喜歡木材
涵6/2 原因冬天很潮濕,跟建築師討論過還是決定蓋鋼構</t>
    </r>
  </si>
  <si>
    <t>蕭聿哲</t>
  </si>
  <si>
    <t>0937230256</t>
  </si>
  <si>
    <t>未接3</t>
  </si>
  <si>
    <t xml:space="preserve">不會加line,要請女兒協助
會再請女兒打給我們
</t>
  </si>
  <si>
    <t>陳郁雯</t>
  </si>
  <si>
    <t>0972053143</t>
  </si>
  <si>
    <t>請問體驗是在台中石岡嗎？
這星期六還可以安排體驗嗎？</t>
  </si>
  <si>
    <t>5/23 六
參訪：夫妻
(小孩 大班&amp;小1，給娘家照顧)
目前是住在 台南 (小孩華德福，因為台南的華德福發展不太好，想轉學)
目標：新埔找地，小孩轉學到新竹華德福</t>
  </si>
  <si>
    <t>許柏彥</t>
  </si>
  <si>
    <t>0952683780</t>
  </si>
  <si>
    <t>方便聯絡時段
全天皆可City
房子建在那裡？</t>
  </si>
  <si>
    <t>18年前買地，15年前蓋木屋(弟弟的地在旁邊也一樣蓋木屋) 兩棟都有白蟻的問題，每年都要花很多錢保養
只是要找塑木廠商
HM 這種客戶不能講道哩，講了也聽不懂(會有自己很多想法)，要做的是 讓他震驚，照片or直接告訴：完全不一樣，你一定沒看過！</t>
  </si>
  <si>
    <t>白詠</t>
  </si>
  <si>
    <t xml:space="preserve">
0928933955</t>
  </si>
  <si>
    <t>方便聯絡時段
僅假日方便
City
台中市</t>
  </si>
  <si>
    <t>女兒是夢想家的一員，2025年的時候有來過園區參訪
想約5/27 三 下午 (早上一定要去一下公司，6/1.2要出國所以5/28以前比較方便)
講話算很客氣也中肯(有執行力) 其他的見面再談
目的：
土地：白先生三義有一塊地，水電?
預算：問2院 &gt; 說女兒覺得貴 (可能有自己經營公司?)
時間：
決策：夫妻
問題：(2院坪數)
下一步意願：
理念認同：
加安消防安全設備有限公司
統編 13060655
代表人 白又仁
資本總額2,600,000元</t>
  </si>
  <si>
    <t>林恩婕</t>
  </si>
  <si>
    <t>0918815008</t>
  </si>
  <si>
    <t>方便聯絡時段
上午 (09:00-12:00)
理想總價
200萬～360萬
City
Nantou</t>
  </si>
  <si>
    <t>假日較忙
再看一下資訊~
會跟我們約參訪
有地的參觀
基地:中興新村
說剛好約廠商來看地,晚點再跟我們聯絡</t>
  </si>
  <si>
    <t>0909574134</t>
  </si>
  <si>
    <t>今天從嘉義北上台北(已告知今日參訪額滿)
有看到二手屋資訊(先告知合掌屋已入園)</t>
  </si>
  <si>
    <t>陳文華</t>
  </si>
  <si>
    <t>0922800592</t>
  </si>
  <si>
    <t>方便聯絡時段
全天皆可
理想總價
450萬+
City
Taipei</t>
  </si>
  <si>
    <t>有地的參觀
職業:台積電退休
基地:竹北農地
參訪:夫妻+兒子
說大話那一型</t>
  </si>
  <si>
    <t>陳大為</t>
  </si>
  <si>
    <t>0929231877</t>
  </si>
  <si>
    <t>方便聯絡時段
下午 (13:00-17:00)
理想總價
450萬+
City
Kaohsiung</t>
  </si>
  <si>
    <t>詢問我們是賣木屋?
不給說話,
直接說需要再跟我們說~掛電話</t>
  </si>
  <si>
    <t>0972778872</t>
  </si>
  <si>
    <t>貴司您好，目前雲林有塊地大約3570坪左右，原先要做長照不過建照已過期，目前改出租，尋承租人，不曉得貴司有沒有興趣。</t>
  </si>
  <si>
    <t>投資客，純粹想租地出來</t>
  </si>
  <si>
    <t>黃譯萱</t>
  </si>
  <si>
    <t>0919386172</t>
  </si>
  <si>
    <t xml:space="preserve">有地的參觀，平日18:00後    想了解木屋構造實際參訪、報價、建築注意事項法規
</t>
  </si>
  <si>
    <t>住：新北 工作 新北 (平常工作下班比較晚，都要晚上or假日才能電話聯繫，可先用LINE@聯絡)
基地：無
目的：單身，大單院就夠。厭倦都市水泥叢林，想要用100萬給自己一個ˇ度假的小空間
土地資料：
預算：100+
時間：
決策：
法規：
問題：
理念：</t>
  </si>
  <si>
    <t>彭琳淳</t>
  </si>
  <si>
    <t>0989309970</t>
  </si>
  <si>
    <t>方便聯絡時段
下午 (13:00-17:00)
理想總價
200萬～360萬
City
Hsinchu</t>
  </si>
  <si>
    <t>已關注紅屋 5年(從宥勝時期起)，未看過
工作 新竹 (餐飲)，跟老公一起開的店(只有公休周一)
想買的地 中南部(老公是台中人)，推薦他找苗栗地區
新竹的地覺得太貴
有想參訪的意願，等他跟她老公安排店休日</t>
  </si>
  <si>
    <t>陳穎</t>
  </si>
  <si>
    <t>0932042293</t>
  </si>
  <si>
    <t>方便聯絡時段
下午 (13:00-17:00)
理想總價
200萬～360萬
City
苗栗</t>
  </si>
  <si>
    <t>苗栗~台北兩邊跑
會開車
(時間被孩子綁住,支援照顧孫子)
約參訪可能會臨時取消
基地: 苗栗
住: 苗栗(不同地點,自己的住家)
決策: 自己
因這基地有美景,弄好讓家人或朋友偶而去休閒度假
法規: 理解苗栗不太會拆除僅罰款
需求: 客餐廳&amp; 2臥房 &amp;有戶外平台
累了也會不想出門
沒辦法加line,說現在不方便
涵試著加她line~沒辦法加</t>
  </si>
  <si>
    <t>葉松衡</t>
  </si>
  <si>
    <t>0928585343</t>
  </si>
  <si>
    <t>方便聯絡時段
全天皆可
理想總價
450萬+
City
桃園市桃園區</t>
  </si>
  <si>
    <t>今日再忙，5/27下午再撥
1630 通話中
5/29 位階</t>
  </si>
  <si>
    <t>0985362237</t>
  </si>
  <si>
    <t>方便聯絡時段
下午 (13:00-17:00)
理想總價
100萬～200萬
City
台中市</t>
  </si>
  <si>
    <t>今日再忙，5/27下午再撥
5/29 位階</t>
  </si>
  <si>
    <t>Robert Wang</t>
  </si>
  <si>
    <t>0972619697</t>
  </si>
  <si>
    <t>方便聯絡時段
晚間 (17:00-21:00)
理想總價
200萬～360萬
City
中壢</t>
  </si>
  <si>
    <t>目前人在歐洲，等回國後再聯繫</t>
  </si>
  <si>
    <t>Shihlin Lee
李世琳</t>
  </si>
  <si>
    <t>0988234018</t>
  </si>
  <si>
    <t>方便聯絡時段
全天皆可
理想總價
200萬～360萬
City
Taipei</t>
  </si>
  <si>
    <t>目前在日本
6月初再連絡
梓涵公務機已傳 資料</t>
  </si>
  <si>
    <t>Ming-Tan 
Hsieh
謝明潭</t>
  </si>
  <si>
    <t>0937699654</t>
  </si>
  <si>
    <t>方便聯絡時段
全天皆可
理想總價
360萬～450萬
City
Tainan</t>
  </si>
  <si>
    <t>高度興趣想了解
不過6月底才能安排參觀
住:埔里
基地:埔里
想申請合法
木屋整個做好不用600萬覺得划算
尚未收到資料
因在開車中,回去會加line,要傳資訊給客人
5/28 態度客氣，回撥，待會就加LINE</t>
  </si>
  <si>
    <t>0920403076</t>
  </si>
  <si>
    <t>看FB廣告來電詢問</t>
  </si>
  <si>
    <t>住:屏東枋寮
基地:枋寮
地目:農地+建地
木屋目的:假日休閒
參訪: 2位
看過資料,等加官方line確認時間
5/29 位階</t>
  </si>
  <si>
    <t>葉淑珍</t>
  </si>
  <si>
    <t>0938363861</t>
  </si>
  <si>
    <t>一家四口的話,建議多少坪數?
從網路上youtube看到我們資訊</t>
  </si>
  <si>
    <t>住:屏東市區
基地:屏東潮州(老家的基地)
水電:還沒申請
地目:不清楚
廠商: 看過蠻多家廠商
決策人:葉小姐弟弟~葉小姐先幫弟弟探詢
弟弟是單親家庭,(3小孩:大三、大二、高中)
參訪人: 葉淑珍&amp;兒子(開車)&amp;弟弟(主要住)&amp;妹妹&amp;母親
5/29客人說6/13先取消,等弟弟學校比賽比完,
再來約時間參觀,時間較充裕
預計6/17打電話約,已說明更改為早上10點場次</t>
  </si>
  <si>
    <t>王鳴鐘</t>
  </si>
  <si>
    <t>0913320797</t>
  </si>
  <si>
    <t>方便聯絡時段
晚間 (17:00-21:00)
理想總價
100萬～200萬
City
新竹市</t>
  </si>
  <si>
    <t>今日再會議與活動中(背景音樂很多聲音)
5/28再聯繫
已+子榕公務機
5/28 1615 位階</t>
  </si>
  <si>
    <t>蔣小梅</t>
  </si>
  <si>
    <t>0932947981</t>
  </si>
  <si>
    <t>蔣小梅(森優實驗教育)
方便聯繫時間14:00~19:00
6/6 三位
4/1
以前的家具客,知道我們有做木屋
現在想找地蓋房(不偏好RC)
來電問連假參訪
-&gt;先傳WIX
已告知客人時間近點確認 5月底打給客人"</t>
  </si>
  <si>
    <r>
      <rPr>
        <rFont val="Arial"/>
        <color theme="1"/>
      </rPr>
      <t xml:space="preserve">A已有的基地 2600坪，太大塊 (比較遠)
B正在考慮買的基地 80坪，還在看 (離市區比較近)
</t>
    </r>
    <r>
      <rPr>
        <rFont val="Arial"/>
        <color rgb="FFFF0000"/>
      </rPr>
      <t>( 會再傳土地資料 )</t>
    </r>
    <r>
      <rPr>
        <rFont val="Arial"/>
        <color theme="1"/>
      </rPr>
      <t xml:space="preserve">
"女兒研究所中
參觀: 夫妻+女兒
居住: 台中
基地: 中興新村 (新的？)
蓋了之後希望我們一家三口會經常聚會在這邊
</t>
    </r>
    <r>
      <rPr>
        <rFont val="Arial"/>
        <color rgb="FFFF0000"/>
      </rPr>
      <t>剛好再開車，後續再線上多了解</t>
    </r>
  </si>
  <si>
    <t>簡旭宏</t>
  </si>
  <si>
    <t>0932713020</t>
  </si>
  <si>
    <t>ta4997@yahoo.com.tw
先寄mail 5/28 再聯繫</t>
  </si>
  <si>
    <t>住：台中
基地：嘉義
目的：
土地資料：
預算：
時間：
決策：
法規：
問題：
理念：
5/29涵  6月初出國玩,回國在跟我們約時間,想看實體屋</t>
  </si>
  <si>
    <t>周啓揚</t>
  </si>
  <si>
    <t>0910464020</t>
  </si>
  <si>
    <t>住：台中西區美術館
居住人:長輩or自己(3~5人) 
基地：霧峰
目的：農地
土地資料：等
預算：
時間：7、8月水稻採收完開始啟動
決策：自己
法規：
問題：工程問題
理念：認同,三年前來參觀過</t>
  </si>
  <si>
    <t>王嘉瑜</t>
  </si>
  <si>
    <t>0935556866</t>
  </si>
  <si>
    <t>方便聯絡時段
僅假日方便
理想總價
50萬～100萬
City
桃園市桃園區</t>
  </si>
  <si>
    <t>住：
居住人: 想蓋好出租
基地：雲林虎尾
目的：農地
土地資料：
預算：
時間：
決策：
法規：不清楚,擔心被拆
問題：
理念：
5/29涵 沒動力~不急(說會自行約時間)顧小孩</t>
  </si>
  <si>
    <t>陳惠澤</t>
  </si>
  <si>
    <t>等電話</t>
  </si>
  <si>
    <t>請問地址</t>
  </si>
  <si>
    <t>楊淑惠</t>
  </si>
  <si>
    <t>0936826965</t>
  </si>
  <si>
    <t>兩年前參訪過,
這次主要想帶朋友來參觀</t>
  </si>
  <si>
    <t>因為2023年參訪感受不錯
邀約朋友來參觀
住: 東勢
目前沒有基地
與朋友認同紅屋理念&amp;自然
未來也不想蓋鋼筋水泥破壞土地
先來了解</t>
  </si>
  <si>
    <t>陳小惠</t>
  </si>
  <si>
    <t>0952894849</t>
  </si>
  <si>
    <t>方便聯絡時段
下午 (13:00-17:00)
理想總價
50萬～100萬
City
Taichung</t>
  </si>
  <si>
    <t>確認已收到簡訊,未看
基地: 苑裡
現況: 種水稻
坪數: 300坪
水電: 有 (灌溉用地下水)
參訪: 自己,(覺得可以再帶家人來了解)
時間: 沒有計畫
需求住: 2~3位
法規: 不知如何是好
想法: 打算蓋農作休息處,否則賣掉,但賣掉又卡時間性
想自己先來了解,在跟家人說明</t>
  </si>
  <si>
    <t>0952099620</t>
  </si>
  <si>
    <t>明日電話聯繫，跟先生討論一下想預約時間</t>
  </si>
  <si>
    <t>住 新社，夫家在新社有地(祖產) 目前種葡萄(天氣越來越熱越來越難種)
基地：祖產
目的：看到YT黑龍的影片，有心動，但只想先了解后土村。
土地資料：
預算：
時間：
決策：
法規：
問題：
理念：</t>
  </si>
  <si>
    <t>趙承志</t>
  </si>
  <si>
    <t>0920734357</t>
  </si>
  <si>
    <t>請問什麼時間有開放參訪呢
那跟你預約6/6，方便嗎？
平日晚上，或請先通知來電時間</t>
  </si>
  <si>
    <t>住：台中
基地：無
目的：還在初步沒有完整的想法，想三代同堂(其他家人不了解)
土地資料：
預算：
時間：
決策：
法規：
問題：
理念：喜歡無毒的、天然的木材與這樣的生活環境
FB滑到</t>
  </si>
  <si>
    <t>趙先生</t>
  </si>
  <si>
    <t>0920680035</t>
  </si>
  <si>
    <t xml:space="preserve">有地的參觀       </t>
  </si>
  <si>
    <t>彰化芬園建地 但最近這半個月比較忙
想要7月份再參訪聯繫</t>
  </si>
  <si>
    <t>李仙麗</t>
  </si>
  <si>
    <t>0975169589</t>
  </si>
  <si>
    <t>方便聯絡時段
僅假日方便
理想總價
100萬～200萬
City
台中市</t>
  </si>
  <si>
    <t>說在醫院不方便通話可用line打字聯繫
與家人確認中</t>
  </si>
  <si>
    <t>柯昭因小姐</t>
  </si>
  <si>
    <t>0919016909</t>
  </si>
  <si>
    <t>方便聯絡時段
全天皆可
理想總價
50萬～100萬
City
台北市</t>
  </si>
  <si>
    <t>台北想放頂樓
已加line</t>
  </si>
  <si>
    <t>侯惟中</t>
  </si>
  <si>
    <t>0980690700</t>
  </si>
  <si>
    <t>方便聯絡時段
上午 (09:00-12:00)
理想總價
450萬+
City
高雄市</t>
  </si>
  <si>
    <t xml:space="preserve">苗栗林牧地 用途自住
正在做功課
可參訪日期周六,意願高
自己+媽媽+老婆+2歲嬰兒
</t>
  </si>
  <si>
    <t>方便聯絡時段
僅假日方便
理想總價
450萬+
City
新北市</t>
  </si>
  <si>
    <t>假設山上有塊空地,化糞池要怎麼處理?
先看資料,了解產品</t>
  </si>
  <si>
    <t>王照邦</t>
  </si>
  <si>
    <t>0932328558</t>
  </si>
  <si>
    <t>方便聯絡時段
全天皆可
理想總價
360萬～450萬
Full name
王照邦
Phone number
+8860932328558
City
Taipei</t>
  </si>
  <si>
    <t>電話主人不是"王照邦" 他說接到太多人打這支電話來要找王照邦
不用打給他,
他每天會接到不同廠商5~6通,很困擾</t>
  </si>
  <si>
    <t>詹雯喜</t>
  </si>
  <si>
    <t>0909189829</t>
  </si>
  <si>
    <t>方便聯絡時段
中午 (12:00-13:00)
理想總價
200萬～360萬
City
新北市新莊區</t>
  </si>
  <si>
    <t>有1600坪農地
只是需要先蓋一個資材室
最近有點忙
會再看資料再與我們聯繫
已告知可以加line</t>
  </si>
  <si>
    <t>廖先生</t>
  </si>
  <si>
    <t>方便聯絡時段
晚間 (17:00-21:00)
理想總價
100萬～200萬
City
Huwei</t>
  </si>
  <si>
    <t>語音:確認來電是誰</t>
  </si>
  <si>
    <t>方便聯絡時段
中午 (12:00-13:00)
理想總價
100萬～200萬
City
Xinbei</t>
  </si>
  <si>
    <t>基地: 雙溪
想要雙層樓40坪
先請先生看過資料,再去電聯繫
6/6未接</t>
  </si>
  <si>
    <t>蔡耀傑</t>
  </si>
  <si>
    <t>0918028722</t>
  </si>
  <si>
    <t>方便聯絡時段
全天皆可
理想總價
50萬～100萬
City
Taichung</t>
  </si>
  <si>
    <t>很有禮貌~
有收到簡訊,讀完再line我們</t>
  </si>
  <si>
    <t>邵以臻</t>
  </si>
  <si>
    <t>0905288737</t>
  </si>
  <si>
    <t>方便聯絡時段
上午 (09:00-12:00)
理想總價
50萬～100萬
City
Longtan District</t>
  </si>
  <si>
    <t>住：桃園
基地：龍潭,六福村附近
現況： 打算再找其他地點,可以放木屋+菜圃
目的：
年齡：60+  / 母親80+阿姨80+
6/3 因為生病中暫時不會參訪</t>
  </si>
  <si>
    <t>廖文貞</t>
  </si>
  <si>
    <t>0932215605</t>
  </si>
  <si>
    <t>方便聯絡時段
下午 (13:00-17:00)
理想總價
200萬～360萬
City
台南市</t>
  </si>
  <si>
    <t>住：
基地：台南老家基地
現況： 目前承租給人種農作物
目的：1~2年後退休會長住,提早蓋好就假日去休閒度假
土地資料：
預算：
時間：1~2年後
決策：夫妻
法規：想蓋農舍,對法規一知半解
問題：
理念：
在跟先生確定6/19這天</t>
  </si>
  <si>
    <t>陳勃宇</t>
  </si>
  <si>
    <t>0900626205</t>
  </si>
  <si>
    <t>方便聯絡時段
全天皆可
理想總價
100萬～200萬
City
Xinbei</t>
  </si>
  <si>
    <t xml:space="preserve">是設計師(農莊&amp;園藝規劃)
幫業主蒐集資訊回報
業主是時常台灣大陸往返
莊園會有很多區塊,也會種植高經濟作物
業主已有地方睡覺休息,要蓋客人來訪招待空間
</t>
  </si>
  <si>
    <t>陳坤隆</t>
  </si>
  <si>
    <t>0932629854</t>
  </si>
  <si>
    <t>方便聯絡時段
上午 (09:00-12:00)
理想總價
200萬～360萬
City
Taichung</t>
  </si>
  <si>
    <t>參訪: 夫妻
有看過資料,會想到現場參觀
還沒跟太太約好時間
原則上會約周六參觀
會在line跟我們說時間</t>
  </si>
  <si>
    <t>李威廉</t>
  </si>
  <si>
    <t>0916318828</t>
  </si>
  <si>
    <t>方便聯絡時段
上午 (09:00-12:00)
理想總價
200萬～360萬
City
台北市</t>
  </si>
  <si>
    <t>找土地中
偏好苗栗山上
僅日一二可安排參觀
是助理跟李先生推薦,詢問北部可看實體嗎?
會再請助理跟我們約時間</t>
  </si>
  <si>
    <t>方便聯絡時段
上午 (09:00-12:00)
理想總價
50萬～100萬
City
宜蘭市</t>
  </si>
  <si>
    <t>丘祺臺
Chi-Tai Chiu</t>
  </si>
  <si>
    <t>0937034066</t>
  </si>
  <si>
    <t>方便聯絡時段
全天皆可
理想總價
360萬～450萬
City
桃園市桃園區</t>
  </si>
  <si>
    <t>沒收到簡訊,再寄一次
加梓涵公務機
基地: 找地中 (偏好找苗栗三灣以北)
居住: 桃園
年齡: 74歲
家庭成員: 夫妻+女兒
職業: 退休
原因: 退休休閒用
決策: 自己
目前在上(佛學)課,也許七、八月份在約參觀
想要找好地在參觀,主要是自己會住,太太不喜歡鄉下
也觀望台中另一間,參觀想約同天
認為木屋保養不容易</t>
  </si>
  <si>
    <t>曾銘圳</t>
  </si>
  <si>
    <t>0932527933</t>
  </si>
  <si>
    <t>有預約明天參觀</t>
  </si>
  <si>
    <t>有地的參觀
基地:苗栗
居住:苗栗
參訪: 夫妻
富都不動產股份有限公司
統一編號24209444
代表人曾銘圳
資本總額6,000,000 元</t>
  </si>
  <si>
    <t>林佳樺</t>
  </si>
  <si>
    <t>0988831696</t>
  </si>
  <si>
    <t>有地的參觀
聯絡時間盡可能中午之前
7/8未接 下午</t>
  </si>
  <si>
    <t>J 圓圓</t>
  </si>
  <si>
    <t>line留言要參訪</t>
  </si>
  <si>
    <t>多次說要預約，但一直未給連絡電話
約7/11 真的？</t>
  </si>
  <si>
    <t>楊清鑫</t>
  </si>
  <si>
    <t>0910153073</t>
  </si>
  <si>
    <t>方便聯絡時段
下午 (13:00-17:00)
理想總價
50萬～100萬
City
Taoyuan</t>
  </si>
  <si>
    <t>在開車
學校用地,想做套房,營業功能
6/6不方便電話,沒有看到資料</t>
  </si>
  <si>
    <t>何小姐</t>
  </si>
  <si>
    <t>0919595333</t>
  </si>
  <si>
    <t>家具客戶，120cm 70cm，木桌保養
官方Line上 輸入尺寸卻是145*80</t>
  </si>
  <si>
    <t>Jes Huang
黃大秦</t>
  </si>
  <si>
    <t>0905508006</t>
  </si>
  <si>
    <t>方便聯絡時段
上午 (09:00-12:00)
理想總價
100萬～200萬
City
Taipei</t>
  </si>
  <si>
    <t>引導加官方line
說話有點慢...
基地: 淡水
法規: 不太了解,怕拆除風險
有詢問參觀地點,先看資訊在與我們聯絡</t>
  </si>
  <si>
    <t>Sherri Wang
王小姐</t>
  </si>
  <si>
    <t>0933895732</t>
  </si>
  <si>
    <t>方便聯絡時段
晚間 (17:00-21:00)
理想總價
450萬+
City
Taipei</t>
  </si>
  <si>
    <t xml:space="preserve">住: 台北人
工作: 已經退休
電話時~人在花蓮火車上(目的看土地)
大概偏向找花東基地,退休長住
已經看過資料,最近忙,下周會主動聯繫我們
</t>
  </si>
  <si>
    <t>Stanley Lai</t>
  </si>
  <si>
    <t>0933981117</t>
  </si>
  <si>
    <t>方便聯絡時段
上午 (09:00-12:00)
理想總價
200萬～360萬
City
Hsinchu</t>
  </si>
  <si>
    <t>資材室
超出我的預算,我之後有需要再跟你們聯絡
已經加官方line</t>
  </si>
  <si>
    <t>伍以琳</t>
  </si>
  <si>
    <t>0963336768</t>
  </si>
  <si>
    <t>請問今天可以過去參觀了解嗎?
聯絡時間：上午10：00-晚上9點均可
關注紅屋一段時間
上回要參觀剛好我們星期天休息
有地的參觀</t>
  </si>
  <si>
    <t>許詩涵</t>
  </si>
  <si>
    <t>0930094494</t>
  </si>
  <si>
    <t>您好，請問6/27可以預約嗎</t>
  </si>
  <si>
    <t>參訪：2大1小(6y)
住：台北
規劃：休閒度假
初步想法 還再找地 ，本來(先生)想找台東 先勸退</t>
  </si>
  <si>
    <t>0928236070</t>
  </si>
  <si>
    <t>下星期一可以預約參觀?</t>
  </si>
  <si>
    <t xml:space="preserve">住: 台北市
工作: 尚未退休
基地: 彰化
退休後想在老家彰化基地(大伯地),放木屋,
老了人不在了木屋就不要了
因為久久會回中部,關注我們很久了
想安排了解
</t>
  </si>
  <si>
    <t>高R</t>
  </si>
  <si>
    <t>0913151931</t>
  </si>
  <si>
    <t>目的: 退休休閒
參訪: 夫妻
住: 新竹
基地: 找地中
預計新竹苗栗農地
有找仲介公司，看好的苗栗基地(談價格中)，不太想傳地號(似乎只是有點擔心跟不懂)，對合法性有一點執著</t>
  </si>
  <si>
    <t>林方曦</t>
  </si>
  <si>
    <t>0913222974</t>
  </si>
  <si>
    <t>剛賣了一塊農地，客戶已有房子不夠住，要在買一棟，幫客戶做資料。
比較：太空艙
仲介自己覺得木屋會朝濕</t>
  </si>
  <si>
    <t>幫客戶探詢
認為太空艙15年後居住品質肯定不好
因此想推薦她客戶找組合屋或是我們木屋
住: 桃園
他的業主: 那塊地已經有住的地方,不夠住所以想參考我們
不願意親自來園區聊解詳細</t>
  </si>
  <si>
    <t>Yi Fang
方賜儀</t>
  </si>
  <si>
    <t>0938966700</t>
  </si>
  <si>
    <t>方便聯絡時段
中午 (12:00-13:00)
理想總價
200萬～360萬
City
Kaohsiung</t>
  </si>
  <si>
    <t>職業: 小主管(有助理)
時間較難,有時候臨時會議,
不過知道現場看&amp;感受較準確
已加line,待確認日期
基地: 高雄農地
廠商: 有看過高雄廠商,蒐集資訊中</t>
  </si>
  <si>
    <t>方便聯絡時段
僅假日方便
理想總價
200萬～360萬
City
Taipei</t>
  </si>
  <si>
    <t>在忙不方便電話
下周二聯絡我們
尚未看過資料,想了解木屋怎麼蓋
有地的參觀</t>
  </si>
  <si>
    <t>王迪
小姐</t>
  </si>
  <si>
    <t>0910521077</t>
  </si>
  <si>
    <t>基地: 台東
原因: 自有空地,思考運用性?
坪數: 15坪
面積: 面寬2.6m x 深20m
水電: 無
預計7月才方便安排參觀</t>
  </si>
  <si>
    <t>鄭淑眞</t>
  </si>
  <si>
    <t>0913612182</t>
  </si>
  <si>
    <t>有+官方LINE@
問 3米路工程車跟吊車能不能進去</t>
  </si>
  <si>
    <t>陳麗楡</t>
  </si>
  <si>
    <t>0968695428</t>
  </si>
  <si>
    <t>方便聯絡時段
晚間 (17:00-21:00)
理想總價
450萬+
City
Tainan</t>
  </si>
  <si>
    <t>劉江凱</t>
  </si>
  <si>
    <t>0988019208</t>
  </si>
  <si>
    <t>方便聯絡時段
僅假日方便
理想總價
100萬～200萬
City
Kaohsiung</t>
  </si>
  <si>
    <t>基地: 高雄六龜
地目: 建地
現況: 有電 無水(可申請自來水)
目的: 假日休閒
已確認收到簡訊,待加line</t>
  </si>
  <si>
    <t>吳俊瑩
先生</t>
  </si>
  <si>
    <t>0913257657</t>
  </si>
  <si>
    <t>方便聯絡時段
全天皆可
理想總價
100萬～200萬
City
Pingtung</t>
  </si>
  <si>
    <t>目前不方便電話~
在看完資料(還沒確定有沒有收到)
需要再聯繫</t>
  </si>
  <si>
    <t>林虹汶</t>
  </si>
  <si>
    <t>0922282648</t>
  </si>
  <si>
    <t>無地的參觀
聯繫時間皆可</t>
  </si>
  <si>
    <t>疫情期間有約參訪,但臨時事情取消沒有參觀過
跟朋友想約6/25來參訪,
已經關注紅屋一陣子
但是時間上因為三五六,與朋友時間要喬一下
原預約6/24 藉口工程改期，告之7月的平日因為工程要進行，也因為天氣關係，希望他可以約再周末時段
7/2 7月份假日都排滿了，要跟朋友約很不一定(建議單獨來)
可能要8月了</t>
  </si>
  <si>
    <t>Don施玉宣</t>
  </si>
  <si>
    <t>0955347808</t>
  </si>
  <si>
    <t>您好！請問如果已經有地，是否可約別的時間做參訪（二三六我們都不行）？
1. 大名：施玉宣
2. 電話：0955347808
3. 可聯繫時間：下午兩點後或上午10-12點</t>
  </si>
  <si>
    <t>榕 紙本資料</t>
  </si>
  <si>
    <t>吳湘婉</t>
  </si>
  <si>
    <t>0921710082</t>
  </si>
  <si>
    <t>想了解
吳小姐
0921710082
6/9</t>
  </si>
  <si>
    <t>基地: 南投
地目: 農地(公公自有地)
坪數: 2分半
居住: 台中
年齡: 50
現況已有資材室,農舍條件申請不過
想要假日休閒喘口氣
已貼6月可參訪日期,
吳小姐先生可能約七月份才有空</t>
  </si>
  <si>
    <t>王</t>
  </si>
  <si>
    <t>0988390733</t>
  </si>
  <si>
    <t>方便聯絡時段
僅假日方便
理想總價
450萬+
City
台北市</t>
  </si>
  <si>
    <t>在上班不方便電話
隨即掛斷</t>
  </si>
  <si>
    <t>夏雪</t>
  </si>
  <si>
    <t>0939886689</t>
  </si>
  <si>
    <t>方便聯絡時段
晚間 (17:00-21:00)
理想總價
100萬～200萬
City
Taipe</t>
  </si>
  <si>
    <t>段越璘
小姐</t>
  </si>
  <si>
    <t>0933365531</t>
  </si>
  <si>
    <t>方便聯絡時段
中午 (12:00-13:00)
理想總價
200萬～360萬
City
台中</t>
  </si>
  <si>
    <t>在外地忙,兩天後才能處理
還沒看到資訊，
在台中還是嫌遠</t>
  </si>
  <si>
    <t>zhida wu</t>
  </si>
  <si>
    <t>0919876831</t>
  </si>
  <si>
    <t>方便聯絡時段
僅假日方便
理想總價
450萬+
City
Taipei</t>
  </si>
  <si>
    <t>吳貴生</t>
  </si>
  <si>
    <t>0936914130</t>
  </si>
  <si>
    <t>方便聯絡時段
上午 (09:00-12:00)
理想總價
100萬～200萬
City
新北市</t>
  </si>
  <si>
    <t>出國中,確認收到簡訊 未讀
預計6/16回國再聯繫
基地: 三灣
地目: 農地
7/2 LINE@
上歐照明系統設計團隊（kinson）LINE名稱
平日工作忙碌開會居多，週六下午才方便聯繫
7/4 還沒看資料</t>
  </si>
  <si>
    <t xml:space="preserve">Natalia Yang
</t>
  </si>
  <si>
    <t>0938972555</t>
  </si>
  <si>
    <t>方便聯絡時段
上午 (09:00-12:00)
理想總價
50萬～100萬
City
Taipei</t>
  </si>
  <si>
    <t>X</t>
  </si>
  <si>
    <t>家人回電,人不在台灣,出去玩
會跟楊小姐告知</t>
  </si>
  <si>
    <t>Christina Lin</t>
  </si>
  <si>
    <t>0919925385</t>
  </si>
  <si>
    <t>方便聯絡時段
晚間 (17:00-21:00)
理想總價
50萬～100萬
City
Brisbane</t>
  </si>
  <si>
    <t>林楷模</t>
  </si>
  <si>
    <t>0909567726</t>
  </si>
  <si>
    <t>僅留下電話</t>
  </si>
  <si>
    <t>(家具)賴慈菁</t>
  </si>
  <si>
    <t>0988555510</t>
  </si>
  <si>
    <t>加大型遊龍沙發問是否可更換竹蓆?</t>
  </si>
  <si>
    <t>line上已回覆
客人說在評估看看</t>
  </si>
  <si>
    <t>莊正宗</t>
  </si>
  <si>
    <t>0903332581</t>
  </si>
  <si>
    <t>買了一塊基地已有木屋,因不夠空間,想在空地再蓋兩層樓
是朋友介紹自然紅屋的</t>
  </si>
  <si>
    <t>一直不看資訊,不夠住,想改雙層樓套房,說資料文字看不懂
約早上10點通話</t>
  </si>
  <si>
    <t>許培瑄</t>
  </si>
  <si>
    <t>0928803340</t>
  </si>
  <si>
    <t>方便聯絡時段
僅假日方便
理想總價
200萬～360萬
City
新北市</t>
  </si>
  <si>
    <t>楊岳緯</t>
  </si>
  <si>
    <t>0977058543</t>
  </si>
  <si>
    <t>想預約週六11：30</t>
  </si>
  <si>
    <t>無地的參觀
主要想邊用餐&amp;了解木屋
已告知無餐飲,
楊先生說再跟太太確認是否約參觀
7/2 R
因為跟女朋友討論後，覺得沒有這麼快可以規劃，所以先暫緩
7月份假日都已安排，8月份也有點忙
已告知，先看過先了解都沒關係，很歡迎 (吊裝影片)</t>
  </si>
  <si>
    <t>高啟帆</t>
  </si>
  <si>
    <t>0905730030</t>
  </si>
  <si>
    <t>可聯繫時間：皆可
你好，我是屏東的高先生，請問紅屋適合我們一家四口嗎？我跟我老婆還有兩個兒子，一個9歲一個6歲。
可以申請建照嗎？</t>
  </si>
  <si>
    <r>
      <rPr>
        <rFont val="Arial"/>
        <color theme="1"/>
      </rPr>
      <t xml:space="preserve">基地: 屏東春日鄉
水電: 有
原因: 因為大家族住一起,不夠空間
目前就住在這基地,基地旁空地想蓋一家四口可住
時間已貼給高先生,待回覆
</t>
    </r>
    <r>
      <rPr>
        <rFont val="Arial"/>
        <color rgb="FFFF0000"/>
      </rPr>
      <t>6/16 未接通
高先生說計畫暫緩</t>
    </r>
  </si>
  <si>
    <t>戴亞屏
小姐</t>
  </si>
  <si>
    <t>0976779695</t>
  </si>
  <si>
    <t>想了解</t>
  </si>
  <si>
    <t>初步了解
基地: 南港(林地),屏東佳冬
休閒度假使用,還沒計畫哪塊基地,看過木屋再說
原預約6/25，取消，改7月平日 預約中</t>
  </si>
  <si>
    <t>先生</t>
  </si>
  <si>
    <t>方便聯絡時段
僅假日方便
理想總價
200萬～360萬
City
倫敦</t>
  </si>
  <si>
    <t>6/</t>
  </si>
  <si>
    <t>蕭村聲</t>
  </si>
  <si>
    <t>0932828242</t>
  </si>
  <si>
    <t>已經有一間傳統木屋
想蓋新的一間，要兩層樓
+LINE@</t>
  </si>
  <si>
    <t>最近買了一塊地，上面有原本的農舍，二手木屋
都是白蟻、沒整修的狀況。
想要原址重建，法規的部分 一半一半 因為知道真的很難
看資料後約訪，目前不需要，有時間再約。</t>
  </si>
  <si>
    <t>潘奇秀</t>
  </si>
  <si>
    <t>0910495539</t>
  </si>
  <si>
    <t>方便聯絡時段
上午 (09:00-12:00)
理想總價
50萬～100萬
City
台中市</t>
  </si>
  <si>
    <t>國外, 回國再連絡, 態度冷淡</t>
  </si>
  <si>
    <t>鐘祖輝</t>
  </si>
  <si>
    <t>0939132169</t>
  </si>
  <si>
    <t>方便聯絡時段
下午 (13:00-17:00)
理想總價
360萬～450萬
City
Taichung</t>
  </si>
  <si>
    <t>待加line, 新社農地原有鐵皮屋
忙碌 掛電話 6/16</t>
  </si>
  <si>
    <t>蔡昕恩</t>
  </si>
  <si>
    <t>0929550024</t>
  </si>
  <si>
    <t>方便聯絡時段
下午 (13:00-17:00)
理想總價
50萬～100萬
City
Taichung</t>
  </si>
  <si>
    <t>在上班, (二) 下午可聯繫
6/16 未接通</t>
  </si>
  <si>
    <t>0932738824</t>
  </si>
  <si>
    <t>已為我們再做翻修，想跟我們要資訊，請他先看簡訊</t>
  </si>
  <si>
    <t>苗栗, 紅磚屋打掉蓋屋頂, 待加line
6/16 再忙 掛電話</t>
  </si>
  <si>
    <t>李啟漢</t>
  </si>
  <si>
    <t>0918613710</t>
  </si>
  <si>
    <t>我住在台中市后里區，想參觀實體屋</t>
  </si>
  <si>
    <t>后里區商業區的土地(非常狹長，左右兩邊有矮房子老宅)，已蓋好一間退休宅再旁邊(有設計)。有自來水錶
入口處面寛 270公分，蓋一個單院小屋，當作花園的休閒小屋
合法：算了(這塊地不強求)
基地：尚有農地 但目前不考慮
明白跟客戶說明這塊地不合適，蓋好了也沒用。客人欣然接受，還是要來看。
推測 客戶本身喜歡有設計感的建築。</t>
  </si>
  <si>
    <t>潘先生</t>
  </si>
  <si>
    <t>0918053005</t>
  </si>
  <si>
    <t>有地的參觀 下午
請問可以取得使用執照嗎</t>
  </si>
  <si>
    <t>民宿業,高雄,建地100P 也有農地
想做招待所或自用休閒
初步想走合法
6/16 R 排好再跟我們說，不太有意願來訪</t>
  </si>
  <si>
    <t>蔡苑明</t>
  </si>
  <si>
    <t>0958058131</t>
  </si>
  <si>
    <t>方便聯絡時段
全天皆可
理想總價
50萬～100萬
City
Pingtung</t>
  </si>
  <si>
    <t>住：高雄
有一點興趣
參訪只有週六可以</t>
  </si>
  <si>
    <t>詹秀鳳</t>
  </si>
  <si>
    <t>0919677618</t>
  </si>
  <si>
    <t>方便聯絡時段
上午 (09:00-12:00)
理想總價
200萬～360萬
City
Taichung</t>
  </si>
  <si>
    <t>全奕杰</t>
  </si>
  <si>
    <t>0985328093</t>
  </si>
  <si>
    <t>方便聯絡時段
下午 (13:00-17:00)
理想總價
50萬～100萬
City
台中市</t>
  </si>
  <si>
    <t>林尚恩</t>
  </si>
  <si>
    <t>0925258379</t>
  </si>
  <si>
    <t>張嘉村</t>
  </si>
  <si>
    <t>0932632762</t>
  </si>
  <si>
    <t xml:space="preserve">農林地台中太平,已有合法資材室鐵皮屋, 法規態度開放
初問單院 </t>
  </si>
  <si>
    <t>高雪女</t>
  </si>
  <si>
    <t>0986601158</t>
  </si>
  <si>
    <t>可聯繫時間：9:00-17:00
我要去參觀木屋，該如何約？</t>
  </si>
  <si>
    <r>
      <rPr>
        <rFont val="Arial"/>
        <color theme="1"/>
      </rPr>
      <t xml:space="preserve">(第一次去電開會中)
</t>
    </r>
    <r>
      <rPr>
        <rFont val="Arial"/>
        <color rgb="FFFF0000"/>
      </rPr>
      <t>A</t>
    </r>
    <r>
      <rPr>
        <rFont val="Arial"/>
        <color theme="1"/>
      </rPr>
      <t xml:space="preserve">
台南佳里 自家門口菜園果園
希望創造出有一個小庭院，裡面有一個空間，有一個場地給孫子玩
300坪
有去參觀過 台南佳里的客戶，他有聽到小抱怨說售後服務不太好
喜歡有腳放下來的床鋪</t>
    </r>
  </si>
  <si>
    <t>鄭志煌</t>
  </si>
  <si>
    <t>0935705705</t>
  </si>
  <si>
    <r>
      <rPr>
        <rFont val="Arial"/>
        <color theme="1"/>
      </rPr>
      <t xml:space="preserve">最近剛買地：台南玉井 農地 6000坪(有人整理) 有水電
當天剛好要經過台中，3hr可以保留安排
曾有過自地自建的經驗(土地很大)
</t>
    </r>
    <r>
      <rPr>
        <rFont val="Arial"/>
        <color rgb="FFFF0000"/>
      </rPr>
      <t xml:space="preserve">WIX
</t>
    </r>
    <r>
      <rPr>
        <rFont val="Arial"/>
        <color theme="1"/>
      </rPr>
      <t>住：桃園市
地；台南市 玉井區 九層林段 505,505-1,1542，6000坪
屋：企業主 合掌屋
2P夫妻來訪
現土地上有怪手的問題一直在處理中???
老闆猜測是投資客
客戶說要老農舍改建</t>
    </r>
  </si>
  <si>
    <t>陳傑夫</t>
  </si>
  <si>
    <t>0932018598</t>
  </si>
  <si>
    <t>方便聯絡時段
中午 (12:00-13:00)
理想總價
200萬～360萬
City
Taipei</t>
  </si>
  <si>
    <t>蘇群恩</t>
  </si>
  <si>
    <t>0928826910</t>
  </si>
  <si>
    <t>方便聯絡時段
晚間 (17:00-21:00)
理想總價
50萬～100萬
City
Taoyüan</t>
  </si>
  <si>
    <t>沒收到簡訊 不講 自己+LINE@</t>
  </si>
  <si>
    <t>鐘麗美</t>
  </si>
  <si>
    <t>0925585589</t>
  </si>
  <si>
    <t>方便聯絡時段
僅假日方便
理想總價
360萬～450萬
City
Xinbei林口</t>
  </si>
  <si>
    <t>陳富美</t>
  </si>
  <si>
    <t>0975058086</t>
  </si>
  <si>
    <t>方便聯絡時段
下午 (13:00-17:00)
理想總價
50萬～100萬
City
Xinbei
1/15 年中以後再聯繫</t>
  </si>
  <si>
    <t>Cin Hu</t>
  </si>
  <si>
    <t>0935610585</t>
  </si>
  <si>
    <t>方便聯絡時段
上午 (09:00-12:00)
理想總價
450萬+
City
新北市</t>
  </si>
  <si>
    <t>Paney</t>
  </si>
  <si>
    <t>0911921963</t>
  </si>
  <si>
    <t>方便聯絡時段
晚間 (17:00-21:00)
理想總價
50萬～100萬
City
雲林</t>
  </si>
  <si>
    <t>阮金玉</t>
  </si>
  <si>
    <t>0928939352</t>
  </si>
  <si>
    <t>方便聯絡時段
下午 (13:00-17:00)
理想總價
50萬～100萬
City
埔里鎮</t>
  </si>
  <si>
    <t>黃晴雯</t>
  </si>
  <si>
    <t>0932469855</t>
  </si>
  <si>
    <t>方便聯絡時段
僅假日方便
理想總價
200萬～360萬
City
Tainan</t>
  </si>
  <si>
    <t>陳讚昌</t>
  </si>
  <si>
    <t>0923263858</t>
  </si>
  <si>
    <t>方便聯絡時段
上午 (09:00-12:00)
理想總價
200萬～360萬
City
台中市
5/12
"退休規劃
有收到訊息,先看
宜蘭老家基地
職業:五金貿易北部出差
居住:台中
加梓涵公務機"
梓涵公務機 call沒回</t>
  </si>
  <si>
    <t>林良民</t>
  </si>
  <si>
    <t>0937651262</t>
  </si>
  <si>
    <t>方便聯絡時段
下午 (13:00-17:00)
理想總價
100萬～200萬
City
花蓮市</t>
  </si>
  <si>
    <t>看簡訊</t>
  </si>
  <si>
    <t>朱麗瑄</t>
  </si>
  <si>
    <t>0937753819</t>
  </si>
  <si>
    <t>方便聯絡時段
下午 (13:00-17:00)
理想總價
100萬～200萬
City
二林鎮</t>
  </si>
  <si>
    <t>+子榕 公務機
60+
有地，持分100人(跟他說不用想了)
有三棟房子(1透天、2公寓)，都不喜歡住，透天旁邊蓋了停車場，所以天天吸廢氣
很擔心自己沒有地，已告知 先來體驗，不緊急，初步接受
再約時間</t>
  </si>
  <si>
    <t>Js</t>
  </si>
  <si>
    <t>0986860993</t>
  </si>
  <si>
    <t>方便聯絡時段
中午 (12:00-13:00)
理想總價
100萬～200萬
City
新竹
siri</t>
  </si>
  <si>
    <t>Jeff
Huang
黃先生</t>
  </si>
  <si>
    <t>0939211518</t>
  </si>
  <si>
    <t>方便聯絡時段
全天皆可
理想總價
50萬～100萬
City
彰化縣</t>
  </si>
  <si>
    <t>老房子要拆，度假or長住？
住：彰化
地：彰化 小山坡地
有興趣，不過目前因為再台東5天4業度假中，週四再聯繫ok</t>
  </si>
  <si>
    <t>黃科華</t>
  </si>
  <si>
    <t>0975216167</t>
  </si>
  <si>
    <t>方便聯絡時段
僅假日方便
理想總價
100萬～200萬
City
台中市</t>
  </si>
  <si>
    <t>沒興趣</t>
  </si>
  <si>
    <t>鄧平</t>
  </si>
  <si>
    <t>0935236470</t>
  </si>
  <si>
    <t>家具 換竹蓆</t>
  </si>
  <si>
    <t>Megan
黃靖雅</t>
  </si>
  <si>
    <t>0988021831</t>
  </si>
  <si>
    <t>6坪 含廁所，宜蘭雙連埤
有禮貌~的小姐</t>
  </si>
  <si>
    <t>6坪 含廁所，宜蘭雙連埤
假日屋：ㄧ 個月只去8天，自己要去(種田)
屋款： 大單院 or 2院</t>
  </si>
  <si>
    <t>米米</t>
  </si>
  <si>
    <t>0958963698</t>
  </si>
  <si>
    <t>方便聯絡時段
全天皆可
理想總價
50萬～100萬
City
宜蘭</t>
  </si>
  <si>
    <t>陳淑姬</t>
  </si>
  <si>
    <t>0938086788</t>
  </si>
  <si>
    <t>方便聯絡時段
下午 (13:00-17:00)
理想總價
360萬～450萬
City
Pingzhen</t>
  </si>
  <si>
    <t>未開機</t>
  </si>
  <si>
    <t>江龍宗</t>
  </si>
  <si>
    <t>0989588692</t>
  </si>
  <si>
    <t>方便聯絡時段
全天皆可
理想總價
50萬～100萬
City
Kaohsiung</t>
  </si>
  <si>
    <t>陳朝樂</t>
  </si>
  <si>
    <t>0917277866</t>
  </si>
  <si>
    <t>許斯傑</t>
  </si>
  <si>
    <t>0982627179</t>
  </si>
  <si>
    <t>黃秀卿</t>
  </si>
  <si>
    <t>0960030395</t>
  </si>
  <si>
    <t>方便聯絡時段
上午 (09:00-12:00)
理想總價
50萬～100萬
City
Kaohsiung
初次去電 開會中 6/25未接</t>
  </si>
  <si>
    <t>3-4年前
2022 舊資料
高雄市林園區，農地，有原本申請的電，供地下抽水泵浦使用        4/16 週六        安全遊學                附近有        有        道路沒問題，已經整地，法律有疑慮，在大路旁有點擔心，太太想要單院就好，先生喜歡3+茶湯
他說自己有學過室內設計，看得懂平面圖</t>
  </si>
  <si>
    <t>陳永明</t>
  </si>
  <si>
    <t>0933206060</t>
  </si>
  <si>
    <t>方便聯絡時段
晚間 (17:00-21:00)
理想總價
50萬～100萬
City
南投縣</t>
  </si>
  <si>
    <t>李奕瑩</t>
  </si>
  <si>
    <t>0937196118</t>
  </si>
  <si>
    <t>任何時間都都可以聯繫
預約參訪</t>
  </si>
  <si>
    <r>
      <rPr>
        <rFont val="Arial"/>
        <color theme="1"/>
      </rPr>
      <t xml:space="preserve">住：新北市
地：台東縣目前再看台東的地(未購買)
初步思考中
，因為夫妻倆的工作性質，在哪裡都可以成立。
建議先參訪後買地。
</t>
    </r>
    <r>
      <rPr>
        <rFont val="Arial"/>
        <color rgb="FFFF0000"/>
      </rPr>
      <t>7月份再敲時間</t>
    </r>
  </si>
  <si>
    <t>郭雅芬</t>
  </si>
  <si>
    <t>0926588852</t>
  </si>
  <si>
    <t>隨時可聯繫
方便聯絡時段
上午 (09:00-12:00)
理想總價
100萬～200萬
City
Hsinchu</t>
  </si>
  <si>
    <t>2P 預計
住：新竹</t>
  </si>
  <si>
    <t>(家具)羅伊婷</t>
  </si>
  <si>
    <t>0927433717</t>
  </si>
  <si>
    <t>靠山椅(類似款)，竹蓆包邊脫線</t>
  </si>
  <si>
    <t>已連繫客戶說明目前狀況，椅子在台中(老家)
假日再回去量</t>
  </si>
  <si>
    <t>百成石</t>
  </si>
  <si>
    <t>0981210358</t>
  </si>
  <si>
    <t>方便聯絡時段
晚間 (17:00-21:00)
理想總價
200萬～360萬
City
Kaohsiung</t>
  </si>
  <si>
    <t>參訪：2P 夫妻
基地：買在老家那一帶，花蓮秀林
目的：假日度假用
喜歡合掌屋的型
小孩回來希望有房間 2房(現場在談)
想約周三 7/15or7/29</t>
  </si>
  <si>
    <t>蔡明宏</t>
  </si>
  <si>
    <t>0911222719</t>
  </si>
  <si>
    <t>猶豫，是否要買地？要買地才能去？
+LINE@
持續連繫中
6/24 興趣缺缺，再忙掛電話</t>
  </si>
  <si>
    <t>吉耀夫</t>
  </si>
  <si>
    <t>0985767961</t>
  </si>
  <si>
    <t>方便聯絡時段
晚間 (17:00-21:00)
理想總價
50萬～100萬
City
屏東縣</t>
  </si>
  <si>
    <t>問價格，參訪興趣缺缺</t>
  </si>
  <si>
    <t>吳宗翰</t>
  </si>
  <si>
    <t>0933937918</t>
  </si>
  <si>
    <t>方便聯絡時段
晚間 (17:00-21:00)
理想總價
360萬～450萬
City
Kaohsiung</t>
  </si>
  <si>
    <t>忘記我們的資訊，可請他+LINE@</t>
  </si>
  <si>
    <t>Peiyin Yeh
葉小姐</t>
  </si>
  <si>
    <t>0921067029</t>
  </si>
  <si>
    <t>方便聯絡時段
全天皆可
理想總價
100萬～200萬
City
Zhubei</t>
  </si>
  <si>
    <t>參訪：夫妻
住：竹北
想找新竹附近的地 (上班比較方便)
自住使用
問：法規、可以住多久
約，周六，跟先生討論7/4 是否參訪</t>
  </si>
  <si>
    <t>0910037278</t>
  </si>
  <si>
    <t>方便聯絡時段
全天皆可
理想總價
50萬～100萬
City
台北市</t>
  </si>
  <si>
    <t>Will Tang</t>
  </si>
  <si>
    <t>0972225297</t>
  </si>
  <si>
    <t>方便聯絡時段
全天皆可
理想總價
200萬～360萬
City
台北</t>
  </si>
  <si>
    <t>吳德偉</t>
  </si>
  <si>
    <t>0982923375</t>
  </si>
  <si>
    <t>方便聯絡時段
下午 (13:00-17:00)
理想總價
100萬～200萬
City
Pingtung</t>
  </si>
  <si>
    <t>LINE@
屏東人，尚無地，想找類似的生活方式
關注網路上的資訊很久
查到：吳德偉 屏東縣立大同高中 組長 體育？</t>
  </si>
  <si>
    <t>蕭麗瑩</t>
  </si>
  <si>
    <t>0926226161</t>
  </si>
  <si>
    <r>
      <rPr>
        <rFont val="inherit"/>
        <color rgb="FF1C2B33"/>
      </rPr>
      <t xml:space="preserve">方便聯絡時段
上午 (09:00-12:00)
理想總價
50萬～100萬
City
Taoyüan
</t>
    </r>
    <r>
      <rPr>
        <rFont val="inherit"/>
        <color rgb="FFFF0000"/>
      </rPr>
      <t>後台</t>
    </r>
  </si>
  <si>
    <t>1/25 已聯繫過
有想蓋行動木屋
年後比較有空安排
在加line預約
桃園人
要排時間,電話中說明現在無法確認~
要過去參觀在提前跟我們說
等待加line中....
6/24 +LINE@ 很奇怪 聯絡這麼多次都不+LINE@ 沒心</t>
  </si>
  <si>
    <t>翁先生
Cheng Tsung Weng</t>
  </si>
  <si>
    <t>0928337035</t>
  </si>
  <si>
    <t>方便聯絡時段
上午 (09:00-12:00)
理想總價
360萬～450萬
City
Taipei</t>
  </si>
  <si>
    <t>新北市 建地，自己使用
問題：使用執照、門牌號碼
+LINE@ 傳吊裝影片</t>
  </si>
  <si>
    <t>陳小姐Wen Chi</t>
  </si>
  <si>
    <t>0908031314</t>
  </si>
  <si>
    <t>+LINE@</t>
  </si>
  <si>
    <t>參訪：2P 夫妻
桃園龍潭，有山有水
很有心，目前還沒找到地
主要考量：工作區、小孩學區(目前都幼兒園)</t>
  </si>
  <si>
    <t>曹繼善</t>
  </si>
  <si>
    <t>0961578235</t>
  </si>
  <si>
    <t>方便聯絡時段
下午 (13:00-17:00)
理想總價
100萬～200萬
City
Taipei</t>
  </si>
  <si>
    <t>很難約
問了很多，地目、法規、吊裝、跟太空艙一樣？但就是不來
6/30
7月比較忙，8月可約</t>
  </si>
  <si>
    <t>黃仲辰</t>
  </si>
  <si>
    <t>0936155071</t>
  </si>
  <si>
    <t>方便聯絡時段
下午 (13:00-17:00)
理想總價
50萬～100萬
City
桃園市桃園區</t>
  </si>
  <si>
    <t>LINE@聯繫
只想問資料，不想跑現場
基地：新北／金瓜石礦區 老家的地，有老宅想重蓋(問客製)
回去度假、法規要克服。</t>
  </si>
  <si>
    <t>鄭當興</t>
  </si>
  <si>
    <t>0968670866</t>
  </si>
  <si>
    <t>方便聯絡時段
下午 (13:00-17:00)
理想總價
450萬+
City
Taipei</t>
  </si>
  <si>
    <t>siri語音</t>
  </si>
  <si>
    <t>Tom Chen</t>
  </si>
  <si>
    <t>0930006818</t>
  </si>
  <si>
    <t>方便聯絡時段
上午 (09:00-12:00)
理想總價
100萬～200萬
City
桃園市桃園區</t>
  </si>
  <si>
    <t>晚點再打，他沒有看到訊息</t>
  </si>
  <si>
    <t>林宛蓉</t>
  </si>
  <si>
    <t>0966108767</t>
  </si>
  <si>
    <t>蒲俊良</t>
  </si>
  <si>
    <t>0988932582</t>
  </si>
  <si>
    <t>方便聯絡時段
上午 (09:00-12:00)
理想總價
100萬～200萬
City
Taichung</t>
  </si>
  <si>
    <t>晚點聯繫 知道我們是誰 上課中
苗栗南庄露營區，現在想要改成豪華露營區
目前擔任台積電的講師 (前兩次打過去都是上課中)
6/30 未接</t>
  </si>
  <si>
    <t>洪浩傑</t>
  </si>
  <si>
    <t>0911244977</t>
  </si>
  <si>
    <t>方便聯絡時段
上午 (09:00-12:00)
理想總價
450萬+
City
Taipei</t>
  </si>
  <si>
    <t>7月份要來，會再安排時間。
基地：宜蘭 租人家種稻 1年1萬塊
住：台北</t>
  </si>
  <si>
    <t>古錦堂</t>
  </si>
  <si>
    <t>0910559897</t>
  </si>
  <si>
    <t>方便聯絡時段
上午 (09:00-12:00)
理想總價
100萬～200萬
City
Taitung</t>
  </si>
  <si>
    <t>有興趣，看到網路上的木屋很漂亮
住：三仙台
要來之前會再+LINE@約時間。</t>
  </si>
  <si>
    <t>0911968916</t>
  </si>
  <si>
    <t>方便聯絡時段
上午 (09:00-12:00)
理想總價
360萬～450萬
City
台北市</t>
  </si>
  <si>
    <t>siri語音
6/2516:18 有回撥</t>
  </si>
  <si>
    <t>洪佩琪</t>
  </si>
  <si>
    <t>0932866222</t>
  </si>
  <si>
    <t>農地/高雄美濃山林
住宿體驗客, 目前準備要著手蓋屋
初問資材室途徑, 若合法行不通或蓋很醜也許考慮違法</t>
  </si>
  <si>
    <t xml:space="preserve">下午一點後
10年 化糞池已埋
水電
</t>
  </si>
  <si>
    <t>許唐榮</t>
  </si>
  <si>
    <t>0936860755</t>
  </si>
  <si>
    <t>FB名單
鄭芝偉(號碼相同)        "方便聯絡時段
上午 (09:00-12:00)
理想總價
200萬～360萬
City
員林市"</t>
  </si>
  <si>
    <t>跟老婆討論一下，是否要帶小孩來，要參訪的時間
因為小孩周六要補習，會卡到時間，來的車程要1小時多
再問問7/4 六
7/8語音信箱，客戶回電，再撥過去又語音信箱
LINE已讀</t>
  </si>
  <si>
    <t>潘永嘉小姐</t>
  </si>
  <si>
    <t>0972252897</t>
  </si>
  <si>
    <t>方便聯絡時段
下午 (13:00-17:00)
理想總價
200萬～360萬
City
Taipei木柵</t>
  </si>
  <si>
    <t>住：台北
不想多聊，覺得很遠，目前還沒有地。</t>
  </si>
  <si>
    <t>柯先生</t>
  </si>
  <si>
    <t>0910596899</t>
  </si>
  <si>
    <t>方便聯絡時段
全天皆可
理想總價
50萬～100萬
City
Taipei</t>
  </si>
  <si>
    <t>住：台北
怕：法規
基地：無?
以為我們是度假村(半開玩笑)
晚上詳細看資訊，明後天再聯繫</t>
  </si>
  <si>
    <t>翁倖慧</t>
  </si>
  <si>
    <t>0917230870</t>
  </si>
  <si>
    <t>請問7／18（六）上午4位，可以預約參觀嗎？參觀費用？</t>
  </si>
  <si>
    <t>參訪：4P 要說服先生蓋木屋，小孩暑假這周有空也一起帶來了解
桃園楊梅，自家住宅旁邊，三角形建地
有樹，吊床被颱風吹走。
很喜歡木材的感覺，想要一個聚會空間 (小孩拉琴)，景窗外會很漂亮，
此外，因為東西很多，也想要放東西的地方。
吃素
想要好好地整頓一下，不然這塊地都浪費了。</t>
  </si>
  <si>
    <t>黃志綋</t>
  </si>
  <si>
    <t>0986837711</t>
  </si>
  <si>
    <t>方便聯絡時段
下午 (13:00-17:00)
理想總價
450萬+
City
Kaohsiung</t>
  </si>
  <si>
    <t>對組合屋有興趣 +LINE@
未接</t>
  </si>
  <si>
    <t>Iris Apple</t>
  </si>
  <si>
    <t>0953518060</t>
  </si>
  <si>
    <t>方便聯絡時段
下午 (13:00-17:00)
理想總價
50萬～100萬
City
彰化縣</t>
  </si>
  <si>
    <t>有地，原本的建物要拆除(自己說應該沒辦法)
願意收到進一步資訊
+LINE@</t>
  </si>
  <si>
    <t>林春梅</t>
  </si>
  <si>
    <t>0932901607</t>
  </si>
  <si>
    <t>方便聯絡時段
中午 (12:00-13:00)
理想總價
100萬～200萬
City
Hsinchu</t>
  </si>
  <si>
    <t>土地開發商
幫客人找木屋 (蓋木屋)
+LINE@</t>
  </si>
  <si>
    <t>簡煌輝</t>
  </si>
  <si>
    <t>0952080080</t>
  </si>
  <si>
    <t>土地開發商
有無幫人畫圖申請資材室</t>
  </si>
  <si>
    <t>房先生</t>
  </si>
  <si>
    <t>0916155658</t>
  </si>
  <si>
    <t>在網路上，沒看過我們的資訊，就打來，以為我們是開發商。
說不喜歡木屋，但好像也沒特別討厭???</t>
  </si>
  <si>
    <t>Leo</t>
  </si>
  <si>
    <t>0909080488</t>
  </si>
  <si>
    <t>方便聯絡時段
上午 (09:00-12:00)
理想總價
100萬～200萬
City
宜蘭市
6/27在跟人家談事情，忙碌中
+LINE@ X</t>
  </si>
  <si>
    <t xml:space="preserve">
未接</t>
  </si>
  <si>
    <t>陳立毅</t>
  </si>
  <si>
    <t>0955160211</t>
  </si>
  <si>
    <t>方便聯絡時段
上午 (09:00-12:00)
理想總價
50萬～100萬
City
Pingtung</t>
  </si>
  <si>
    <t>忙碌中，背景很多人聲
先看簡訊+LINE@
6/30 還再忙</t>
  </si>
  <si>
    <t>黃奇艾</t>
  </si>
  <si>
    <t>0970156992</t>
  </si>
  <si>
    <t>方便聯絡時段
上午 (09:00-12:00)
理想總價
50萬～100萬
City
Taichung</t>
  </si>
  <si>
    <t xml:space="preserve">已自行+LINE@
住台中西屯，基地是新蓋屋，10月底交屋，後院只有九坪大阿姨想蓋一個3.4坪的日式空間給阿公～
感謝你們創造這麼美麗的空間，真的非常美
法規：猶豫中(建商說不合法，除非日式的小小屋子)
</t>
  </si>
  <si>
    <t>Debra Chou</t>
  </si>
  <si>
    <t>0910043034</t>
  </si>
  <si>
    <t>方便聯絡時段
下午 (13:00-17:00)
理想總價
50萬～100萬
City
Taipei</t>
  </si>
  <si>
    <t>陳秋萍</t>
  </si>
  <si>
    <t>0979391639</t>
  </si>
  <si>
    <t>方便聯絡時段
上午 (09:00-12:00)
理想總價
50萬～100萬
City
台南市
LINE@ 不回復</t>
  </si>
  <si>
    <t>Suzanne Wang王</t>
  </si>
  <si>
    <t>0932214883</t>
  </si>
  <si>
    <t>方便聯絡時段
中午 (12:00-13:00)
理想總價
50萬～100萬
City
台北市</t>
  </si>
  <si>
    <t>吳建彰</t>
  </si>
  <si>
    <t>0936252614</t>
  </si>
  <si>
    <t>6/30來電說下午想來參訪
平日較有空,說先幫他預登記7/15
找地或了解租地,做功課廠商比較中
-
昨天無意間在臉書看到關於自然紅屋的資訊，非常喜歡
禮拜二中午過後想去參訪實體感受
不知道是否方便</t>
  </si>
  <si>
    <r>
      <rPr/>
      <t xml:space="preserve">LINE@
7/15 到訪石岡 看無名樹的半半齋(客製化建案)
</t>
    </r>
    <r>
      <rPr>
        <color rgb="FF1155CC"/>
        <u/>
      </rPr>
      <t xml:space="preserve">https://www.namelesstree.com.tw/project/%E5%8D%8A%E5%8D%8A%E9%BD%8B
</t>
    </r>
    <r>
      <rPr/>
      <t>想要租地 中部／台中南投
住：高雄
年齡：60歲
退休規劃，夫妻
本身自己做生意，知道羊毛出在羊身上，不過還是想要討論客製化，比較昂貴的木材
現已屆齡退休，還在工作但平日工作時間彈性，跟太太一起來
7/15三 or 7/24五</t>
    </r>
  </si>
  <si>
    <t>黃幸娟</t>
  </si>
  <si>
    <t>0935364033</t>
  </si>
  <si>
    <t>先幫他預登記7/15</t>
  </si>
  <si>
    <t>大坑 農地 300P
長住，給兩個兒子常住
參觀：夫妻
決策者；太太本身(自己說的)
資料，等當天看完有喜歡再進一步討論</t>
  </si>
  <si>
    <t>周小姐</t>
  </si>
  <si>
    <t>0937024239</t>
  </si>
  <si>
    <t>去年有來參訪過 (他說是現場加入的)
1個小時 有專員都在服務另一組，沒有招待到他們
????
有記錄到去年五月的資料，不知參訪是何日
老太太，說明誠懇
目前山上有一塊地要蓋</t>
  </si>
  <si>
    <t>住：南投
基地：埔里，農地，超過千坪
目前有在農作中
只想要有一間，可以農暇時間休息的屋子，大單院
上次的參訪體驗不佳(沒有解說，這次很期待解說)
7/8，家人說不要再來被騙一次(觀念保守)</t>
  </si>
  <si>
    <t>張惠盟</t>
  </si>
  <si>
    <t>0952899975</t>
  </si>
  <si>
    <t>方便聯絡時段
全天皆可
理想總價
50萬～100萬
City
Taoyüan</t>
  </si>
  <si>
    <t>不用了</t>
  </si>
  <si>
    <t>黃百輝</t>
  </si>
  <si>
    <t>0938191578</t>
  </si>
  <si>
    <r>
      <rPr>
        <rFont val="inherit"/>
        <color rgb="FF1C2B33"/>
      </rPr>
      <t xml:space="preserve">方便聯絡時段
下午 (13:00-17:00)
理想總價
450萬+
City
Zürich
</t>
    </r>
    <r>
      <rPr>
        <rFont val="inherit"/>
        <color rgb="FFFF0000"/>
      </rPr>
      <t>Mail
brianhuang61@gmail.com</t>
    </r>
  </si>
  <si>
    <t>他說自己再40多個國家做生意，常常在國外
沒查到此人有負責任和公司，只有亞碁的董事長同名。
行業跨：金融、餐旅、威士忌...等
所以LINE 無法加入成功，目前聯繫方式是用mail
台灣電話預付卡，電話可以通
住：台北</t>
  </si>
  <si>
    <t>鮑鎮紘</t>
  </si>
  <si>
    <t>0935977938</t>
  </si>
  <si>
    <t>方便聯絡時段
僅假日方便
理想總價
450萬+
City
Taipei</t>
  </si>
  <si>
    <t>陳國寶</t>
  </si>
  <si>
    <t>0988182137</t>
  </si>
  <si>
    <t>方便聯絡時段
晚間 (17:00-21:00)
理想總價
50萬～100萬
Full name
City
新北市</t>
  </si>
  <si>
    <t>住新北
基地1：新北石碇 不是翡翠水庫那一邊
有舊房子50-60年前，老違章、有水電門牌
基地2：農地
LINE@
都建議他到現場來參訪完在做決定。
7/2聯繫，稍微有說服，但要來之前自己再聯繫</t>
  </si>
  <si>
    <t>王先生Rex</t>
  </si>
  <si>
    <t>0918769501</t>
  </si>
  <si>
    <t>子榕公務機潛水很久
沒有參訪過</t>
  </si>
  <si>
    <t>參訪：4位 朋友
無地，好奇想先做了解</t>
  </si>
  <si>
    <t>杜亭萱</t>
  </si>
  <si>
    <t>0965375995</t>
  </si>
  <si>
    <t>請問房子價錢＆可以分期付款嗎？</t>
  </si>
  <si>
    <t>住：台東池上
基地：無 可能租or買 池上的地
職業：甜點宅配
參訪：夫妻+小孩2y+1P大人
問蠻多，實際居住的工程問題、找地問題，有認真思考</t>
  </si>
  <si>
    <t>蘇小姐</t>
  </si>
  <si>
    <t>0988788244</t>
  </si>
  <si>
    <t>在附近遊客,臨時想參訪</t>
  </si>
  <si>
    <t>住：雲林
10年前 5年前 蘇小姐都有來過現場
現在是教會年輕人，小組活動時間，想要一起參訪
(建議決策者來，但還是想10位一起，其中只有一兩位有想法，無法勸說分開行動，就是要一起行動)
8月份排好時間
蘇小姐先 +LINE@ 傳資料</t>
  </si>
  <si>
    <t>李佩芳</t>
  </si>
  <si>
    <t>0906971826</t>
  </si>
  <si>
    <t xml:space="preserve">
</t>
  </si>
  <si>
    <t>住：台中
暑假期間會離開台中，是老師？
青銀后土村的忠實追隨者
2025 0606參訪過
此次來的目的是要看合掌屋+了解后土村的下一步計畫</t>
  </si>
  <si>
    <t>吳琬瑜</t>
  </si>
  <si>
    <t>0921007350</t>
  </si>
  <si>
    <t>方便聯絡時段
僅假日方便
理想總價
360萬～450萬
City
Taipei
7/4未接</t>
  </si>
  <si>
    <t>王昱心</t>
  </si>
  <si>
    <t>0932559925</t>
  </si>
  <si>
    <t>方便聯絡時段
全天皆可
理想總價
50萬～100萬
City
Hualien City</t>
  </si>
  <si>
    <t>住：花蓮
地：台東 都蘭 農 
工作室：陶藝(在花蓮有比較小間)
參訪1P
 7/18 六or 8/1六(7/7調整中 未確認)</t>
  </si>
  <si>
    <t>Lucy Ou</t>
  </si>
  <si>
    <t>0920646757</t>
  </si>
  <si>
    <t>方便聯絡時段
僅假日方便
理想總價
50萬～100萬
City
台北市</t>
  </si>
  <si>
    <t>只想獲得自己要的資訊，問到後會馬上掛電話
願意獲得資訊
6000坪土地，自家的
問最小的單位價格</t>
  </si>
  <si>
    <t>0911314191</t>
  </si>
  <si>
    <t>方便聯絡時段
全天皆可
理想總價
100萬～200萬
City
台中</t>
  </si>
  <si>
    <t>剛好再忙，請他先看簡訊or +LINE@
下周聯繫</t>
  </si>
  <si>
    <t xml:space="preserve">
袁先生</t>
  </si>
  <si>
    <t>0922666899</t>
  </si>
  <si>
    <t>David Yuan
FB:方便聯絡時段
下午 (13:00-17:00)
理想總價
450萬+
City
Taichung</t>
  </si>
  <si>
    <t>看到FB廣告, 5-6年前來過園區,
問30P造價多少
現在人在台北, 地在台中
臺中市新社區湳嶺段(5733)722.723.738地號(放在722地號上)
緯經度:24.23257,120.78663
定位點：https://maps.app.goo.gl/qeeyPzwX8U7b3ztB6
參訪方式收費OK, 已提共地號
參訪：5P，夫妻+媽媽+管理員
年紀：55+
道路：大斜坡，但混凝土車可到
很多應酬跟往返美國外的時間。
A</t>
  </si>
  <si>
    <t>唐曉慧</t>
  </si>
  <si>
    <t>0955927000</t>
  </si>
  <si>
    <t>方便聯絡時段
全天皆可
理想總價
360萬～450萬
City
新竹縣</t>
  </si>
  <si>
    <t>住：新竹
鄉下有地，但不喜歡想要看新竹山上的地
法規：目前應該都是資材室吧?新竹館很嚴? (小白半懂)
地：尋找中，山坡地果園、偏僻不過有水電，有坡疑慮
+LINE@ 看資料</t>
  </si>
  <si>
    <t>黃福賢</t>
  </si>
  <si>
    <t>0932333019</t>
  </si>
  <si>
    <t>方便聯絡時段
下午 (13:00-17:00)
理想總價
100萬～200萬
City
Taipei</t>
  </si>
  <si>
    <t>住：台北
基地：雲林
想做度假屋(置產)
+LINE@ 收資料
7/8下午有接，說好要+LINE，再下通就沒接了</t>
  </si>
  <si>
    <t>蘇R</t>
  </si>
  <si>
    <t>0972717577</t>
  </si>
  <si>
    <t>想要明天參觀</t>
  </si>
  <si>
    <t>實際要住：媽媽(休周三)
媽媽住南投，蘇先生住彰化
參訪：帶媽媽來
初步規劃中，媽媽看了喜歡就去買地</t>
  </si>
  <si>
    <t>賴唐分 小姐</t>
  </si>
  <si>
    <t>0937682128</t>
  </si>
  <si>
    <t>板橋</t>
  </si>
  <si>
    <t>想預登記8/1(六) 要安排行程(中台禪寺 法會)
住：板橋一個人
基地：(屏東 茄苳) 老家旁邊 空地(尺寸不大，量長寬)
未婚，只需住一人，老家不夠住(以後媽媽離開要搬出來)
廠商：有看過太空艙
參訪：一起參加法會的朋友</t>
  </si>
  <si>
    <t>董翠華</t>
  </si>
  <si>
    <t>0932190314</t>
  </si>
  <si>
    <t xml:space="preserve">您好，想預約賞屋，8/7星期五
</t>
  </si>
  <si>
    <t>住：台北
地：台東??或曾文水庫??
參訪：夫妻
原本就有兩塊地號農地，A地已有房子，B地想要放紅屋
(不是給別人，紅屋也是給自己的。why? A屋不好住？)
基地：農地 有水電
法規：原本A農地屋就沒有申請，B農地想考慮申請資材室，但也知道太麻煩就不請
3年前有來過</t>
  </si>
  <si>
    <t>邱玉鳳</t>
  </si>
  <si>
    <t>0938893100</t>
  </si>
  <si>
    <t>地：曾文水庫附近，老家件地80坪(老屋已拆除)
住：高雄
水電：?
重建為家人聚會空間，自己沒有要長住
只有決策者會來
朋友介紹有看過宥勝的影片
7/8 要來才自己約 (最近忙)</t>
  </si>
  <si>
    <t>鄭香辰
先生</t>
  </si>
  <si>
    <t>0975506762</t>
  </si>
  <si>
    <t>方便聯絡時段
全天皆可
理想總價
200萬～360萬
City
Zhubei</t>
  </si>
  <si>
    <r>
      <rPr/>
      <t xml:space="preserve">住：竹北
地：家族地，持分，農地旁邊有一塊建地(一直長雜草)
會帶小孩回去學習插秧，想放一間小紅屋這種不固定式的建築
基地可以一眼望去農地&amp;大霸尖山
有自己蓋過泥土屋(小孩也都耳濡目染)
4-5年前有來看過(餐廳時期)
新竹縣私立 承山 幼兒園 
創辦人兼負責人為鄭香辰。該園以自然教育與土地連結為核心理念，致力於透過環境設計及食農教育，讓孩子在無毒環境中成長，並積極推動公益助糧行動。
太太：張家甯 負責人
</t>
    </r>
    <r>
      <rPr>
        <color rgb="FF1155CC"/>
        <u/>
      </rPr>
      <t>https://www.facebook.com/cswaldorfkg/?locale=zh_TW</t>
    </r>
  </si>
  <si>
    <t>Nick Lee</t>
  </si>
  <si>
    <t>0917157990</t>
  </si>
  <si>
    <t>方便聯絡時段
全天皆可
理想總價
360萬～450萬
City
Taipei</t>
  </si>
  <si>
    <t>楊鑫霈</t>
  </si>
  <si>
    <t xml:space="preserve">0908607125
</t>
  </si>
  <si>
    <t>方便聯絡時段
僅假日方便
理想總價
360萬～450萬
新北市林口區文化一路一段201號3樓之3</t>
  </si>
  <si>
    <t>Yang</t>
  </si>
  <si>
    <t>0968868823</t>
  </si>
  <si>
    <t>Lunar Core</t>
  </si>
  <si>
    <t>0927117300</t>
  </si>
  <si>
    <t>方便聯絡時段
全天皆可
理想總價
450萬+
City
新竹市</t>
  </si>
  <si>
    <t>想要地+屋一起買，沒有的話就沒想法，不來</t>
  </si>
  <si>
    <t>劉文昭</t>
  </si>
  <si>
    <t>0933668911</t>
  </si>
  <si>
    <t>方便聯絡時段
全天皆可
理想總價
50萬～100萬
City
Tainan</t>
  </si>
  <si>
    <t>王麒銓</t>
  </si>
  <si>
    <t>0928997347</t>
  </si>
  <si>
    <t>方便聯絡時段
全天皆可
理想總價
100萬～200萬
City
台中
（橘子）</t>
  </si>
  <si>
    <t>已+LINE@
要賣地，正在山上忙碌
土地要賣(想推薦給要買地的人可以蓋房子)
看資料了 1小時候撥
查到的
麒銓地產企業有限公司
統編 54118012
代表人 王麒銓
臺中市豐原區成功路101號1樓</t>
  </si>
  <si>
    <t>蔡政哲</t>
  </si>
  <si>
    <t>0936926322</t>
  </si>
  <si>
    <t>方便聯絡時段
下午 (13:00-17:00)
理想總價
100萬～200萬
City
Hsinchu</t>
  </si>
  <si>
    <t>會議中，平時蠻忙得
有一塊地想蓋
新竹橫山，丙建 300坪 再山頂
電 自己會先去申請
沒水，但附近很多山泉水，會自己想辦法
安排好時間，會再跟我們聯繫</t>
  </si>
  <si>
    <t>楊雅晴</t>
  </si>
  <si>
    <t>0919107250</t>
  </si>
  <si>
    <t>方便聯絡時段
下午 (13:00-17:00)
理想總價
100萬～200萬
City
三重</t>
  </si>
  <si>
    <t>沒關係，已經過去了XD
但還是會看簡訊</t>
  </si>
  <si>
    <t>翁宏</t>
  </si>
  <si>
    <t>0910753542</t>
  </si>
  <si>
    <t>方便聯絡時段
下午 (13:00-17:00)
理想總價
450萬+
City
高雄市</t>
  </si>
  <si>
    <t>Andy Hsieh</t>
  </si>
  <si>
    <t>0931094168</t>
  </si>
  <si>
    <t>方便聯絡時段
下午 (13:00-17:00)
理想總價
360萬～450萬
City
Taipei</t>
  </si>
  <si>
    <t>0903500919</t>
  </si>
  <si>
    <t>方便聯絡時段
中午 (12:00-13:00)
理想總價
50萬～100萬
City
Pingtung</t>
  </si>
  <si>
    <t>陳榮挺</t>
  </si>
  <si>
    <t>0911748011</t>
  </si>
  <si>
    <t>方便聯絡時段
上午 (09:00-12:00)
理想總價
50萬～100萬
City
屏東縣</t>
  </si>
  <si>
    <t>看簡訊
+LINE@ ok 然後就沒然後了</t>
  </si>
  <si>
    <t>張紘圖</t>
  </si>
  <si>
    <t>0987636397</t>
  </si>
  <si>
    <t>2024參訪過
8/2珈煒
居住：高雄林園(自家)
基地：無，找地中，美濃或六龜(已告知不建議)
決策者/使用人：夫妻
目標：明年買到地
用途：度假
預算：1300~1400買地+買屋雜支，用自家房屋貸款"
參訪後回去已買地</t>
  </si>
  <si>
    <t>子榕LINE
2024參訪過
居住：高雄林園(自家)
基地：屏東龍泉 有水有電
決策者/使用人：夫妻
*第一次來訪後，有買到土地，目前正在還貸款中
用途：度假
預算：1300~1400買地+買屋雜支，用自家房屋貸款""</t>
  </si>
  <si>
    <t>鍾秀蓮</t>
  </si>
  <si>
    <t>0935575011</t>
  </si>
  <si>
    <t>問試住，對木屋挺有興趣，已+LINE@
下午聯繫
十方聯合建築師事務所
台北市大安區新生南路一段103巷15號1樓
T:886-2-2731-9600
02-27319600#126
02-27214557
​行政特助 ​
學歷 國立台北商專國際貿易科</t>
  </si>
  <si>
    <t>做改變需要女兒支持
無地
住台北
十方聯合建築師事務所的行政特助
很害怕自己住在山上，想要有鄰居，好奇后土村的規劃
參訪：5P 女兒</t>
  </si>
  <si>
    <t>林明霞</t>
  </si>
  <si>
    <t>0931965288</t>
  </si>
  <si>
    <t>參訪：4P (應該是跟朋友)
住：台南
地：台東池上 建地120坪(方正)
原本規劃要蓋RC，因為台東的旅遊狀況不好所以沒有動作，看到合掌屋廣告，覺得這幾年可以先自己住，以後要蓋就把合掌屋拆掉就好</t>
  </si>
  <si>
    <t>吳志鵬</t>
  </si>
  <si>
    <t>0919070355</t>
  </si>
  <si>
    <t>合掌屋 詢問坪數</t>
  </si>
  <si>
    <t>陳蕙文</t>
  </si>
  <si>
    <t>0921101683</t>
  </si>
  <si>
    <t>合掌屋有興趣
不用來電，只想看資料</t>
  </si>
  <si>
    <t>黃國益</t>
  </si>
  <si>
    <t>0937228080</t>
  </si>
  <si>
    <t>申請參觀合掌屋</t>
  </si>
  <si>
    <t>2022初訪
2025二訪
去年農舍公文還沒下來，現在也還沒下來，許可未拿到
還在評估RC跟合掌屋 (看到LINE廣告)
可申請60坪，但房間就是想要5-6個房間
居住：台中市豐原區
基地：豐原區公老坪</t>
  </si>
  <si>
    <t>林文傳</t>
  </si>
  <si>
    <t>0937421250</t>
  </si>
  <si>
    <t>我是林文傳手機0937421250基地在新北市土城區大暖路136號1年前有去您們台中園區参觀！我們準備設立養生園區成立養生俱樂部歡迎您們派員指導！
做 鐘表的廠商有來過</t>
  </si>
  <si>
    <t>有點搞不懂規劃方向
1. 有一個園區要經營，要找我們經營？ 已告知不行
2. 青山綠水的園區，目前有一個地下室的空間11x14米，要做樓地板，要問我們施工可不可，設計師畫圖中</t>
  </si>
  <si>
    <t>陳宗喜</t>
  </si>
  <si>
    <t>0978177855</t>
  </si>
  <si>
    <t>都可，幾年前有去現場参觀過
室內7050mm*4880
已有建照 
花蓮鹽寮 有做嗎 
上面 凈土小屋  也在東海岸？</t>
  </si>
  <si>
    <t>9月份回台灣再約
3年前看過
現在再花蓮鹽寮已經申請到一個休閒農場，已經請到建照
(因為已經請好照，可能就找別人做了)
屏東還有另一塊地，也想請照，9月份回台灣再看合掌屋</t>
  </si>
  <si>
    <t>鄧式榮</t>
  </si>
  <si>
    <t>0911855358</t>
  </si>
  <si>
    <r>
      <rPr>
        <rFont val="inherit"/>
        <color rgb="FF1C2B33"/>
      </rPr>
      <t xml:space="preserve">似乎對二手屋有興趣
南投縣鹿谷鄉彰雅村凍頂巷7～23号
巨峰茶引-鄧式榮
</t>
    </r>
    <r>
      <rPr>
        <rFont val="inherit"/>
        <color rgb="FF1155CC"/>
        <u/>
      </rPr>
      <t>https://share.google/dXTsbfqwPVgqVbp6u</t>
    </r>
  </si>
  <si>
    <t>初次
好奇想規劃</t>
  </si>
  <si>
    <t>謝宇涵</t>
  </si>
  <si>
    <t>0933446716</t>
  </si>
  <si>
    <t>還有展示屋 出售嗎？
2022苗栗人,很喜歡3院,擔心苗栗的北風大以及苗栗有新屋會收水土保育費,想要找一塊地,上有舊建物,保留屋頂裡面放置我們的木屋</t>
  </si>
  <si>
    <t>A 基地：苗栗三義，已有水電
路寬3m、基地260坪
旁邊有紅屋的案例
2022 初訪 遊園，這次二訪
可能8/1 周六(跟先生討論一下時間)
，平日一二四比較有空 跟我們搭不上</t>
  </si>
  <si>
    <t>余芷葇</t>
  </si>
  <si>
    <t>0937762707</t>
  </si>
  <si>
    <t xml:space="preserve">農地100坪，可以放置？
</t>
  </si>
  <si>
    <t>吳小姐</t>
  </si>
  <si>
    <t>0911747484</t>
  </si>
  <si>
    <t>這是二手屋嗎？
屏東市麟洛，之前有傳過影片，您回覆合適
請問是影片這間嗎？
是新屋還是舊屋
可以裝冷氣嗎？
我有興趣
請問影片如何下載？
無法分享給家人
2021喜歡3院/但覺得空間不夠/所以又看了5院/想再多一個房間/擔心路口不知道是否能進入施工</t>
  </si>
  <si>
    <t>王美香</t>
  </si>
  <si>
    <t>0931943681
0983632586</t>
  </si>
  <si>
    <t>請問台南安南區有屋款宅？</t>
  </si>
  <si>
    <t>想做為民宿使用
年紀有點大，腿不好眼睛也不好
要朋友載他來
基地道路很狹窄，一般貨櫃進不去
但他也不喜歡貨櫃
看單院系列</t>
  </si>
  <si>
    <t>戴睿熹</t>
  </si>
  <si>
    <t>0919611847</t>
  </si>
  <si>
    <t>基地：苗栗
居住：新北
爸媽，台東人
參訪：帶教育的夥伴一起來，退休老師
一個草創的教育機構 8月的時候都會忙學校開學前的事情</t>
  </si>
  <si>
    <t>Rosita</t>
  </si>
  <si>
    <t>0920328286</t>
  </si>
  <si>
    <t>二手屋詢問</t>
  </si>
  <si>
    <t>（家具）幸福生活館</t>
  </si>
  <si>
    <t>0963527988</t>
  </si>
  <si>
    <t>晚安您好，請問一下要放置這種展示屋的話，他是需要農地多少坪以上嗎？</t>
  </si>
  <si>
    <t>廖韋強</t>
  </si>
  <si>
    <t>0935661998</t>
  </si>
  <si>
    <t>方便聯絡時段
中午 (12:00-13:00)
理想總價
450萬+
City
Taichung</t>
  </si>
  <si>
    <t>WIX填單，想約7/11or7/21
住：台中
地：恆春
合掌屋
7/10還是未接，應該很忙，已寄簡訊通知</t>
  </si>
  <si>
    <t>Lai Li Chu</t>
  </si>
  <si>
    <t>0936921201</t>
  </si>
  <si>
    <t>方便聯絡時段
下午 (13:00-17:00)
理想總價
100萬～200萬
City
新竹縣</t>
  </si>
  <si>
    <t>siri</t>
  </si>
  <si>
    <t>李佩桂先生</t>
  </si>
  <si>
    <t>0970087512</t>
  </si>
  <si>
    <t>方便聯絡時段
晚間 (17:00-21:00)
理想總價
50萬～100萬
City
Taipei</t>
  </si>
  <si>
    <t>最小間，多少錢
哪裡來的木材
先+LIINE@ 看資料</t>
  </si>
  <si>
    <t>Yawi Kagi
張先生</t>
  </si>
  <si>
    <t>0975813009</t>
  </si>
  <si>
    <t>方便聯絡時段
晚間 (17:00-21:00)
理想總價
360萬～450萬
City
台中市</t>
  </si>
  <si>
    <t>已加LINE@
7/16 未看資料
住：豐原
地：和平</t>
  </si>
  <si>
    <t>莊啓呈</t>
  </si>
  <si>
    <t>0910745410</t>
  </si>
  <si>
    <t>7/24日~ 2人/可以預約參觀嗎</t>
  </si>
  <si>
    <t>參訪：夫妻 約60y
初步規劃中，看過再討論
台南市柳營區建業路160號 (空地)</t>
  </si>
  <si>
    <t>林俊佑</t>
  </si>
  <si>
    <t>0919682326</t>
  </si>
  <si>
    <t>你好，想預約8/1星期六，4位參觀。6/30初次詢問</t>
  </si>
  <si>
    <t>參訪；4P家人
住梧棲，幫父母(75y)看，因為現在的透天怕以後老爸媽腿腳不方便，至少可以在附近找一個舒服一點的環境，讓爸媽住平房。
住：爸媽
地：還沒找
參訪：3-4位，自己夫妻+爸媽夫妻</t>
  </si>
  <si>
    <t>黃帥儒</t>
  </si>
  <si>
    <t>0982893748</t>
  </si>
  <si>
    <t xml:space="preserve">想約 8/14 </t>
  </si>
  <si>
    <t>教會 團體 10-12位
團員 在 雲林
蘇小姐        0988788244</t>
  </si>
  <si>
    <t>江如容先生</t>
  </si>
  <si>
    <t xml:space="preserve"> 0933972071</t>
  </si>
  <si>
    <t>想約明天7/15，人數???</t>
  </si>
  <si>
    <t>柏菲特 禮贈品
住：新竹
地：新竹芎林鄉
已有蓋過農舍(說法規部分他們自行負責)
目前第二塊地已有申請到資材室的許可
但不確定車輛是否可通行，(整地時卡車有載挖土機進出過)</t>
  </si>
  <si>
    <t>施青含</t>
  </si>
  <si>
    <t>0928197412</t>
  </si>
  <si>
    <t>想約今天下午或明天下午</t>
  </si>
  <si>
    <t>無地，找長住的可能</t>
  </si>
  <si>
    <t>林冠伶</t>
  </si>
  <si>
    <t>0928358580</t>
  </si>
  <si>
    <t>以來看過木屋多次，之前有跟楊小姐聯繫
紙本資料
進一步洽談施工跟客製
施工：拆前面拆屋頂都可以做，但是老闆覺得沒有生活品質不要這樣做
7/21勸退，生活品質很不好 (老闆)</t>
  </si>
  <si>
    <t>謝小姐</t>
  </si>
  <si>
    <t xml:space="preserve">0912616793 </t>
  </si>
  <si>
    <t>聯絡時間都方便</t>
  </si>
  <si>
    <t>WIX 謝小姐，先生 陳關雄
住：苗栗
地：苗栗
小家庭 (合院)</t>
  </si>
  <si>
    <t>邱淑娣</t>
  </si>
  <si>
    <t>0935933187</t>
  </si>
  <si>
    <t>問家具維修(乳膠更換)
也有留官LINE</t>
  </si>
  <si>
    <t>聯繫中，
乳膠+遊龍沙發 想要各1組</t>
  </si>
  <si>
    <t>李淑芬</t>
  </si>
  <si>
    <t>0927555743</t>
  </si>
  <si>
    <t>方便聯絡時段
上午 (09:00-12:00)
理想總價
100萬～200萬
City
Pingtung</t>
  </si>
  <si>
    <t>不想考慮木屋，原因是怕維護費用很高
想蓋在台東</t>
  </si>
  <si>
    <t>0919892665</t>
  </si>
  <si>
    <t>方便聯絡時段
僅假日方便
理想總價
100萬～200萬
City
Kaohsiung</t>
  </si>
  <si>
    <t>忙碌中，這兩天會
加+LINE@ 傳資料
對木屋有興趣</t>
  </si>
  <si>
    <t>方便聯絡時段
全天皆可
理想總價
50萬～100萬
City
Xinbei</t>
  </si>
  <si>
    <t>已為我們是居林，有去南港展覽
先+LINE@收資料</t>
  </si>
  <si>
    <t>董小姐</t>
  </si>
  <si>
    <t>0912662662</t>
  </si>
  <si>
    <t>方便聯絡時段
全天皆可
理想總價
50萬～100萬
City
Taichung</t>
  </si>
  <si>
    <t>週六 7/18 下午聯繫</t>
  </si>
  <si>
    <t>林慶鐘老師</t>
  </si>
  <si>
    <t>0936322883</t>
  </si>
  <si>
    <t>年紀有點大? LINE不太會操作
豐原，左邊4F透天／前面面寬5米、後面寬度4.35米
長度，約25米，約32地坪
已+LINE@
稱自己房子很多，只想花小錢，用來出租
地是兒子的</t>
  </si>
  <si>
    <t>Jennifer Chen
陳淑娟</t>
  </si>
  <si>
    <t>0938854666</t>
  </si>
  <si>
    <t>尚未看資料
需求 : 外傭住&amp;員工住
產業,流浪動物之家
因為也不讓員工在室內開火
不缺錢 ,可是我不想花太多錢,2~30萬的預算而已
看過資料後若要參觀在跟我們聯繫</t>
  </si>
  <si>
    <t>陳淑娟</t>
  </si>
  <si>
    <t>方便聯絡時段
下午 (13:00-17:00)
理想總價
450萬+
City
苗栗苑裡</t>
  </si>
  <si>
    <t>加LINE@，看資料
有看過別的廠商</t>
  </si>
  <si>
    <t>曾馨慧</t>
  </si>
  <si>
    <t>0921071212</t>
  </si>
  <si>
    <t>方便聯絡時段
下午 (13:00-17:00)
理想總價
200萬～360萬
City
台南市</t>
  </si>
  <si>
    <t>0980800942</t>
  </si>
  <si>
    <t>住：台北市
地：台中市
小家庭 (合院)
7月
無法接聽</t>
  </si>
  <si>
    <t>黃啓庭</t>
  </si>
  <si>
    <t>0928718070</t>
  </si>
  <si>
    <t xml:space="preserve">
小家庭 (合院)
想預約</t>
  </si>
  <si>
    <t>參訪：
住：台南市
地：目前沒有
8/15六，跟太太討論一下</t>
  </si>
  <si>
    <t>陳鈺婷</t>
  </si>
  <si>
    <t>0936628207</t>
  </si>
  <si>
    <t>有地的參觀 下午 住宿</t>
  </si>
  <si>
    <t>先看LINE@資料
7/16 未接</t>
  </si>
  <si>
    <t>張富杰</t>
  </si>
  <si>
    <t>0928810812</t>
  </si>
  <si>
    <t>原本想要8/8全家來訪，建議決策者來就好
實際是自己夫妻要住(屆齡退休)
住：台北(工作)
地：還在找 台中彰化老家(每個月會回來兩次)</t>
  </si>
  <si>
    <t xml:space="preserve">王亭雅 </t>
  </si>
  <si>
    <t>0912587598</t>
  </si>
  <si>
    <t xml:space="preserve">9月後再約，假日
住：台北
會想專程來訪一趟台中。感受
</t>
  </si>
  <si>
    <t>鄭至家</t>
  </si>
  <si>
    <t>0917113671</t>
  </si>
  <si>
    <t>8/1 要再喬一下時間
參訪：1位
無地，只是好奇來參訪</t>
  </si>
  <si>
    <t>歐小姐</t>
  </si>
  <si>
    <t>0989809422</t>
  </si>
  <si>
    <t>下午</t>
  </si>
  <si>
    <t>已+LINE@
住：屏東
地：台東
最近因為開店，很忙。
建議先安排家人來看，歐小姐初步覺得ok</t>
  </si>
  <si>
    <t>蔡志文</t>
  </si>
  <si>
    <t>0910833935</t>
  </si>
  <si>
    <t>只是想要安排旅遊景點，不是7/28二就不行來
雖有農地但無規劃想法
都還要上班，屏東很遠 (沒動力的客戶)</t>
  </si>
  <si>
    <t>鄭智源</t>
  </si>
  <si>
    <t>0910861750</t>
  </si>
  <si>
    <t>方便聯絡時段
全天皆可
理想總價
50萬～100萬
City
台中市</t>
  </si>
  <si>
    <t>5/12 梓涵：有點沒誠意了解的人
軍5/12 下午3點二播, 說再忙, 感覺興趣度不高或不急
7/16子榕：這個人很跳針，只想要自己要的資訊，且講話很快
800坪土地，450建地 都市計畫內
土地：台中神岡，不是自己的，地主都在國外，要幫她規畫出租
離神岡熱鬧的地方幾百公尺而已，怕法規
現在已經有日式老宅</t>
  </si>
  <si>
    <t>簡小姐</t>
  </si>
  <si>
    <t>0921473369</t>
  </si>
  <si>
    <t>可聯繫時間早上10：00-14：00</t>
  </si>
  <si>
    <t>暑假要帶小孩比較忙
住：花蓮
地：花蓮市區
農地 757坪，有水電
法規：不清楚，但大概聽說農舍很麻煩，空拍會重複檢舉
建議帶小孩來一起，要跟先生討論時間。</t>
  </si>
  <si>
    <t>楊月梅</t>
  </si>
  <si>
    <t>0955359801</t>
  </si>
  <si>
    <t>計畫很趕，(可能只是說說)
10月動工，11月木屋才到也可以
參訪：2位 (自己+兒子)
WIX
居住縣市
苗栗縣三義鄉
欲規劃基地縣市
苗栗縣銅鑼鄉</t>
  </si>
  <si>
    <t>0910955661</t>
  </si>
  <si>
    <t>方便聯絡時段
上午 (09:00-12:00)
理想總價
360萬～450萬
City
111000</t>
  </si>
  <si>
    <t>只是一直問問題，樹是你們種的？台灣的廠商？
有+LINE@才有機會推廣
土地：桃竹苗地區</t>
  </si>
  <si>
    <t>蔡少筠</t>
  </si>
  <si>
    <t>0935123806</t>
  </si>
  <si>
    <t>有幫人蓋嗎？</t>
  </si>
  <si>
    <t>曾瑞炘</t>
  </si>
  <si>
    <t>0932531578</t>
  </si>
  <si>
    <t>方便聯絡時段
上午 (09:00-12:00)
理想總價
100萬～200萬
City
Tainan南投</t>
  </si>
  <si>
    <t>在外面，先+LINE@，如果沒有收到再自回電</t>
  </si>
  <si>
    <t>Fang Lee</t>
  </si>
  <si>
    <t>0938058008</t>
  </si>
  <si>
    <t>先+LINE@
傳資料</t>
  </si>
  <si>
    <t>巫孟哲</t>
  </si>
  <si>
    <t>0985439900</t>
  </si>
  <si>
    <t>方便聯絡時段
全天皆可
理想總價
50萬～100萬
City
台中</t>
  </si>
  <si>
    <t>已加入 LINE@ 資料給他
週六下午聯繫</t>
  </si>
  <si>
    <t>周光祺</t>
  </si>
  <si>
    <t>0980701180</t>
  </si>
  <si>
    <t>便聯絡時段
全天皆可
理想總價
100萬～200萬
City
Tainan</t>
  </si>
  <si>
    <t>已加入 LINE@ 資料給他
7/22 週三聯繫</t>
  </si>
  <si>
    <t>姚玉麗</t>
  </si>
  <si>
    <t>0953487021</t>
  </si>
  <si>
    <t>地：桃園龍潭 丙建138坪過戶中，1個多月後過戶完成
住：父母，年紀大比較急著想要入住
現有30年鐵皮屋有水電，打算要拆除。
自己，關注紅屋很多年，騎腳踏車都有經過。但自己是想要退休後用民宿(目前只是想想而已)
+LINE 傳預約成功資訊</t>
  </si>
  <si>
    <t>張麗娟</t>
  </si>
  <si>
    <t>0937731680</t>
  </si>
  <si>
    <t>想參訪，3P</t>
  </si>
  <si>
    <t>有想要蓋木屋，但不想先討論，參訪後再討論即可</t>
  </si>
  <si>
    <t>Lu Ys
盧先生</t>
  </si>
  <si>
    <t>0932906682</t>
  </si>
  <si>
    <t>方便聯絡時段
全天皆可
理想總價
450萬+
City
宜蘭市</t>
  </si>
  <si>
    <t>開會中，自己+LINE</t>
  </si>
  <si>
    <t>林瑞榮</t>
  </si>
  <si>
    <t>0915379101</t>
  </si>
  <si>
    <t>（白天）
7/30上午11：00左右到貴司
我與家人計畫在7/30上午從台南出發前往貴司參觀，
望請協助安排</t>
  </si>
  <si>
    <t>夫妻度假用，先生已退休，現都在基地上自行除草，已整理6年，所以太太才萌生想要在這塊基地度假的念頭
住台南
地台南東區自由路二段225號 (土地是太太名下的，已經持有35年，現只有小涼亭(雖然簡單但整理得還算別緻)
890坪 建地(不是丙建) 有水、電(隨時可以請)
(看起來超像一個大公園，但旁邊都圍起來私人土地)
(有重樹根很乾淨的草皮，有定期在除草整理
道路 有一點狀況，待討論
A 講話冷冷地但都有回復</t>
  </si>
  <si>
    <t>黃振欽</t>
  </si>
  <si>
    <t>0922008806</t>
  </si>
  <si>
    <t xml:space="preserve">有地的參觀 
白天
想了解小單位的行動屋        </t>
  </si>
  <si>
    <t>要參訪 想了解小單位的行動屋</t>
  </si>
  <si>
    <t>吳博仁</t>
  </si>
  <si>
    <t>0903406665</t>
  </si>
  <si>
    <t>方便聯絡時段
上午 (09:00-12:00)
理想總價
50萬～100萬
City
屏東縣枋寮鄉安樂村4鄰安樂路14號</t>
  </si>
  <si>
    <t>Arthur Chen</t>
  </si>
  <si>
    <t>0970888182</t>
  </si>
  <si>
    <t>宜蘭溯溪成</t>
  </si>
  <si>
    <t>0935514191</t>
  </si>
  <si>
    <t>張大帥</t>
  </si>
  <si>
    <t>0958473530</t>
  </si>
  <si>
    <t>Jean Chen Jean</t>
  </si>
  <si>
    <t>0919365139</t>
  </si>
  <si>
    <t>方便聯絡時段
僅假日方便
理想總價
200萬～360萬
City
高雄市</t>
  </si>
  <si>
    <t>林家如</t>
  </si>
  <si>
    <t>0937252321</t>
  </si>
  <si>
    <t>方便聯絡時段
僅假日方便
理想總價
50萬～100萬
City
彰化縣</t>
  </si>
  <si>
    <t>先看LINE資料 再聯繫
彰化 50坪 建地，想做招待所 或教室 都有在想
預約只有周六方便</t>
  </si>
  <si>
    <t>0972855217</t>
  </si>
  <si>
    <t>方便聯絡時段
僅假日方便
理想總價
50萬～100萬
City
台北市</t>
  </si>
  <si>
    <t>0938559777</t>
  </si>
  <si>
    <t>方便聯絡時段
基本要到晚上才有空，假日聯繫
理想總價
50萬～100萬
City
新北市</t>
  </si>
  <si>
    <t>LINE@ 待加，傳資料
有興趣，但待會要開會了</t>
  </si>
  <si>
    <t>徐國棟</t>
  </si>
  <si>
    <t>0909126728</t>
  </si>
  <si>
    <r>
      <rPr>
        <rFont val="inherit"/>
        <color rgb="FF4285F4"/>
      </rPr>
      <t xml:space="preserve">方便聯絡時段
</t>
    </r>
    <r>
      <rPr>
        <rFont val="inherit"/>
        <color rgb="FFFF0000"/>
      </rPr>
      <t>晚間 (17:00-21:00)</t>
    </r>
    <r>
      <rPr>
        <rFont val="inherit"/>
        <color rgb="FF4285F4"/>
      </rPr>
      <t xml:space="preserve">
理想總價
100萬～200萬
City
Taipei</t>
    </r>
  </si>
  <si>
    <t>廖志成</t>
  </si>
  <si>
    <t>0935514191
0936928936</t>
  </si>
  <si>
    <t>13:00-17:00
這小屋頭需要申請資材室或加工室或農舍嗎？</t>
  </si>
  <si>
    <t>宜蘭人
地：宜蘭員山 農地 電在申請中，水是山泉水。
度假居多，比較山上，雙人埤附近
1P，距離比較遠 要安排一下行程
法規：什麼名目？可以不用申請嗎？
參訪：1P</t>
  </si>
  <si>
    <t>邱小姐</t>
  </si>
  <si>
    <t>0980968808</t>
  </si>
  <si>
    <t>詢問之前的裝修工程</t>
  </si>
  <si>
    <t>0966696111</t>
  </si>
  <si>
    <t>高雄 無地 營造業 有木屋夢3-5年計畫</t>
  </si>
  <si>
    <t>LINE@</t>
  </si>
  <si>
    <t>賴奇祿</t>
  </si>
  <si>
    <t>0912024233</t>
  </si>
  <si>
    <t>2年前參訪過，有想進一步規劃
但地還沒找到，現在再看富里的地，住台南，已勸退(距離對角線)
現在想要度假用，以後退休才有可能搬過去常住
建議他先來看看 合掌屋 (他自己有興趣雙層樓)</t>
  </si>
  <si>
    <t>保固維修</t>
  </si>
  <si>
    <t>涂素萍</t>
  </si>
  <si>
    <t>0933319116</t>
  </si>
  <si>
    <t>戶外壁板，護欄變形</t>
  </si>
  <si>
    <t>LINE 已加入
張瀚木屋轉手
客戶有點盧小小
請他先拍使用的漆劑</t>
  </si>
  <si>
    <t>傅紹銘</t>
  </si>
  <si>
    <t>0910668589</t>
  </si>
  <si>
    <t>紅屋家具老客戶</t>
  </si>
  <si>
    <t>農地🆚丙建
在桃園市龜山區福源段
地號：
298（丙）299（丙）293 294 296 301 336 337
自己都在照顧媽媽，因為要退休了把房子賣掉，已經簽好約
想了解木屋，但因為他現在媽媽的狀況走不開，所以時間很難約
家裡的家計都落在老婆身上( 攝影協會 )`,</t>
  </si>
  <si>
    <t>劉中原 Eric Liu</t>
  </si>
  <si>
    <t>0932975385</t>
  </si>
  <si>
    <t>方便聯絡時段
上午 (09:00-12:00)
理想總價
360萬～450萬
City
台北</t>
  </si>
  <si>
    <t>有住過北京，朋友都在西雅圖加拿大，不排斥從大陸進口的材料(工作相關)
宜蘭的朋友有蓋很多房子，但現在在台北蓋房子太貴
想要租地蓋，打算找農地，但相關法規都不清楚。
先+LINE@</t>
  </si>
  <si>
    <t>0972757136</t>
  </si>
  <si>
    <t>方便聯絡時段
中午 (12:00-13:00)
理想總價
200萬～360萬
City
Kaohsiung</t>
  </si>
  <si>
    <t>未加入LINE@
度假用
初步規劃中
無地
8/29 取消
要加官方LINE，並且改約平日</t>
  </si>
  <si>
    <t>Janice Lee</t>
  </si>
  <si>
    <t>0963977813</t>
  </si>
  <si>
    <t>張自強</t>
  </si>
  <si>
    <t>0935050461</t>
  </si>
  <si>
    <t>有在找 度假木屋，看很多家不確定我們是誰
自+LINNE@
目前手邊忙碌中
7/29開會中，沒有要急 敷衍</t>
  </si>
  <si>
    <t>李彥勳</t>
  </si>
  <si>
    <t>0913657685</t>
  </si>
  <si>
    <t>方便聯絡時段
上午 (09:00-12:00)
理想總價
100萬～200萬
City
Taipei</t>
  </si>
  <si>
    <t>宜蘭三星農舍 居住中，打算後面要放一棟木屋，度假用(但實際是是要多一間房間)
有興趣 已加LINE@</t>
  </si>
  <si>
    <t>李瑞金</t>
  </si>
  <si>
    <t>0936076658</t>
  </si>
  <si>
    <t>找地中 農地 淡水&amp;三芝
住 北投 這附近比較熟悉
打算先短住 後面熟悉了再常住
參訪：2P</t>
  </si>
  <si>
    <t>林東能</t>
  </si>
  <si>
    <t>0978026525</t>
  </si>
  <si>
    <t>方便聯絡時段
上午 (09:00-12:00)
理想總價
50萬～100萬
City
Nantou</t>
  </si>
  <si>
    <t>陳志豪</t>
  </si>
  <si>
    <t>0903913166</t>
  </si>
  <si>
    <t>白天時段都可以聯絡喔</t>
  </si>
  <si>
    <t>營造業，屏東地區
想要找可以休息+辦公的空間
9月份以後比較有空參訪</t>
  </si>
  <si>
    <t>Yunwei</t>
  </si>
  <si>
    <t>0988372911</t>
  </si>
  <si>
    <t>沒時間 丙建想要做40坪
新竹人
想做實際實用的屋子</t>
  </si>
  <si>
    <t>蔡耀文</t>
  </si>
  <si>
    <t>0972098020</t>
  </si>
  <si>
    <t>靠山
1. 黑色部分脆化
2. 坐墊區破損</t>
  </si>
  <si>
    <t>8/5提供報價，但發現工廠沒有零件庫存
已取消，客戶ok</t>
  </si>
  <si>
    <t>廖俊易</t>
  </si>
  <si>
    <t>0920639355</t>
  </si>
  <si>
    <t>方便聯絡時段
上午 (09:00-12:00)
理想總價
100萬～200萬
City
嘉義市</t>
  </si>
  <si>
    <t>老家；豐原
工作：嘉義
基地：嘉義市 100+農地 (50m左右有鄰居)
LINE@
長輩會喜歡，有回豐原時再提早預約
一直很喜歡木材，早年紅屋家居都有認識
講話蠻油的，但都是正向的</t>
  </si>
  <si>
    <t>張美</t>
  </si>
  <si>
    <t>0980687288</t>
  </si>
  <si>
    <t>方便聯絡時段
中午 (12:00-13:00)
理想總價
50萬～100萬
City
Taipei</t>
  </si>
  <si>
    <t>囂張 買的就是大爺，做業務不加賴怎麼做業務
17坪的建地，有老屋
813高雄市左營區埤北里舊城巷51號</t>
  </si>
  <si>
    <t>林華治</t>
  </si>
  <si>
    <t>0930997772</t>
  </si>
  <si>
    <t>方便聯絡時段
中午 (12:00-13:00)
理想總價
100萬～200萬
City
Taipei</t>
  </si>
  <si>
    <t>鄉下有一塊地，有這個想法
工作中，會加line@
8/5回電後說我們撥錯了</t>
  </si>
  <si>
    <t>Justin Huang
黃先生</t>
  </si>
  <si>
    <t>0988062360</t>
  </si>
  <si>
    <t>方便聯絡時段
中午 (12:00-13:00)
理想總價
360萬～450萬
City
Taipei</t>
  </si>
  <si>
    <t>宜蘭 建地 125坪 合法可以蓋60坪
因為改房子太慢，所以想找我們蓋，初步說要70多坪
line@ 先看資料
8/5銀行辦事中4-5點聯繫</t>
  </si>
  <si>
    <t>0913257725</t>
  </si>
  <si>
    <t>方便聯絡時段
僅假日方便
理想總價
200萬～360萬
City
Taipei</t>
  </si>
  <si>
    <t>Nico Lo</t>
  </si>
  <si>
    <t>0938012028</t>
  </si>
  <si>
    <t>方便聯絡時段
僅假日方便
理想總價
200萬～360萬
City
新北</t>
  </si>
  <si>
    <t>陳靜江</t>
  </si>
  <si>
    <t>0919108896</t>
  </si>
  <si>
    <t>方便聯絡時段
全天皆可
理想總價
100萬～200萬
City
Kaohsiung</t>
  </si>
  <si>
    <t>1500後聯繫
8/5 未接</t>
  </si>
  <si>
    <t>李椿貴</t>
  </si>
  <si>
    <t>0910451464</t>
  </si>
  <si>
    <t>方便聯絡時段
全天皆可
理想總價
50萬～100萬
City
Zhunan</t>
  </si>
  <si>
    <t xml:space="preserve"> 8/8 吃飯 在忙</t>
  </si>
  <si>
    <t>任小姐</t>
  </si>
  <si>
    <t>0960705553</t>
  </si>
  <si>
    <t>方便聯絡時段
全天皆可
理想總價
450萬+
City
Taichung</t>
  </si>
  <si>
    <r>
      <rPr>
        <rFont val="Arial"/>
        <color rgb="FF1F1F1F"/>
      </rPr>
      <t xml:space="preserve">MESSAGE 聯繫中
</t>
    </r>
    <r>
      <rPr>
        <rFont val="Arial"/>
        <color theme="1"/>
      </rPr>
      <t>6月份line才被盜用，很恐懼+line
有老闆娘的態度(問最大坪數)
目前正在申請農舍許可(有老農資格，不方便多說)
知道onon園區，常經過
等申請好農舍許可後，才主動電話跟我們聯繫
A?</t>
    </r>
  </si>
  <si>
    <t>簡淑雯</t>
  </si>
  <si>
    <t>0937956005</t>
  </si>
  <si>
    <t>方便聯絡時段
下午 (13:00-17:00)
理想總價
360萬～450萬
City
Hanoi</t>
  </si>
  <si>
    <t>1600
桃園
新竹
小家庭 (合院)
115/9
8/8未接</t>
  </si>
  <si>
    <t>郭馨華</t>
  </si>
  <si>
    <t>0921870742</t>
  </si>
  <si>
    <t>方便聯絡時段
中午 (12:00-13:00)
理想總價
100萬～200萬
City
Zhubei</t>
  </si>
  <si>
    <t>有興趣 +LINE@
住：竹北
地：宜蘭
朋友建議他用這種快速的方式，比較不惹法律
8月的時間對不上，要安排9月來訪
(有藝術家ˇ的朋友)</t>
  </si>
  <si>
    <t>陳茂慶</t>
  </si>
  <si>
    <t>0952460953</t>
  </si>
  <si>
    <t>方便聯絡時段
中午 (12:00-13:00)
理想總價
450萬+
City
台南</t>
  </si>
  <si>
    <t>LINE@閱讀中</t>
  </si>
  <si>
    <t>Jeffrey Hsu</t>
  </si>
  <si>
    <t>0928367828</t>
  </si>
  <si>
    <t>吳震威</t>
  </si>
  <si>
    <t>0934370488</t>
  </si>
  <si>
    <t>方便聯絡時段
晚間 (17:00-21:00)
理想總價
50萬～100萬
City
新北</t>
  </si>
  <si>
    <t xml:space="preserve">王振祥
</t>
  </si>
  <si>
    <t>0963814867</t>
  </si>
  <si>
    <t>方便聯絡時段
晚間 (17:00-21:00)
理想總價
50萬～100萬
City
桃園市</t>
  </si>
  <si>
    <t>蘇嘉泉</t>
  </si>
  <si>
    <t>0987170878</t>
  </si>
  <si>
    <t>方便聯絡時段
晚間 (17:00-21:00)
理想總價
50萬～100萬
City
彰化縣</t>
  </si>
  <si>
    <t>左小姐</t>
  </si>
  <si>
    <t>0912215020</t>
  </si>
  <si>
    <t>家具 要購回？</t>
  </si>
  <si>
    <t>0931486085</t>
  </si>
  <si>
    <t>現場要來
已有LINE@ 但客戶自己似乎不清楚
資料 若確認8/7周午參訪一併告知</t>
  </si>
  <si>
    <t>0963193056</t>
  </si>
  <si>
    <t>參訪</t>
  </si>
  <si>
    <t>參訪：家人 or朋友
長輩的農地，想詢問能不能放
度假木屋
時間要再喬</t>
  </si>
  <si>
    <t>張穎儀</t>
  </si>
  <si>
    <t>0909858663</t>
  </si>
  <si>
    <t xml:space="preserve">
希望參訪的日期
8/5/2026</t>
  </si>
  <si>
    <t>住 雲林
基地 雲林
屬性? 休閒業 (遊牧單院)小家庭 (合院)
有LINE，有要預約，時間會再回復</t>
  </si>
  <si>
    <t>鄧昫慈</t>
  </si>
  <si>
    <t>0968377977</t>
  </si>
  <si>
    <t>預約
居住縣市
花蓮
欲規劃基地縣市
花蓮
您的屬性?
小家庭 (合院)
希望參訪的日期
2026/08/07</t>
  </si>
  <si>
    <t>已退休 (自己要住的，因為自己比較喜歡跟大自然一起的生活)
原本住在同位置的農舍中。
花蓮 吉安 農地 (已經有農舍)
有2-300坪還可以規劃
法規：知道不能合法了，但還是有想詢問 害怕
花蓮縣吉安鄉南華一街202號</t>
  </si>
  <si>
    <t>黃宥翔</t>
  </si>
  <si>
    <t>0910318449</t>
  </si>
  <si>
    <t>預約
居住 新北市三重區
基地 淡水，宜蘭，
屬性? 企業主 (合掌屋)
希望參訪的日期 九月份
-
"方便聯絡時段
晚間 (17:00-21:00)
理想總價
450萬+
City
Xinbei"</t>
  </si>
  <si>
    <t>蔡淑芬</t>
  </si>
  <si>
    <t>0933170240</t>
  </si>
  <si>
    <t>0919067858 蔡淑芬、蔡翼鴻
週六兒子可以參加(排
平日自己可以參加
有地的參觀
2026/08/07 18:00後
預計安排本周六早上10~11點看行動紅屋</t>
  </si>
  <si>
    <t>8/29 已額滿
先暫定9/5，晚上確認
有地參觀
週六兒子有空，參訪：自己+兒子</t>
  </si>
  <si>
    <t>蘇毓</t>
  </si>
  <si>
    <t>0973928756</t>
  </si>
  <si>
    <t>方便聯絡時段
晚間 (17:00-21:00)
理想總價
450萬+
City
高雄市</t>
  </si>
  <si>
    <t>Matt</t>
  </si>
  <si>
    <t>0976361868</t>
  </si>
  <si>
    <t>方便聯絡時段
晚間 (17:00-21:00)
理想總價
450萬+
City
台北市</t>
  </si>
  <si>
    <t>Line</t>
  </si>
  <si>
    <t>周先生</t>
  </si>
  <si>
    <t>0929011160</t>
  </si>
  <si>
    <t>參訪：朋友
住：高雄
有木屋小田園夢想，但還沒有實踐能力，先來參訪了解</t>
  </si>
  <si>
    <t>Gary張國良</t>
  </si>
  <si>
    <t>0928325818</t>
  </si>
  <si>
    <t>想了解細節，預約週六參觀</t>
  </si>
  <si>
    <t>地：屏東潮州，正在申請農舍許可，就算沒有申請到，也會選擇直接蓋
想要客製化約6x10M 高4米
參訪：2P</t>
  </si>
  <si>
    <t>盧毅殷</t>
  </si>
  <si>
    <t>0910007628</t>
  </si>
  <si>
    <t xml:space="preserve">已連絡        6/17        FB名單                                "有地的參觀
預計在 端午節連假中參訪."        是        子榕        6/17                3        "參訪：夫妻+小孩 (青少年)3P
目前還無基地，但夫妻倆很認真的再看各種廠商。
有這個夢想想要執行。"                                                                                                                </t>
  </si>
  <si>
    <t>請問 下週想去 參訪 星期幾會方便
住：新北市
地：花蓮縣
小家庭 (合院)
本週都可聯繫
8/11回LINE問8/19&amp;8/22
8/13 未接</t>
  </si>
  <si>
    <t>莊崇立</t>
  </si>
  <si>
    <t>0937510703</t>
  </si>
  <si>
    <t>宜蘭員山農地，有水電
想了解資材室可能性
住：台北
假日休閒的去處
宜蘭縣員山鄉雙連埤段412和411地號
緯經度:24.75025,121.62712
定位點：https://maps.app.goo.gl/ms74G7xNZUNzY8ws7</t>
  </si>
  <si>
    <t>羅予辰</t>
  </si>
  <si>
    <t>0927695956</t>
  </si>
  <si>
    <t>燦宇工程 水電，有來過？112</t>
  </si>
  <si>
    <t xml:space="preserve">住：新竹
基地：建地 屏東 佳冬(靠山 不淹水) 土地：父母的(帶父母來了解)
自己要長住用的
企業主 (合掌屋)
V8P(4大4小11.8.5.1y) 自己想看，姊姊也有興趣，土地是爸爸的一定要帶爸媽來
</t>
  </si>
  <si>
    <t>陳培榕</t>
  </si>
  <si>
    <t>0955845811</t>
  </si>
  <si>
    <t>富翌高爾夫
先生 李國宗 0905587557(後台留言)</t>
  </si>
  <si>
    <t>苗栗有地
參訪：夫妻
自己有蓋過房子，也覺得麻煩不想要監工
看到我們的木屋覺得不錯</t>
  </si>
  <si>
    <t>TEL</t>
  </si>
  <si>
    <t>徐雅雯</t>
  </si>
  <si>
    <t>0935153523</t>
  </si>
  <si>
    <t>桃園八德，近期剛過戶
土地：850+850(隔壁，一塊先生名字 一塊太太名字)
無水電(已請客戶快去申請)
道路勉強可會車
過戶完成想趕快施工。
桃園市八德區大安段547.547-2
相鄰的二塊地
緯經度:24.94521,121.31314
定位點：https://maps.app.goo.gl/UYrYzZLywnD8brRW9</t>
  </si>
  <si>
    <t>王小姐</t>
  </si>
  <si>
    <t>0939935994</t>
  </si>
  <si>
    <t>聽完資訊，不想先+LINE 要來再連絡
像有興趣又像沒興趣</t>
  </si>
  <si>
    <t>留國清</t>
  </si>
  <si>
    <t>0910036789</t>
  </si>
  <si>
    <t>可聯繫時間：貴公司上班時間皆可
4. 可否預約8月18日參訪？</t>
  </si>
  <si>
    <r>
      <rPr>
        <rFont val="Arial"/>
        <color theme="1"/>
      </rPr>
      <t xml:space="preserve">二訪，2-3年前
參訪：自己+朋友(朋友有興趣)
規劃：自己 有地／朋友也有想法
兩三年前有聽說廠勘費10萬
</t>
    </r>
    <r>
      <rPr>
        <rFont val="Arial"/>
        <color rgb="FFFF0000"/>
      </rPr>
      <t xml:space="preserve">土地非常山區，私人道路，要再跟客戶確認如何進入基地
</t>
    </r>
    <r>
      <rPr>
        <rFont val="Arial"/>
        <color theme="1"/>
      </rPr>
      <t xml:space="preserve">
新北市新店區新小坑段(0861)50-2地號
緯經度:24.91106,121.51241
定位點：https://maps.app.goo.gl/sufGXYDag7JyKm9G6</t>
    </r>
  </si>
  <si>
    <t>廖宇媗</t>
  </si>
  <si>
    <t>0968616635</t>
  </si>
  <si>
    <t>二訪
參訪：3P 家人
等加人看過後，現場再談
(講話很緊張&amp;急，很保護資訊，不願透露)</t>
  </si>
  <si>
    <t>張怡元</t>
  </si>
  <si>
    <t>0938308913</t>
  </si>
  <si>
    <t>住:大雅
預約參訪</t>
  </si>
  <si>
    <t>後台</t>
  </si>
  <si>
    <t>張稼稐 小姐</t>
  </si>
  <si>
    <t>0913919156</t>
  </si>
  <si>
    <t xml:space="preserve">	有地的參觀alice999156@yahoo.com.tw	0	0	希望預約8月22號</t>
  </si>
  <si>
    <t>參訪：2-3 家人
10月份 才有辦法安排
先+LINE@</t>
  </si>
  <si>
    <t>jan</t>
  </si>
  <si>
    <t>0919604152</t>
  </si>
  <si>
    <t>方便聯絡時段
晚間 (17:00-21:00)
理想總價
50萬～100萬
City
Chiayi</t>
  </si>
  <si>
    <t>劉慧如</t>
  </si>
  <si>
    <t>0935055072</t>
  </si>
  <si>
    <t>方便聯絡時段
上午 (09:00-12:00)
理想總價
50萬～100萬
City
Tainan</t>
  </si>
  <si>
    <t>目前只是看到有興趣，還沒有要來參訪，資訊未看
先+LINE@</t>
  </si>
  <si>
    <t>郭宸茵</t>
  </si>
  <si>
    <t>0982970788</t>
  </si>
  <si>
    <t>方便聯絡時段
上午 (09:00-12:00)
理想總價
50萬～100萬
City
台南市</t>
  </si>
  <si>
    <t>LINE@
看資料下午聯繫
有興趣
明日
8/22 未接</t>
  </si>
  <si>
    <t>Guangyan Jia</t>
  </si>
  <si>
    <t>0976780677</t>
  </si>
  <si>
    <t>夏美玲</t>
  </si>
  <si>
    <t>0932795327</t>
  </si>
  <si>
    <t>方便聯絡時段
下午 (13:00-17:00)
理想總價
360萬～450萬
City
Kaohsiung</t>
  </si>
  <si>
    <t>不排斥但
尚不想+LINE 參訪</t>
  </si>
  <si>
    <t>陳一心</t>
  </si>
  <si>
    <t>0919898499</t>
  </si>
  <si>
    <t>目前沒有想要往這方向投資</t>
  </si>
  <si>
    <t>方便聯絡時段
下午 (13:00-17:00)
理想總價
100萬～200萬
City
Taichung</t>
  </si>
  <si>
    <t>剛回國 忙碌中
重發簡訊，後面會再聯繫</t>
  </si>
  <si>
    <t>游先生</t>
  </si>
  <si>
    <t>0931191831</t>
  </si>
  <si>
    <t>方便聯絡時段
全天皆可
理想總價
200萬～360萬
City
Taoyüan</t>
  </si>
  <si>
    <t>Anna 陳小姐</t>
  </si>
  <si>
    <t>0932192702</t>
  </si>
  <si>
    <t>台北人，住三峽附近
本身有再看地覺得三峽這區有不錯的基地選擇
對於都市太擁擠壓力太大很有感</t>
  </si>
  <si>
    <t>蔡羽甄</t>
  </si>
  <si>
    <t>0972907531</t>
  </si>
  <si>
    <t>一接就掛</t>
  </si>
  <si>
    <t>管先生Oliver</t>
  </si>
  <si>
    <t>0912089961</t>
  </si>
  <si>
    <t>方便聯絡時段
下午 (13:00-17:00)
理想總價
360萬～450萬
Taipei</t>
  </si>
  <si>
    <t>烙英文
已加入LINE@ 看資料
8/21 未接</t>
  </si>
  <si>
    <t>Eric Tai
戴先生</t>
  </si>
  <si>
    <t>0424720018</t>
  </si>
  <si>
    <t>宏通建設股份有限公司
戴先生為董事長
公司電話，小姐接得，協助轉達</t>
  </si>
  <si>
    <t>林文旭</t>
  </si>
  <si>
    <t>0932603398</t>
  </si>
  <si>
    <t>方便聯絡時段
全天皆可
理想總價
200萬～360萬
City
彰化縣</t>
  </si>
  <si>
    <t>殯葬業
需求：招待所&amp;辦公室 (有提到觀光？是指 彰化藝術生命園區？)
土地，自己的基地，再彰化殯儀館旁邊
法規：擔心檢舉
有LINE@ 平日參訪
9月份的平日(因為工作時間很不一定，時間接近一點才能約</t>
  </si>
  <si>
    <t>李仕柏</t>
  </si>
  <si>
    <t>0916087155</t>
  </si>
  <si>
    <t>鄭羽璇</t>
  </si>
  <si>
    <t>0956072325</t>
  </si>
  <si>
    <t>開車中，準備+LINE
8/22 語音</t>
  </si>
  <si>
    <t>Joseph Chang張家聖</t>
  </si>
  <si>
    <t>0919190185</t>
  </si>
  <si>
    <t>方便聯絡時段
僅假日方便
理想總價
50萬～100萬
City
Kaohsiung</t>
  </si>
  <si>
    <t>王耀德</t>
  </si>
  <si>
    <t>0988952080</t>
  </si>
  <si>
    <r>
      <rPr>
        <rFont val="Arial"/>
        <color theme="1"/>
      </rPr>
      <t>二訪客,好幾年前參觀過
王先生一直很忙(打過去都在會議中)
請我們</t>
    </r>
    <r>
      <rPr>
        <rFont val="Arial"/>
        <color rgb="FFFF0000"/>
      </rPr>
      <t>聯絡蘇小姐約時間0926814060</t>
    </r>
  </si>
  <si>
    <t>3/18樸門團體,五位為朋友同好~蘇小姐&amp;王先生是夫妻~
本次參訪：自己+同學(另外有三位夥伴)
出錢：老師(夥伴中有認同也有反對挑戰)
第一階段居住：自己+爸爸也有興趣
土地：新北市 坪林 十幾甲(名字：爸爸+叔伯的)部分地為水保地(對生態比較嚴格)
要做一個自己的露營區 (公司 樸門露營)
理想目標：百棟木屋，租人、安裝雨水發電，(自己是人工智慧水質研究，準備要拿博士)
賣氫能源給toyota(日本技術)
評估過我們的房子對土地破壞性極小,較有力量去說服要投資的夥伴
說2024參觀時老闆也都講到會繞過去場堪基地~
後來都沒有下文(客戶換手機，當時是一位先生接洽)
也說過再次來不收取參觀費用(?)
統一編號（統編）　        90560453
公司名稱        樸門露營社會企業有限公司
代表人姓名        王耀德
公司所在地        桃園市大溪區仁善里仁善街208號四樓之5  
公司狀況        核准設立
資本總額(元)        100,000
8/15 R要擴大營運，會再帶更多的團體人一起參訪。有LINE 會自己事先預約</t>
  </si>
  <si>
    <t>張家聖</t>
  </si>
  <si>
    <t>814未接通1</t>
  </si>
  <si>
    <t>張瑞竹</t>
  </si>
  <si>
    <t>0932935883</t>
  </si>
  <si>
    <t>有地的參觀 (814未接通1)</t>
  </si>
  <si>
    <t>楊太太</t>
  </si>
  <si>
    <t>0955970070</t>
  </si>
  <si>
    <t>想參訪，預約日期 8/19or 9/12 確認中</t>
  </si>
  <si>
    <t>劉昆祐</t>
  </si>
  <si>
    <t>0976572030</t>
  </si>
  <si>
    <t>想參訪，幫老闆看得
老闆有想要自己的度假木屋
公司：北屯的營造商
劉先生是員工，作為第一線的接洽，若了解ok 會再安排老闆來訪。
劉先生本人老家在石岡
有問了一堆問題10問，(問起來很像同行)符合他說的營造業
9/12 六 看老闆有沒有要一起來 或老闆先來</t>
  </si>
  <si>
    <t>張雅貞</t>
  </si>
  <si>
    <t>0978216062</t>
  </si>
  <si>
    <t>太久才打電話過去，原本想約這周六
小生氣
以後再約</t>
  </si>
  <si>
    <t>徐曉陽</t>
  </si>
  <si>
    <t>0906689803</t>
  </si>
  <si>
    <t>住：宜蘭
地：宜蘭
屋：單院
參訪；2026.7.11</t>
  </si>
  <si>
    <t>7/11颱風日
住：宜蘭
地：宜蘭
屋：單院(單純想說自家旁邊有空地，放著來玩)
後來先生好像有打來(猜測)，還是很想要凹8/22參訪</t>
  </si>
  <si>
    <t xml:space="preserve"> 陳佑瑄</t>
  </si>
  <si>
    <t>0955867338</t>
  </si>
  <si>
    <t>3/10FB名單
有地的參觀
請問一個建地上面沒有建物，放行動木屋是合法的嗎？
9/5 有時段選擇嗎？當天剛好回去台中，但是早上有事情
請問這是我們會去參訪的地方嗎？
9/5 可以預約下午三大三小嗎？
請問行動木屋可以長住嗎？
家庭大型的東西很多，像平台鋼琴進得去嗎？
大約行動木屋的壽命是多久？
在宜蘭潮濕的地方適合嗎？</t>
  </si>
  <si>
    <t>剛買了一塊地，太太一頭熱(他自己說自己很夢想，要先生一起來實踐)
問先生時間
問9/12六
8/22提醒</t>
  </si>
  <si>
    <t>陳士新</t>
  </si>
  <si>
    <t>0911090915</t>
  </si>
  <si>
    <t>煮茶車 電爐損壞</t>
  </si>
  <si>
    <t>請客戶職洽RAFU 購買電陶爐更換</t>
  </si>
  <si>
    <t>陳姿妤</t>
  </si>
  <si>
    <t>0935301090</t>
  </si>
  <si>
    <t>晚上
這個離島的話預算要再多多少
請問你們木屋型態適合海島嗎？防潮、地震、抗颱效果如何？
可以安裝冷氣電視？</t>
  </si>
  <si>
    <t>問 很多問題
主要要住的是媽媽(媽媽決定)
地：金門 (離島)
老家，一回去就會10多天
很擔心海邊的影響
問9/12六 要否安排／</t>
  </si>
  <si>
    <t>馮正興</t>
  </si>
  <si>
    <t>0909632790</t>
  </si>
  <si>
    <t>可聯繫時間9點以後</t>
  </si>
  <si>
    <t>陶先生</t>
  </si>
  <si>
    <t>0988751762</t>
  </si>
  <si>
    <t>全天皆可100萬～200萬新北市</t>
  </si>
  <si>
    <t>有興趣
有收到簡訊，但不想療，自己研究一下，再連絡</t>
  </si>
  <si>
    <t>呂宗穎</t>
  </si>
  <si>
    <t>0935162666</t>
  </si>
  <si>
    <t>下午_(13:00-17:00)50萬～100萬Taoyüan</t>
  </si>
  <si>
    <t>空號</t>
  </si>
  <si>
    <t>Vajira Ling
法菱</t>
  </si>
  <si>
    <t>0922276451</t>
  </si>
  <si>
    <t>全天皆可50萬～100萬Taichung</t>
  </si>
  <si>
    <t>有學過一點 水土保持，知道紅屋的作法很穩固
關注自然紅屋很久一段時間(之前受傷來不了，現在可移動了)
因為土地一直找不到理想的，有想過頂樓加蓋(但心裡又知道這不是好選擇)
勸他 一定要先來
參訪：朋友 (不會在同一塊基地，只是兩者都有考慮)
屋款：最小單位 (做禪修房)
可平日 但最近還再忙 日期要9月底~10月初</t>
  </si>
  <si>
    <t>源源張</t>
  </si>
  <si>
    <t>0927572988</t>
  </si>
  <si>
    <t>下午_(13:00-17:00)50萬～100萬Hsinchu</t>
  </si>
  <si>
    <t>(照片看起來有點像黑道@@)
已+LINE@ 先看資訊
8/22 忙碌中LINE</t>
  </si>
  <si>
    <t>黃松光</t>
  </si>
  <si>
    <t>0918135656</t>
  </si>
  <si>
    <t>晚間_(17:00-21:00)450萬+桃園市</t>
  </si>
  <si>
    <t>洪薏雅</t>
  </si>
  <si>
    <t>0909716835</t>
  </si>
  <si>
    <t xml:space="preserve">中午_(12:00-13:00)200萬～360萬桃園市桃園區
</t>
  </si>
  <si>
    <t>已傳資料LINE@
週二三聯繫 平日白天Ok
無地，講到一半斷訊，後來就打不通了</t>
  </si>
  <si>
    <t>0988366298</t>
  </si>
  <si>
    <t>中午_(12:00-13:00)50萬～100萬Taipei</t>
  </si>
  <si>
    <t>還在評估中，自己看資訊，不願多說</t>
  </si>
  <si>
    <t>王榮輝</t>
  </si>
  <si>
    <t>0931871398</t>
  </si>
  <si>
    <t>僅假日方便50萬～100萬高雄市</t>
  </si>
  <si>
    <t>已+LINE@ 晚點才傳貼圖</t>
  </si>
  <si>
    <t>Elizabeth張小姐</t>
  </si>
  <si>
    <t>0935289952</t>
  </si>
  <si>
    <t>僅假日方便100萬～200萬Kaohsiung
請問你們是讓我們付租金還是包含土地和房子一起賣給我們？</t>
  </si>
  <si>
    <t>有說服要來台中參訪，
跟先生討論時間，搭大眾運輸(長途)
會先去高雄展覽看居林
有再找地
60坪的房子，現在小孩都大了，不需要這麼大的空間，希望可以住得比較溫馨
ㄓ歐六 9/12 9/26</t>
  </si>
  <si>
    <t>葉毓之</t>
  </si>
  <si>
    <t>0930921353</t>
  </si>
  <si>
    <t>下午_(13:00-17:00)100萬～200萬Tainan</t>
  </si>
  <si>
    <t>秦乙之</t>
  </si>
  <si>
    <t>0955368708</t>
  </si>
  <si>
    <t>帶小孩(4y 10y) 參訪，法規，什麼地目？</t>
  </si>
  <si>
    <t xml:space="preserve">還沒買地
住：烏日 自己的房子(還在還貸款中)
基地：尋找中 雲林古坑 長住
小孩要去雲林讀華德福(一住就10年)
資金：用現在的房子去做增貸(評估要買房子還是要蓋紅屋，因為300萬買到的房子也都舊舊的)
職業：先生 蓋房子的工地主任
</t>
  </si>
  <si>
    <t>陳志忠</t>
  </si>
  <si>
    <t>0977456945</t>
  </si>
  <si>
    <t>餐桌跟餐桌椅，現在上面都已經有褪色跟有一些小凹洞，請問你們有沒有可以幫忙協助重新處理表面</t>
  </si>
  <si>
    <t>柯小姐</t>
  </si>
  <si>
    <t>0922790510</t>
  </si>
  <si>
    <t>30年的老舊鋼構，辦公室，想要拆除換成新的，問：法規、辦公室可能性</t>
  </si>
  <si>
    <t>台南 公司
30年的老舊鋼構，辦公室，想要拆除換成新的，問：法規、辦公室可能性
柯小姐是經辦</t>
  </si>
  <si>
    <t>penny</t>
  </si>
  <si>
    <t>0988131299</t>
  </si>
  <si>
    <t>我們要做40呎，簡易餐廳日式風格，大概價錢</t>
  </si>
  <si>
    <t>要做餐廳，喜歡日式風格
原本再看40呎貨櫃，已告知不是貨櫃，且有許多細節設計
2-3位先來看 9/9三or9/12六</t>
  </si>
  <si>
    <t>0909632390</t>
  </si>
  <si>
    <t>可聯繫時間都ok 是要找木作工作</t>
  </si>
  <si>
    <t>家人幫忙應徵</t>
  </si>
  <si>
    <t>0909221059</t>
  </si>
  <si>
    <t>請問中壢有做嗎？</t>
  </si>
  <si>
    <t>建設公司
要做展售中心，問 如果不合法直接蓋可否?
(我???這你應該會比我更了解)</t>
  </si>
  <si>
    <t>張曼麗</t>
  </si>
  <si>
    <t>0936824369</t>
  </si>
  <si>
    <t>我是專門做公案的
我有一個使用單位要做一個警衛亭
巨迪企業有限公司
請和我聯絡</t>
  </si>
  <si>
    <t>知道找錯人了</t>
  </si>
  <si>
    <t>Lucia
鄧月馨</t>
  </si>
  <si>
    <t>0921845684</t>
  </si>
  <si>
    <t>晚間_(17:00-21:00)        100萬～200萬        台中市
有興趣，但剛好忙碌中
8/28 +LINE障礙
8/28未接</t>
  </si>
  <si>
    <t>要+LINE 未看到</t>
  </si>
  <si>
    <t>何斯凱</t>
  </si>
  <si>
    <t>0937813721</t>
  </si>
  <si>
    <t>上午_(09:00-12:00)50萬～100萬Taoyüan</t>
  </si>
  <si>
    <t>上午_(09:00-12:00)50萬～100萬鳥松區</t>
  </si>
  <si>
    <t>王志賢</t>
  </si>
  <si>
    <t>0910939268</t>
  </si>
  <si>
    <t>下午_(13:00-17:00)200萬～360萬桃園區</t>
  </si>
  <si>
    <t>Ju Hui Kuo
高小姐</t>
  </si>
  <si>
    <t>0953742122</t>
  </si>
  <si>
    <t>下午_(13:00-17:00)100萬～200萬Taipei
上班不方便看LINE 已傳mail
a2824635@ms49.hinet.net</t>
  </si>
  <si>
    <t>LINE 看資料中</t>
  </si>
  <si>
    <t>0905058365</t>
  </si>
  <si>
    <t>下午_(13:00-17:00)50萬～100萬Kaohsiung</t>
  </si>
  <si>
    <t>講話 有夠慢 重點亂繞
嫌貴，好像有規劃
農田裡面，電話20分鐘還在繞屋款很小的問題
比較：貨櫃屋、廉價組合屋</t>
  </si>
  <si>
    <t>張秀萍</t>
  </si>
  <si>
    <t>0970839772</t>
  </si>
  <si>
    <t xml:space="preserve">上午_(09:00-12:00)	50萬～100萬	Taoyüan
</t>
  </si>
  <si>
    <t>0912334906</t>
  </si>
  <si>
    <t xml:space="preserve">上午_(09:00-12:00)	50萬～100萬	台中市
</t>
  </si>
  <si>
    <t>農忙期，要忙完才有空來看
土地；和平區 種水果(最近在套袋)
問價格
10月</t>
  </si>
  <si>
    <t>0918688050</t>
  </si>
  <si>
    <t xml:space="preserve">下午_(13:00-17:00)	200萬～360萬	Zhubei
</t>
  </si>
  <si>
    <t>有興趣，有規劃
講到一半，突然說他在忙 會自行回電
土地：在看宜蘭的地
**待+LINE 未看到**</t>
  </si>
  <si>
    <t>黃先生Bernine</t>
  </si>
  <si>
    <t>0905197543</t>
  </si>
  <si>
    <t>下午_(13:00-17:00)        100萬～200萬        高雄市
明日聯繫，有興趣</t>
  </si>
  <si>
    <t>楊光中</t>
  </si>
  <si>
    <t>0939921007</t>
  </si>
  <si>
    <t xml:space="preserve">下午_(13:00-17:00)	100萬～200萬	新北市
</t>
  </si>
  <si>
    <t>許淑莉</t>
  </si>
  <si>
    <t>0980017113</t>
  </si>
  <si>
    <t>全天皆可        100萬～200萬        Taoyüan
正在講長途電話
講話很慢 有點結疤，中風？
正在找靠近北部的土地，希望有地上物
木屋 有興趣</t>
  </si>
  <si>
    <t>周三周五 有排課跟禪修，沒有空
目前還沒買地，有再看
10月週六 10/3 or 10/17</t>
  </si>
  <si>
    <t>阿真</t>
  </si>
  <si>
    <t>0931034003</t>
  </si>
  <si>
    <t>全天皆可        50萬～100萬        高雄市
在忙晚點加入</t>
  </si>
  <si>
    <t>Mike Zheng</t>
  </si>
  <si>
    <t>0921351347</t>
  </si>
  <si>
    <t>方便聯絡時段
全天皆可
理想總價
200萬～360萬
City
雲林縣</t>
  </si>
  <si>
    <t>最近時間排不出來，婉拒的態度</t>
  </si>
  <si>
    <t>黃祥登</t>
  </si>
  <si>
    <t>0911485128</t>
  </si>
  <si>
    <t xml:space="preserve">中午_(12:00-13:00)	50萬～100萬	台中市
</t>
  </si>
  <si>
    <t>開發案，康養中心+露營區
兩年內要完工?
LINE OK
在一兩個月後才會開始評估各個不同的木屋廠商</t>
  </si>
  <si>
    <t>潘仲茵</t>
  </si>
  <si>
    <t>0975349312</t>
  </si>
  <si>
    <t>狀　　態 已讀
詢問時間 2026-08-25 07:24:12
性　　別 女
來訪時間 週三
居住型態 企業主莊園
預　　算 200萬~360萬</t>
  </si>
  <si>
    <t>企業主莊園
預算 200-360萬</t>
  </si>
  <si>
    <t>莊忠進</t>
  </si>
  <si>
    <t>0939089000</t>
  </si>
  <si>
    <t>去年剛搬來台中，
以前有找過新竹峨嵋的基地
有在規劃中，還在看地，先來了解整個流程
參訪：夫妻+大女兒+孫女10y</t>
  </si>
  <si>
    <t>8/26 未接</t>
  </si>
  <si>
    <t>李雪</t>
  </si>
  <si>
    <t>0982708009</t>
  </si>
  <si>
    <t xml:space="preserve">下午_(13:00-17:00)	50萬～100萬	台南縣
</t>
  </si>
  <si>
    <t>董悅暐</t>
  </si>
  <si>
    <t>0938288511</t>
  </si>
  <si>
    <t>5/23有聯繫過
有規劃，再去電
比較各種組合屋中
有地的參觀
住:高雄
地：屏東
小家庭、休閒單院</t>
  </si>
  <si>
    <t>張詠茂</t>
  </si>
  <si>
    <t>0925829250</t>
  </si>
  <si>
    <t xml:space="preserve">下午_(13:00-17:00)	100萬～200萬	Taoyüan
</t>
  </si>
  <si>
    <t>FB</t>
  </si>
  <si>
    <t>鄭有志</t>
  </si>
  <si>
    <t>0912141399</t>
  </si>
  <si>
    <t>公司要遷址到高雄，已經找好廠房，3F高
租 (以後可能會買下)
自己打算要直接住在廠房內，看到我們的很喜歡
工作之餘要住好一點，且，若屋主不賣以後可能會搬遷
8/29 六 來不及 9月後續再約</t>
  </si>
  <si>
    <t>葉明文</t>
  </si>
  <si>
    <t>土地長41M寬40M在台中和平雪山坑
140萬可否規劃4房1廳2衛1廚</t>
  </si>
  <si>
    <t>0921173380</t>
  </si>
  <si>
    <t>性　　別 女
來訪時間 週五
居住型態 夫妻養生
預　　算 50萬~100萬</t>
  </si>
  <si>
    <t>問題很多
屋款：大單院 80多萬
跟先生討論週六時間
9/12</t>
  </si>
  <si>
    <t>黃尊爵</t>
  </si>
  <si>
    <t>0900782620</t>
  </si>
  <si>
    <t>公司名稱：喜客萊有限公司
位於台中市區，我們有一個空地想要放小木屋，裡面放高爾夫模擬器，寬約4.1公尺，長約8.8公尺，然後高需要3.3公尺，然後三組，另外再一組長2.1公尺，長7.4公尺的做洗手間與盥洗室，請問有辦法訂製嗎？謝謝</t>
  </si>
  <si>
    <t>目前只需要 一組長2.1公尺，長7.4公尺的做洗手間與盥洗室，如圖
&gt;有點像 陽光衛浴(重點了解)
黃經辦，要跟老闆約時間</t>
  </si>
  <si>
    <t>洪玉玲</t>
  </si>
  <si>
    <t>0972509825</t>
  </si>
  <si>
    <t>性　　別 男
來訪時間 週五
居住型態 夫妻養生
預　　算 200萬~360萬</t>
  </si>
  <si>
    <t>老家~ 王公、苑裡附近
機關用地，尚未過戶??  yes有權狀，指示未來政府若要徵收，會以市價買回，怕政府會注意或有問題，以後要可以移動
自己要住的
廠商：日式、行動房屋(覺得品質太差不喜歡)
9/18出國-9月底</t>
  </si>
  <si>
    <t>郭慧汝</t>
  </si>
  <si>
    <t>台北
宜蘭 OR 花蓮
小家庭 (合院)
115年</t>
  </si>
  <si>
    <t>黃麟雅</t>
  </si>
  <si>
    <t>0952322322</t>
  </si>
  <si>
    <t xml:space="preserve">全天皆可	200萬～360萬	Taipei
</t>
  </si>
  <si>
    <t>土地：新北樹林
本周剛好來台中想來看，時間搭不上以後再約</t>
  </si>
  <si>
    <t>蔣該麗</t>
  </si>
  <si>
    <t>0983711441</t>
  </si>
  <si>
    <t>全天皆可        100萬～200萬        屏東</t>
  </si>
  <si>
    <t>鄭伊婷</t>
  </si>
  <si>
    <t>05-2741515</t>
  </si>
  <si>
    <t>嘉義承億建設
承億文旅、承億飯店
最近有旅館案，想要參考紅屋</t>
  </si>
  <si>
    <t>林小甄</t>
  </si>
  <si>
    <t>0932272491</t>
  </si>
  <si>
    <t>僅假日方便        50萬～100萬        Taoyüan
有興趣</t>
  </si>
  <si>
    <t>卓承哲</t>
  </si>
  <si>
    <t>0989473509</t>
  </si>
  <si>
    <t>週六聯繫
8/25 2次表單</t>
  </si>
  <si>
    <t>平日6點後方便通話,不然就是周六
上班時間不方便電話
已告知有寄簡訊
屋款&amp;參訪資訊
8/29 電話不會響聲</t>
  </si>
  <si>
    <t>杜烏定 女士</t>
  </si>
  <si>
    <t>0936099026</t>
  </si>
  <si>
    <t xml:space="preserve">僅假日方便	50萬～100萬	新北市樹林區大義路
</t>
  </si>
  <si>
    <t>oscar Liao
廖先生</t>
  </si>
  <si>
    <t>0910169968</t>
  </si>
  <si>
    <t>下午_(13:00-17:00)        450萬+        Taipei</t>
  </si>
  <si>
    <t>江小姐</t>
  </si>
  <si>
    <t>0966663859</t>
  </si>
  <si>
    <t>RC住了20年漏水，再考慮要花大錢維修還是要搬家
因為鄰居已經變樣，不勝其擾
有找過許多廠商，認同要現場看
爸爸的農地，100坪，中壢
問9/19 9/26六</t>
  </si>
  <si>
    <t xml:space="preserve">早上10點過後
最近先生在生病在醫院中
</t>
  </si>
  <si>
    <t>都有接電話，但忙碌中，自己回電</t>
  </si>
  <si>
    <t>范姜復旺</t>
  </si>
  <si>
    <t>0932109803</t>
  </si>
  <si>
    <t>我想訂木造房屋</t>
  </si>
  <si>
    <t>A 兩年前已來過，但對於現在款式不太了解
居住：桃園新屋
基地：桃園新屋
地目：持分建地 76坪(總共700坪宗族地，不會有搶地問題因為其他都是已有房屋的) 無水電，但太太的地再旁邊也是持分，可以拉水電
夫妻同住</t>
  </si>
  <si>
    <t>黃韶蘭</t>
  </si>
  <si>
    <t>週三
夫妻養生
100萬~200萬</t>
  </si>
  <si>
    <t>職業：永慶房屋
住：桃園
地：大溪 老家的地(先生名字) 4分
不急，有興趣10月約</t>
  </si>
  <si>
    <t>洪宜蓁</t>
  </si>
  <si>
    <t>0982480856</t>
  </si>
  <si>
    <t>週六
夫妻養生
200萬~360萬</t>
  </si>
  <si>
    <t>工作關係只有二四日可預約
有想法但還沒時間
住：台中市</t>
  </si>
  <si>
    <t>杜梅花</t>
  </si>
  <si>
    <t>0962055359</t>
  </si>
  <si>
    <t>週五
夫妻養生
50萬~100萬</t>
  </si>
  <si>
    <t>蔡淑芳</t>
  </si>
  <si>
    <t>0936210994</t>
  </si>
  <si>
    <t>週三
夫妻養生
200萬~360萬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</si>
</sst>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"/>
    <numFmt numFmtId="165" formatCode="yyyy/m/d"/>
    <numFmt numFmtId="166" formatCode="yyyy/m"/>
    <numFmt numFmtId="167" formatCode="m-d"/>
  </numFmts>
  <fonts count="62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theme="1"/>
      <name val="Arial"/>
    </font>
    <font>
      <b/>
      <sz val="8.0"/>
      <color theme="1"/>
      <name val="Arial"/>
    </font>
    <font>
      <sz val="8.0"/>
      <color rgb="FFFFFFFF"/>
      <name val="Arial"/>
      <scheme val="minor"/>
    </font>
    <font>
      <b/>
      <sz val="8.0"/>
      <color theme="1"/>
      <name val="Microsoft JhengHei"/>
    </font>
    <font>
      <sz val="12.0"/>
      <color theme="1"/>
      <name val="Arial"/>
    </font>
    <font/>
    <font>
      <sz val="8.0"/>
      <color theme="1"/>
      <name val="Arial"/>
    </font>
    <font>
      <color rgb="FFFF0000"/>
      <name val="Arial"/>
      <scheme val="minor"/>
    </font>
    <font>
      <sz val="9.0"/>
      <color theme="1"/>
      <name val="Arial"/>
    </font>
    <font>
      <sz val="11.0"/>
      <color rgb="FF1C2B33"/>
      <name val="Arial"/>
    </font>
    <font>
      <b/>
      <color rgb="FF34A853"/>
      <name val="Arial"/>
    </font>
    <font>
      <sz val="11.0"/>
      <color rgb="FF1C2B33"/>
      <name val="Optimistic 95"/>
    </font>
    <font>
      <sz val="11.0"/>
      <color rgb="FF393939"/>
      <name val="Arial"/>
    </font>
    <font>
      <b/>
      <color rgb="FF000000"/>
      <name val="Arial"/>
    </font>
    <font>
      <color rgb="FFFF00FF"/>
      <name val="Arial"/>
      <scheme val="minor"/>
    </font>
    <font>
      <u/>
      <color rgb="FF0000FF"/>
    </font>
    <font>
      <sz val="11.0"/>
      <color rgb="FF393939"/>
      <name val="微軟正黑體"/>
    </font>
    <font>
      <sz val="12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2.0"/>
      <color rgb="FFFF0000"/>
      <name val="Arial"/>
    </font>
    <font>
      <sz val="12.0"/>
      <color rgb="FF1C2B33"/>
      <name val="Arial"/>
    </font>
    <font>
      <color rgb="FF1C2B33"/>
      <name val="Inherit"/>
    </font>
    <font>
      <u/>
      <color rgb="FF0000FF"/>
    </font>
    <font>
      <u/>
      <color rgb="FF0000FF"/>
    </font>
    <font>
      <color rgb="FFFF0000"/>
      <name val="Inherit"/>
    </font>
    <font>
      <color rgb="FF93C47D"/>
      <name val="Arial"/>
    </font>
    <font>
      <color rgb="FF93C47D"/>
      <name val="Arial"/>
      <scheme val="minor"/>
    </font>
    <font>
      <sz val="12.0"/>
      <color rgb="FF93C47D"/>
      <name val="Arial"/>
    </font>
    <font>
      <color rgb="FF93C47D"/>
      <name val="Inherit"/>
    </font>
    <font>
      <u/>
      <color rgb="FF1C2B33"/>
      <name val="Inherit"/>
    </font>
    <font>
      <color theme="1"/>
      <name val="Inherit"/>
    </font>
    <font>
      <color rgb="FF0000FF"/>
      <name val="Arial"/>
    </font>
    <font>
      <color rgb="FF0000FF"/>
      <name val="Arial"/>
      <scheme val="minor"/>
    </font>
    <font>
      <sz val="12.0"/>
      <color rgb="FF0000FF"/>
      <name val="Arial"/>
    </font>
    <font>
      <color rgb="FF0000FF"/>
      <name val="Inherit"/>
    </font>
    <font>
      <sz val="11.0"/>
      <color rgb="FF000624"/>
      <name val="Madefor"/>
    </font>
    <font>
      <color rgb="FF6AA84F"/>
      <name val="Arial"/>
    </font>
    <font>
      <color rgb="FF6AA84F"/>
      <name val="Arial"/>
      <scheme val="minor"/>
    </font>
    <font>
      <sz val="12.0"/>
      <color rgb="FF6AA84F"/>
      <name val="Arial"/>
    </font>
    <font>
      <color rgb="FF6AA84F"/>
      <name val="Inherit"/>
    </font>
    <font>
      <color theme="4"/>
      <name val="Arial"/>
      <scheme val="minor"/>
    </font>
    <font>
      <color theme="7"/>
      <name val="Arial"/>
      <scheme val="minor"/>
    </font>
    <font>
      <color rgb="FF34A853"/>
      <name val="Arial"/>
    </font>
    <font>
      <color rgb="FF34A853"/>
      <name val="Arial"/>
      <scheme val="minor"/>
    </font>
    <font>
      <sz val="12.0"/>
      <color rgb="FF34A853"/>
      <name val="Arial"/>
    </font>
    <font>
      <color rgb="FF34A853"/>
      <name val="Inherit"/>
    </font>
    <font>
      <color theme="4"/>
      <name val="Arial"/>
    </font>
    <font>
      <sz val="12.0"/>
      <color theme="4"/>
      <name val="Arial"/>
    </font>
    <font>
      <color theme="4"/>
      <name val="Inherit"/>
    </font>
    <font>
      <color rgb="FF4285F4"/>
      <name val="Arial"/>
    </font>
    <font>
      <color rgb="FF4285F4"/>
      <name val="Arial"/>
      <scheme val="minor"/>
    </font>
    <font>
      <color rgb="FF4285F4"/>
      <name val="Inherit"/>
    </font>
    <font>
      <color rgb="FFFF0000"/>
      <name val="Arial"/>
    </font>
    <font>
      <sz val="11.0"/>
      <color rgb="FF000624"/>
      <name val="Arial"/>
    </font>
    <font>
      <sz val="12.0"/>
      <color rgb="FF000000"/>
      <name val="&quot;Times New Roman&quot;"/>
    </font>
    <font>
      <sz val="12.0"/>
      <color rgb="FF000000"/>
      <name val="新細明體"/>
    </font>
    <font>
      <sz val="10.0"/>
      <color rgb="FF000000"/>
      <name val="新細明體"/>
    </font>
  </fonts>
  <fills count="2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FEFEF"/>
        <bgColor rgb="FFEFEFEF"/>
      </patternFill>
    </fill>
    <fill>
      <patternFill patternType="solid">
        <fgColor rgb="FFD9D2E9"/>
        <bgColor rgb="FFD9D2E9"/>
      </patternFill>
    </fill>
    <fill>
      <patternFill patternType="solid">
        <fgColor rgb="FFF1F1F1"/>
        <bgColor rgb="FFF1F1F1"/>
      </patternFill>
    </fill>
    <fill>
      <patternFill patternType="solid">
        <fgColor rgb="FFB4A7D6"/>
        <bgColor rgb="FFB4A7D6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6E6FE"/>
        <bgColor rgb="FFD6E6FE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8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 vertical="center"/>
    </xf>
    <xf borderId="0" fillId="2" fontId="3" numFmtId="0" xfId="0" applyAlignment="1" applyFill="1" applyFont="1">
      <alignment horizontal="center" readingOrder="0" vertical="bottom"/>
    </xf>
    <xf borderId="1" fillId="0" fontId="4" numFmtId="0" xfId="0" applyAlignment="1" applyBorder="1" applyFont="1">
      <alignment horizontal="center" shrinkToFit="0" vertical="center" wrapText="1"/>
    </xf>
    <xf borderId="0" fillId="2" fontId="1" numFmtId="0" xfId="0" applyFill="1" applyFont="1"/>
    <xf borderId="0" fillId="3" fontId="5" numFmtId="0" xfId="0" applyAlignment="1" applyFill="1" applyFont="1">
      <alignment readingOrder="0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0" fillId="3" fontId="2" numFmtId="0" xfId="0" applyAlignment="1" applyFill="1" applyFont="1">
      <alignment vertical="center"/>
    </xf>
    <xf borderId="1" fillId="0" fontId="7" numFmtId="49" xfId="0" applyAlignment="1" applyBorder="1" applyFont="1" applyNumberFormat="1">
      <alignment horizontal="center" readingOrder="0" vertical="center"/>
    </xf>
    <xf borderId="3" fillId="5" fontId="1" numFmtId="0" xfId="0" applyAlignment="1" applyBorder="1" applyFill="1" applyFont="1">
      <alignment horizontal="center" readingOrder="0" vertical="center"/>
    </xf>
    <xf borderId="4" fillId="0" fontId="8" numFmtId="0" xfId="0" applyBorder="1" applyFont="1"/>
    <xf borderId="5" fillId="0" fontId="8" numFmtId="0" xfId="0" applyBorder="1" applyFont="1"/>
    <xf borderId="6" fillId="6" fontId="1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horizontal="center" shrinkToFit="0" vertical="center" wrapText="1"/>
    </xf>
    <xf borderId="6" fillId="0" fontId="8" numFmtId="0" xfId="0" applyBorder="1" applyFont="1"/>
    <xf borderId="0" fillId="0" fontId="1" numFmtId="0" xfId="0" applyAlignment="1" applyFont="1">
      <alignment readingOrder="0" shrinkToFit="0" vertical="center" wrapText="1"/>
    </xf>
    <xf borderId="7" fillId="0" fontId="8" numFmtId="0" xfId="0" applyBorder="1" applyFont="1"/>
    <xf borderId="1" fillId="7" fontId="6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1" fillId="8" fontId="6" numFmtId="0" xfId="0" applyAlignment="1" applyBorder="1" applyFill="1" applyFont="1">
      <alignment horizontal="center" shrinkToFit="0" vertical="top" wrapText="1"/>
    </xf>
    <xf borderId="0" fillId="0" fontId="1" numFmtId="0" xfId="0" applyAlignment="1" applyFont="1">
      <alignment horizontal="center" readingOrder="0"/>
    </xf>
    <xf borderId="0" fillId="0" fontId="9" numFmtId="0" xfId="0" applyAlignment="1" applyFont="1">
      <alignment vertical="center"/>
    </xf>
    <xf borderId="0" fillId="0" fontId="10" numFmtId="0" xfId="0" applyAlignment="1" applyFont="1">
      <alignment readingOrder="0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0" fillId="2" fontId="1" numFmtId="0" xfId="0" applyAlignment="1" applyFill="1" applyFont="1">
      <alignment shrinkToFit="0" wrapText="1"/>
    </xf>
    <xf borderId="8" fillId="0" fontId="8" numFmtId="0" xfId="0" applyBorder="1" applyFont="1"/>
    <xf borderId="1" fillId="0" fontId="3" numFmtId="0" xfId="0" applyAlignment="1" applyBorder="1" applyFont="1">
      <alignment readingOrder="0" shrinkToFit="0" vertical="bottom" wrapText="1"/>
    </xf>
    <xf borderId="1" fillId="0" fontId="3" numFmtId="164" xfId="0" applyAlignment="1" applyBorder="1" applyFont="1" applyNumberFormat="1">
      <alignment horizontal="center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1" fillId="4" fontId="3" numFmtId="49" xfId="0" applyBorder="1" applyFill="1" applyFont="1" applyNumberFormat="1"/>
    <xf borderId="1" fillId="0" fontId="3" numFmtId="0" xfId="0" applyAlignment="1" applyBorder="1" applyFont="1">
      <alignment shrinkToFit="0" vertical="center" wrapText="1"/>
    </xf>
    <xf borderId="1" fillId="9" fontId="3" numFmtId="0" xfId="0" applyAlignment="1" applyBorder="1" applyFill="1" applyFont="1">
      <alignment horizontal="center" readingOrder="0" shrinkToFit="0" vertical="bottom" wrapText="1"/>
    </xf>
    <xf borderId="1" fillId="0" fontId="3" numFmtId="0" xfId="0" applyAlignment="1" applyBorder="1" applyFont="1">
      <alignment vertical="bottom"/>
    </xf>
    <xf borderId="9" fillId="0" fontId="1" numFmtId="0" xfId="0" applyAlignment="1" applyBorder="1" applyFont="1">
      <alignment shrinkToFit="0" vertical="center" wrapText="1"/>
    </xf>
    <xf borderId="1" fillId="10" fontId="3" numFmtId="0" xfId="0" applyAlignment="1" applyBorder="1" applyFill="1" applyFont="1">
      <alignment horizontal="center" readingOrder="0" shrinkToFit="0" vertical="bottom" wrapText="1"/>
    </xf>
    <xf borderId="9" fillId="0" fontId="1" numFmtId="0" xfId="0" applyAlignment="1" applyBorder="1" applyFont="1">
      <alignment readingOrder="0" shrinkToFit="0" vertical="center" wrapText="1"/>
    </xf>
    <xf borderId="1" fillId="4" fontId="3" numFmtId="49" xfId="0" applyAlignment="1" applyBorder="1" applyFill="1" applyFont="1" applyNumberFormat="1">
      <alignment vertical="bottom"/>
    </xf>
    <xf borderId="1" fillId="11" fontId="3" numFmtId="0" xfId="0" applyAlignment="1" applyBorder="1" applyFill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readingOrder="0" vertical="bottom"/>
    </xf>
    <xf borderId="0" fillId="12" fontId="2" numFmtId="0" xfId="0" applyAlignment="1" applyFill="1" applyFont="1">
      <alignment readingOrder="0" shrinkToFit="0" wrapText="1"/>
    </xf>
    <xf borderId="1" fillId="0" fontId="3" numFmtId="0" xfId="0" applyAlignment="1" applyBorder="1" applyFont="1">
      <alignment readingOrder="0" vertical="bottom"/>
    </xf>
    <xf borderId="0" fillId="10" fontId="1" numFmtId="0" xfId="0" applyAlignment="1" applyFill="1" applyFont="1">
      <alignment readingOrder="0" shrinkToFit="0" wrapText="1"/>
    </xf>
    <xf borderId="0" fillId="10" fontId="10" numFmtId="0" xfId="0" applyAlignment="1" applyFill="1" applyFont="1">
      <alignment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0" fillId="11" fontId="1" numFmtId="0" xfId="0" applyAlignment="1" applyFill="1" applyFont="1">
      <alignment shrinkToFit="0" wrapText="1"/>
    </xf>
    <xf borderId="0" fillId="11" fontId="1" numFmtId="0" xfId="0" applyAlignment="1" applyFill="1" applyFont="1">
      <alignment readingOrder="0" shrinkToFit="0" wrapText="1"/>
    </xf>
    <xf borderId="1" fillId="0" fontId="11" numFmtId="0" xfId="0" applyAlignment="1" applyBorder="1" applyFont="1">
      <alignment horizontal="center" shrinkToFit="0" vertical="bottom" wrapText="1"/>
    </xf>
    <xf borderId="0" fillId="0" fontId="1" numFmtId="0" xfId="0" applyAlignment="1" applyFont="1">
      <alignment shrinkToFit="0" wrapText="1"/>
    </xf>
    <xf borderId="1" fillId="0" fontId="3" numFmtId="164" xfId="0" applyAlignment="1" applyBorder="1" applyFont="1" applyNumberFormat="1">
      <alignment horizontal="center" shrinkToFit="0" wrapText="1"/>
    </xf>
    <xf borderId="0" fillId="10" fontId="1" numFmtId="0" xfId="0" applyAlignment="1" applyFill="1" applyFont="1">
      <alignment readingOrder="0" shrinkToFit="0" wrapText="0"/>
    </xf>
    <xf borderId="0" fillId="10" fontId="10" numFmtId="0" xfId="0" applyAlignment="1" applyFill="1" applyFont="1">
      <alignment readingOrder="0" shrinkToFit="0" wrapText="0"/>
    </xf>
    <xf borderId="1" fillId="4" fontId="3" numFmtId="49" xfId="0" applyAlignment="1" applyBorder="1" applyFill="1" applyFont="1" applyNumberFormat="1">
      <alignment shrinkToFit="0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shrinkToFit="0" vertical="bottom" wrapText="1"/>
    </xf>
    <xf borderId="1" fillId="4" fontId="3" numFmtId="49" xfId="0" applyAlignment="1" applyBorder="1" applyFill="1" applyFont="1" applyNumberFormat="1">
      <alignment shrinkToFit="0" vertical="bottom" wrapText="1"/>
    </xf>
    <xf borderId="1" fillId="0" fontId="3" numFmtId="164" xfId="0" applyAlignment="1" applyBorder="1" applyFont="1" applyNumberFormat="1">
      <alignment horizontal="center" shrinkToFit="0" vertical="bottom" wrapText="1"/>
    </xf>
    <xf borderId="1" fillId="0" fontId="3" numFmtId="164" xfId="0" applyAlignment="1" applyBorder="1" applyFont="1" applyNumberForma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shrinkToFit="0" vertical="top" wrapText="1"/>
    </xf>
    <xf borderId="1" fillId="0" fontId="1" numFmtId="165" xfId="0" applyAlignment="1" applyBorder="1" applyFont="1" applyNumberFormat="1">
      <alignment horizontal="center" readingOrder="0"/>
    </xf>
    <xf borderId="0" fillId="0" fontId="3" numFmtId="0" xfId="0" applyAlignment="1" applyFont="1">
      <alignment vertical="bottom"/>
    </xf>
    <xf borderId="1" fillId="4" fontId="3" numFmtId="49" xfId="0" applyAlignment="1" applyBorder="1" applyFill="1" applyFont="1" applyNumberFormat="1">
      <alignment readingOrder="0" shrinkToFit="0" vertical="bottom" wrapText="1"/>
    </xf>
    <xf borderId="1" fillId="0" fontId="3" numFmtId="164" xfId="0" applyAlignment="1" applyBorder="1" applyFont="1" applyNumberFormat="1">
      <alignment horizontal="center" readingOrder="0" shrinkToFit="0" vertical="bottom" wrapText="1"/>
    </xf>
    <xf borderId="10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/>
    </xf>
    <xf borderId="0" fillId="0" fontId="10" numFmtId="0" xfId="0" applyAlignment="1" applyFont="1">
      <alignment readingOrder="0" vertical="center"/>
    </xf>
    <xf borderId="11" fillId="0" fontId="1" numFmtId="0" xfId="0" applyAlignment="1" applyBorder="1" applyFont="1">
      <alignment readingOrder="0" shrinkToFit="0" vertical="center" wrapText="1"/>
    </xf>
    <xf borderId="1" fillId="2" fontId="3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readingOrder="0" shrinkToFit="0" vertical="center" wrapText="1"/>
    </xf>
    <xf borderId="9" fillId="0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horizontal="center" readingOrder="0" shrinkToFit="0" vertical="bottom" wrapText="1"/>
    </xf>
    <xf borderId="1" fillId="13" fontId="3" numFmtId="0" xfId="0" applyAlignment="1" applyBorder="1" applyFill="1" applyFont="1">
      <alignment horizontal="center" vertical="center"/>
    </xf>
    <xf borderId="1" fillId="13" fontId="12" numFmtId="0" xfId="0" applyAlignment="1" applyBorder="1" applyFill="1" applyFont="1">
      <alignment horizontal="left" shrinkToFit="0" vertical="center" wrapText="1"/>
    </xf>
    <xf borderId="1" fillId="0" fontId="13" numFmtId="0" xfId="0" applyAlignment="1" applyBorder="1" applyFont="1">
      <alignment horizontal="left" shrinkToFit="0" vertical="top" wrapText="1"/>
    </xf>
    <xf borderId="1" fillId="13" fontId="14" numFmtId="0" xfId="0" applyAlignment="1" applyBorder="1" applyFill="1" applyFont="1">
      <alignment horizontal="left" shrinkToFit="0" vertical="center" wrapText="1"/>
    </xf>
    <xf borderId="1" fillId="13" fontId="1" numFmtId="0" xfId="0" applyAlignment="1" applyBorder="1" applyFill="1" applyFont="1">
      <alignment horizontal="center" vertical="center"/>
    </xf>
    <xf borderId="1" fillId="2" fontId="12" numFmtId="0" xfId="0" applyAlignment="1" applyBorder="1" applyFill="1" applyFont="1">
      <alignment horizontal="left" shrinkToFit="0" vertical="center" wrapText="1"/>
    </xf>
    <xf borderId="1" fillId="13" fontId="1" numFmtId="9" xfId="0" applyAlignment="1" applyBorder="1" applyFill="1" applyFont="1" applyNumberFormat="1">
      <alignment horizontal="center" vertical="center"/>
    </xf>
    <xf borderId="1" fillId="14" fontId="15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readingOrder="0" vertical="center"/>
    </xf>
    <xf borderId="6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vertical="center"/>
    </xf>
    <xf borderId="1" fillId="2" fontId="1" numFmtId="9" xfId="0" applyAlignment="1" applyBorder="1" applyFill="1" applyFont="1" applyNumberFormat="1">
      <alignment horizontal="center" vertical="center"/>
    </xf>
    <xf borderId="9" fillId="0" fontId="1" numFmtId="0" xfId="0" applyAlignment="1" applyBorder="1" applyFont="1">
      <alignment vertical="center"/>
    </xf>
    <xf borderId="1" fillId="9" fontId="1" numFmtId="0" xfId="0" applyAlignment="1" applyBorder="1" applyFill="1" applyFont="1">
      <alignment horizontal="center" readingOrder="0"/>
    </xf>
    <xf borderId="9" fillId="0" fontId="1" numFmtId="0" xfId="0" applyAlignment="1" applyBorder="1" applyFont="1">
      <alignment readingOrder="0" vertical="center"/>
    </xf>
    <xf borderId="0" fillId="15" fontId="1" numFmtId="0" xfId="0" applyAlignment="1" applyFill="1" applyFont="1">
      <alignment horizontal="center" readingOrder="0"/>
    </xf>
    <xf borderId="0" fillId="15" fontId="1" numFmtId="9" xfId="0" applyAlignment="1" applyFill="1" applyFont="1" applyNumberFormat="1">
      <alignment horizontal="center"/>
    </xf>
    <xf borderId="1" fillId="2" fontId="14" numFmtId="0" xfId="0" applyAlignment="1" applyBorder="1" applyFill="1" applyFont="1">
      <alignment horizontal="left" shrinkToFit="0" vertical="center" wrapText="1"/>
    </xf>
    <xf borderId="1" fillId="16" fontId="15" numFmtId="0" xfId="0" applyAlignment="1" applyBorder="1" applyFill="1" applyFont="1">
      <alignment horizontal="left" shrinkToFit="0" vertical="center" wrapText="1"/>
    </xf>
    <xf borderId="1" fillId="17" fontId="15" numFmtId="49" xfId="0" applyAlignment="1" applyBorder="1" applyFill="1" applyFont="1" applyNumberFormat="1">
      <alignment shrinkToFit="0" wrapText="1"/>
    </xf>
    <xf borderId="0" fillId="0" fontId="1" numFmtId="0" xfId="0" applyFont="1"/>
    <xf borderId="0" fillId="0" fontId="1" numFmtId="166" xfId="0" applyAlignment="1" applyFont="1" applyNumberFormat="1">
      <alignment readingOrder="0" vertic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1" numFmtId="165" xfId="0" applyAlignment="1" applyFont="1" applyNumberFormat="1">
      <alignment readingOrder="0" vertical="center"/>
    </xf>
    <xf borderId="1" fillId="18" fontId="3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vertical="center" wrapText="1"/>
    </xf>
    <xf borderId="1" fillId="0" fontId="13" numFmtId="0" xfId="0" applyAlignment="1" applyBorder="1" applyFont="1">
      <alignment horizontal="left" readingOrder="0" shrinkToFit="0" vertical="top" wrapText="1"/>
    </xf>
    <xf borderId="0" fillId="0" fontId="1" numFmtId="164" xfId="0" applyFont="1" applyNumberFormat="1"/>
    <xf borderId="0" fillId="0" fontId="3" numFmtId="0" xfId="0" applyAlignment="1" applyFont="1">
      <alignment horizontal="left" shrinkToFit="0" vertical="center" wrapText="1"/>
    </xf>
    <xf borderId="1" fillId="0" fontId="3" numFmtId="164" xfId="0" applyAlignment="1" applyBorder="1" applyFont="1" applyNumberFormat="1">
      <alignment readingOrder="0" shrinkToFit="0" vertical="bottom" wrapText="1"/>
    </xf>
    <xf borderId="1" fillId="10" fontId="3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1" numFmtId="9" xfId="0" applyAlignment="1" applyFill="1" applyFont="1" applyNumberFormat="1">
      <alignment horizontal="center"/>
    </xf>
    <xf borderId="0" fillId="0" fontId="1" numFmtId="164" xfId="0" applyAlignment="1" applyFont="1" applyNumberFormat="1">
      <alignment horizontal="center" readingOrder="0"/>
    </xf>
    <xf borderId="1" fillId="4" fontId="3" numFmtId="49" xfId="0" applyAlignment="1" applyBorder="1" applyFill="1" applyFont="1" applyNumberFormat="1">
      <alignment horizontal="center"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2" fontId="12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center"/>
    </xf>
    <xf borderId="1" fillId="10" fontId="3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1" fillId="10" fontId="1" numFmtId="9" xfId="0" applyAlignment="1" applyBorder="1" applyFill="1" applyFont="1" applyNumberFormat="1">
      <alignment horizontal="center" vertical="center"/>
    </xf>
    <xf borderId="1" fillId="11" fontId="1" numFmtId="0" xfId="0" applyAlignment="1" applyBorder="1" applyFill="1" applyFont="1">
      <alignment horizontal="center" vertical="center"/>
    </xf>
    <xf borderId="1" fillId="11" fontId="1" numFmtId="9" xfId="0" applyAlignment="1" applyBorder="1" applyFill="1" applyFont="1" applyNumberFormat="1">
      <alignment horizontal="center" vertical="center"/>
    </xf>
    <xf borderId="0" fillId="0" fontId="1" numFmtId="164" xfId="0" applyAlignment="1" applyFont="1" applyNumberFormat="1">
      <alignment horizontal="center"/>
    </xf>
    <xf borderId="1" fillId="10" fontId="3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vertical="bottom"/>
    </xf>
    <xf borderId="1" fillId="2" fontId="3" numFmtId="0" xfId="0" applyAlignment="1" applyBorder="1" applyFill="1" applyFont="1">
      <alignment horizontal="center" vertical="center"/>
    </xf>
    <xf borderId="0" fillId="0" fontId="3" numFmtId="164" xfId="0" applyAlignment="1" applyFont="1" applyNumberFormat="1">
      <alignment readingOrder="0" vertical="bottom"/>
    </xf>
    <xf borderId="1" fillId="6" fontId="3" numFmtId="164" xfId="0" applyAlignment="1" applyBorder="1" applyFill="1" applyFont="1" applyNumberFormat="1">
      <alignment horizontal="center" shrinkToFit="0" wrapText="1"/>
    </xf>
    <xf borderId="1" fillId="6" fontId="3" numFmtId="49" xfId="0" applyAlignment="1" applyBorder="1" applyFill="1" applyFont="1" applyNumberFormat="1">
      <alignment shrinkToFit="0" wrapText="1"/>
    </xf>
    <xf borderId="1" fillId="6" fontId="3" numFmtId="0" xfId="0" applyAlignment="1" applyBorder="1" applyFill="1" applyFont="1">
      <alignment horizontal="left" shrinkToFit="0" vertical="center" wrapText="1"/>
    </xf>
    <xf borderId="1" fillId="6" fontId="3" numFmtId="49" xfId="0" applyAlignment="1" applyBorder="1" applyFill="1" applyFont="1" applyNumberFormat="1">
      <alignment shrinkToFit="0" vertical="bottom" wrapText="1"/>
    </xf>
    <xf borderId="1" fillId="6" fontId="3" numFmtId="164" xfId="0" applyAlignment="1" applyBorder="1" applyFill="1" applyFont="1" applyNumberFormat="1">
      <alignment horizontal="center" shrinkToFit="0" vertical="bottom" wrapText="1"/>
    </xf>
    <xf borderId="1" fillId="6" fontId="3" numFmtId="0" xfId="0" applyAlignment="1" applyBorder="1" applyFill="1" applyFont="1">
      <alignment horizontal="center" shrinkToFit="0" vertical="bottom" wrapText="1"/>
    </xf>
    <xf borderId="1" fillId="6" fontId="3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horizontal="center" vertical="bottom"/>
    </xf>
    <xf borderId="1" fillId="15" fontId="1" numFmtId="0" xfId="0" applyAlignment="1" applyBorder="1" applyFill="1" applyFont="1">
      <alignment horizontal="center" readingOrder="0"/>
    </xf>
    <xf borderId="0" fillId="2" fontId="16" numFmtId="0" xfId="0" applyAlignment="1" applyFill="1" applyFont="1">
      <alignment horizontal="left" readingOrder="0" vertical="bottom"/>
    </xf>
    <xf borderId="1" fillId="15" fontId="3" numFmtId="0" xfId="0" applyAlignment="1" applyBorder="1" applyFill="1" applyFont="1">
      <alignment horizontal="center" readingOrder="0" shrinkToFit="0" vertical="bottom" wrapText="1"/>
    </xf>
    <xf borderId="1" fillId="15" fontId="1" numFmtId="0" xfId="0" applyAlignment="1" applyBorder="1" applyFill="1" applyFont="1">
      <alignment horizontal="center" readingOrder="0" shrinkToFit="0" wrapText="1"/>
    </xf>
    <xf borderId="0" fillId="15" fontId="1" numFmtId="0" xfId="0" applyAlignment="1" applyFill="1" applyFont="1">
      <alignment horizontal="center" readingOrder="0" shrinkToFit="0" wrapText="1"/>
    </xf>
    <xf borderId="0" fillId="15" fontId="1" numFmtId="9" xfId="0" applyAlignment="1" applyFill="1" applyFont="1" applyNumberFormat="1">
      <alignment horizontal="center" shrinkToFit="0" wrapText="1"/>
    </xf>
    <xf borderId="0" fillId="0" fontId="1" numFmtId="164" xfId="0" applyAlignment="1" applyFont="1" applyNumberFormat="1">
      <alignment shrinkToFit="0" wrapText="1"/>
    </xf>
    <xf borderId="1" fillId="4" fontId="3" numFmtId="0" xfId="0" applyAlignment="1" applyBorder="1" applyFill="1" applyFont="1">
      <alignment horizontal="center" readingOrder="0" vertical="bottom"/>
    </xf>
    <xf borderId="1" fillId="4" fontId="3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horizontal="center"/>
    </xf>
    <xf borderId="1" fillId="15" fontId="3" numFmtId="0" xfId="0" applyAlignment="1" applyBorder="1" applyFill="1" applyFont="1">
      <alignment horizontal="center" vertical="bottom"/>
    </xf>
    <xf borderId="1" fillId="4" fontId="3" numFmtId="9" xfId="0" applyAlignment="1" applyBorder="1" applyFill="1" applyFont="1" applyNumberFormat="1">
      <alignment horizontal="center" vertical="bottom"/>
    </xf>
    <xf borderId="0" fillId="0" fontId="1" numFmtId="9" xfId="0" applyAlignment="1" applyFont="1" applyNumberFormat="1">
      <alignment horizontal="center"/>
    </xf>
    <xf borderId="0" fillId="13" fontId="12" numFmtId="0" xfId="0" applyAlignment="1" applyFill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1" fillId="0" fontId="3" numFmtId="9" xfId="0" applyAlignment="1" applyBorder="1" applyFont="1" applyNumberFormat="1">
      <alignment horizontal="center"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/>
    </xf>
    <xf borderId="1" fillId="2" fontId="3" numFmtId="9" xfId="0" applyAlignment="1" applyBorder="1" applyFill="1" applyFont="1" applyNumberFormat="1">
      <alignment horizontal="center" vertical="bottom"/>
    </xf>
    <xf borderId="0" fillId="0" fontId="17" numFmtId="0" xfId="0" applyAlignment="1" applyFont="1">
      <alignment horizontal="center" readingOrder="0"/>
    </xf>
    <xf borderId="0" fillId="0" fontId="17" numFmtId="0" xfId="0" applyFont="1"/>
    <xf borderId="0" fillId="0" fontId="17" numFmtId="0" xfId="0" applyAlignment="1" applyFont="1">
      <alignment readingOrder="0"/>
    </xf>
    <xf borderId="1" fillId="19" fontId="3" numFmtId="0" xfId="0" applyAlignment="1" applyBorder="1" applyFill="1" applyFont="1">
      <alignment horizontal="left" shrinkToFit="0" vertical="top" wrapText="1"/>
    </xf>
    <xf borderId="1" fillId="0" fontId="3" numFmtId="164" xfId="0" applyAlignment="1" applyBorder="1" applyFont="1" applyNumberFormat="1">
      <alignment readingOrder="0" shrinkToFit="0" wrapText="1"/>
    </xf>
    <xf borderId="1" fillId="4" fontId="3" numFmtId="49" xfId="0" applyAlignment="1" applyBorder="1" applyFill="1" applyFont="1" applyNumberFormat="1">
      <alignment readingOrder="0" shrinkToFit="0" wrapText="1"/>
    </xf>
    <xf borderId="1" fillId="0" fontId="1" numFmtId="164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20" fontId="3" numFmtId="0" xfId="0" applyAlignment="1" applyBorder="1" applyFill="1" applyFont="1">
      <alignment horizontal="center" readingOrder="0" vertical="bottom"/>
    </xf>
    <xf borderId="1" fillId="20" fontId="3" numFmtId="0" xfId="0" applyAlignment="1" applyBorder="1" applyFill="1" applyFont="1">
      <alignment horizontal="center" vertical="bottom"/>
    </xf>
    <xf borderId="1" fillId="20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left" readingOrder="0" shrinkToFit="0" vertical="center" wrapText="1"/>
    </xf>
    <xf borderId="0" fillId="14" fontId="15" numFmtId="0" xfId="0" applyAlignment="1" applyFill="1" applyFont="1">
      <alignment horizontal="left" shrinkToFit="0" vertical="center" wrapText="1"/>
    </xf>
    <xf borderId="1" fillId="20" fontId="3" numFmtId="9" xfId="0" applyAlignment="1" applyBorder="1" applyFill="1" applyFont="1" applyNumberFormat="1">
      <alignment horizontal="center" vertical="bottom"/>
    </xf>
    <xf borderId="1" fillId="2" fontId="3" numFmtId="0" xfId="0" applyAlignment="1" applyBorder="1" applyFill="1" applyFont="1">
      <alignment readingOrder="0" shrinkToFit="0" vertical="bottom" wrapText="1"/>
    </xf>
    <xf borderId="1" fillId="2" fontId="3" numFmtId="164" xfId="0" applyAlignment="1" applyBorder="1" applyFill="1" applyFont="1" applyNumberFormat="1">
      <alignment readingOrder="0" shrinkToFit="0" wrapText="1"/>
    </xf>
    <xf borderId="1" fillId="2" fontId="3" numFmtId="49" xfId="0" applyAlignment="1" applyBorder="1" applyFill="1" applyFont="1" applyNumberFormat="1">
      <alignment readingOrder="0" shrinkToFit="0" wrapText="1"/>
    </xf>
    <xf borderId="1" fillId="2" fontId="15" numFmtId="0" xfId="0" applyAlignment="1" applyBorder="1" applyFill="1" applyFont="1">
      <alignment horizontal="left" shrinkToFit="0" vertical="center" wrapText="1"/>
    </xf>
    <xf borderId="1" fillId="2" fontId="3" numFmtId="49" xfId="0" applyAlignment="1" applyBorder="1" applyFill="1" applyFont="1" applyNumberFormat="1">
      <alignment readingOrder="0" shrinkToFit="0" vertical="bottom" wrapText="1"/>
    </xf>
    <xf borderId="1" fillId="2" fontId="1" numFmtId="164" xfId="0" applyAlignment="1" applyBorder="1" applyFill="1" applyFont="1" applyNumberFormat="1">
      <alignment horizontal="center" readingOrder="0" shrinkToFit="0" wrapText="1"/>
    </xf>
    <xf borderId="1" fillId="2" fontId="1" numFmtId="0" xfId="0" applyAlignment="1" applyBorder="1" applyFill="1" applyFont="1">
      <alignment shrinkToFit="0" wrapText="1"/>
    </xf>
    <xf borderId="1" fillId="13" fontId="3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1" fillId="13" fontId="3" numFmtId="0" xfId="0" applyAlignment="1" applyBorder="1" applyFill="1" applyFont="1">
      <alignment horizontal="center" vertical="bottom"/>
    </xf>
    <xf borderId="1" fillId="13" fontId="1" numFmtId="0" xfId="0" applyAlignment="1" applyBorder="1" applyFill="1" applyFont="1">
      <alignment horizontal="center"/>
    </xf>
    <xf borderId="1" fillId="0" fontId="1" numFmtId="164" xfId="0" applyAlignment="1" applyBorder="1" applyFont="1" applyNumberForma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13" fontId="3" numFmtId="9" xfId="0" applyAlignment="1" applyBorder="1" applyFill="1" applyFont="1" applyNumberFormat="1">
      <alignment horizontal="center" vertical="bottom"/>
    </xf>
    <xf borderId="1" fillId="15" fontId="3" numFmtId="9" xfId="0" applyAlignment="1" applyBorder="1" applyFill="1" applyFont="1" applyNumberFormat="1">
      <alignment horizontal="center" readingOrder="0" shrinkToFit="0" vertical="bottom" wrapText="1"/>
    </xf>
    <xf borderId="1" fillId="2" fontId="3" numFmtId="9" xfId="0" applyAlignment="1" applyBorder="1" applyFill="1" applyFont="1" applyNumberFormat="1">
      <alignment horizontal="center" readingOrder="0" shrinkToFit="0" vertical="bottom" wrapText="1"/>
    </xf>
    <xf borderId="1" fillId="13" fontId="12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6" fontId="1" numFmtId="164" xfId="0" applyAlignment="1" applyBorder="1" applyFill="1" applyFont="1" applyNumberFormat="1">
      <alignment horizontal="center" readingOrder="0" shrinkToFit="0" wrapText="1"/>
    </xf>
    <xf borderId="1" fillId="6" fontId="3" numFmtId="49" xfId="0" applyAlignment="1" applyBorder="1" applyFill="1" applyFont="1" applyNumberFormat="1">
      <alignment horizontal="center" readingOrder="0" shrinkToFit="0" vertical="center" wrapText="1"/>
    </xf>
    <xf borderId="1" fillId="6" fontId="7" numFmtId="49" xfId="0" applyAlignment="1" applyBorder="1" applyFill="1" applyFont="1" applyNumberFormat="1">
      <alignment horizontal="center" readingOrder="0" shrinkToFit="0" vertical="center" wrapText="1"/>
    </xf>
    <xf borderId="1" fillId="6" fontId="3" numFmtId="49" xfId="0" applyAlignment="1" applyBorder="1" applyFill="1" applyFont="1" applyNumberFormat="1">
      <alignment horizontal="center" readingOrder="0" shrinkToFit="0" wrapText="1"/>
    </xf>
    <xf borderId="1" fillId="6" fontId="12" numFmtId="0" xfId="0" applyAlignment="1" applyBorder="1" applyFill="1" applyFont="1">
      <alignment horizontal="left" readingOrder="0" shrinkToFit="0" vertical="center" wrapText="1"/>
    </xf>
    <xf borderId="1" fillId="6" fontId="3" numFmtId="0" xfId="0" applyAlignment="1" applyBorder="1" applyFill="1" applyFont="1">
      <alignment readingOrder="0" shrinkToFit="0" vertical="bottom" wrapText="1"/>
    </xf>
    <xf borderId="1" fillId="6" fontId="3" numFmtId="49" xfId="0" applyAlignment="1" applyBorder="1" applyFill="1" applyFont="1" applyNumberFormat="1">
      <alignment readingOrder="0" shrinkToFit="0" vertical="bottom" wrapText="1"/>
    </xf>
    <xf borderId="1" fillId="6" fontId="1" numFmtId="0" xfId="0" applyAlignment="1" applyBorder="1" applyFill="1" applyFont="1">
      <alignment shrinkToFit="0" wrapText="1"/>
    </xf>
    <xf borderId="1" fillId="6" fontId="3" numFmtId="0" xfId="0" applyAlignment="1" applyBorder="1" applyFill="1" applyFont="1">
      <alignment horizontal="left" readingOrder="0" shrinkToFit="0" vertical="top" wrapText="1"/>
    </xf>
    <xf borderId="1" fillId="15" fontId="1" numFmtId="0" xfId="0" applyAlignment="1" applyBorder="1" applyFill="1" applyFont="1">
      <alignment horizontal="center"/>
    </xf>
    <xf borderId="1" fillId="4" fontId="3" numFmtId="49" xfId="0" applyAlignment="1" applyBorder="1" applyFill="1" applyFont="1" applyNumberFormat="1">
      <alignment horizontal="center" readingOrder="0" shrinkToFit="0" wrapText="1"/>
    </xf>
    <xf borderId="1" fillId="20" fontId="1" numFmtId="9" xfId="0" applyAlignment="1" applyBorder="1" applyFill="1" applyFont="1" applyNumberFormat="1">
      <alignment horizont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21" fontId="3" numFmtId="0" xfId="0" applyAlignment="1" applyBorder="1" applyFill="1" applyFont="1">
      <alignment horizontal="left" readingOrder="0" shrinkToFit="0" vertical="top" wrapText="1"/>
    </xf>
    <xf borderId="1" fillId="0" fontId="18" numFmtId="0" xfId="0" applyAlignment="1" applyBorder="1" applyFont="1">
      <alignment horizontal="left" readingOrder="0" shrinkToFit="0" vertical="top" wrapText="1"/>
    </xf>
    <xf borderId="1" fillId="0" fontId="3" numFmtId="49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horizontal="left" shrinkToFit="0" vertical="center" wrapText="1"/>
    </xf>
    <xf borderId="1" fillId="0" fontId="3" numFmtId="49" xfId="0" applyAlignment="1" applyBorder="1" applyFont="1" applyNumberFormat="1">
      <alignment readingOrder="0" shrinkToFit="0" vertical="bottom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4" fontId="3" numFmtId="49" xfId="0" applyAlignment="1" applyBorder="1" applyFill="1" applyFont="1" applyNumberFormat="1">
      <alignment readingOrder="0" vertical="bottom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4" fontId="3" numFmtId="49" xfId="0" applyAlignment="1" applyBorder="1" applyFill="1" applyFont="1" applyNumberFormat="1">
      <alignment readingOrder="0"/>
    </xf>
    <xf quotePrefix="1"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/>
    </xf>
    <xf borderId="1" fillId="10" fontId="1" numFmtId="0" xfId="0" applyAlignment="1" applyBorder="1" applyFill="1" applyFont="1">
      <alignment horizontal="left" readingOrder="0" shrinkToFit="0" vertical="top" wrapText="1"/>
    </xf>
    <xf borderId="1" fillId="11" fontId="3" numFmtId="0" xfId="0" applyAlignment="1" applyBorder="1" applyFill="1" applyFont="1">
      <alignment horizontal="center" vertical="bottom"/>
    </xf>
    <xf borderId="1" fillId="13" fontId="3" numFmtId="0" xfId="0" applyAlignment="1" applyBorder="1" applyFill="1" applyFont="1">
      <alignment readingOrder="0" shrinkToFit="0" vertical="bottom" wrapText="1"/>
    </xf>
    <xf borderId="1" fillId="19" fontId="7" numFmtId="49" xfId="0" applyAlignment="1" applyBorder="1" applyFill="1" applyFont="1" applyNumberFormat="1">
      <alignment horizontal="center" readingOrder="0" vertical="center"/>
    </xf>
    <xf borderId="1" fillId="13" fontId="1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readingOrder="0"/>
    </xf>
    <xf borderId="0" fillId="0" fontId="7" numFmtId="49" xfId="0" applyAlignment="1" applyFont="1" applyNumberFormat="1">
      <alignment horizontal="center" readingOrder="0" vertical="center"/>
    </xf>
    <xf borderId="0" fillId="4" fontId="3" numFmtId="49" xfId="0" applyAlignment="1" applyFill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bottom"/>
    </xf>
    <xf borderId="0" fillId="4" fontId="3" numFmtId="49" xfId="0" applyAlignment="1" applyFill="1" applyFont="1" applyNumberFormat="1">
      <alignment readingOrder="0" vertical="bottom"/>
    </xf>
    <xf borderId="0" fillId="0" fontId="1" numFmtId="0" xfId="0" applyAlignment="1" applyFont="1">
      <alignment horizontal="left" readingOrder="0" shrinkToFit="0" vertical="top" wrapText="1"/>
    </xf>
    <xf borderId="1" fillId="0" fontId="3" numFmtId="49" xfId="0" applyAlignment="1" applyBorder="1" applyFont="1" applyNumberFormat="1">
      <alignment readingOrder="0"/>
    </xf>
    <xf borderId="1" fillId="11" fontId="1" numFmtId="0" xfId="0" applyAlignment="1" applyBorder="1" applyFill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1" fillId="7" fontId="1" numFmtId="0" xfId="0" applyAlignment="1" applyBorder="1" applyFill="1" applyFont="1">
      <alignment horizontal="center"/>
    </xf>
    <xf borderId="1" fillId="7" fontId="1" numFmtId="0" xfId="0" applyAlignment="1" applyBorder="1" applyFill="1" applyFont="1">
      <alignment horizontal="center" readingOrder="0"/>
    </xf>
    <xf borderId="1" fillId="10" fontId="1" numFmtId="0" xfId="0" applyAlignment="1" applyBorder="1" applyFill="1" applyFont="1">
      <alignment horizontal="left" readingOrder="0" shrinkToFit="0" vertical="center" wrapText="1"/>
    </xf>
    <xf borderId="13" fillId="4" fontId="3" numFmtId="49" xfId="0" applyAlignment="1" applyBorder="1" applyFill="1" applyFont="1" applyNumberFormat="1">
      <alignment readingOrder="0"/>
    </xf>
    <xf borderId="1" fillId="22" fontId="19" numFmtId="49" xfId="0" applyAlignment="1" applyBorder="1" applyFill="1" applyFont="1" applyNumberFormat="1">
      <alignment readingOrder="0"/>
    </xf>
    <xf borderId="1" fillId="0" fontId="7" numFmtId="49" xfId="0" applyAlignment="1" applyBorder="1" applyFont="1" applyNumberFormat="1">
      <alignment horizontal="center" readingOrder="0" vertical="bottom"/>
    </xf>
    <xf borderId="1" fillId="0" fontId="20" numFmtId="0" xfId="0" applyAlignment="1" applyBorder="1" applyFont="1">
      <alignment horizontal="center" readingOrder="0" vertical="center"/>
    </xf>
    <xf borderId="1" fillId="0" fontId="20" numFmtId="49" xfId="0" applyAlignment="1" applyBorder="1" applyFont="1" applyNumberFormat="1">
      <alignment readingOrder="0"/>
    </xf>
    <xf borderId="1" fillId="0" fontId="21" numFmtId="0" xfId="0" applyAlignment="1" applyBorder="1" applyFont="1">
      <alignment horizontal="left" readingOrder="0" shrinkToFit="0" vertical="center" wrapText="1"/>
    </xf>
    <xf borderId="1" fillId="0" fontId="1" numFmtId="167" xfId="0" applyAlignment="1" applyBorder="1" applyFont="1" applyNumberFormat="1">
      <alignment readingOrder="0"/>
    </xf>
    <xf borderId="1" fillId="0" fontId="1" numFmtId="49" xfId="0" applyAlignment="1" applyBorder="1" applyFont="1" applyNumberForma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1" fillId="11" fontId="22" numFmtId="0" xfId="0" applyAlignment="1" applyBorder="1" applyFill="1" applyFont="1">
      <alignment readingOrder="0" shrinkToFit="0" wrapText="1"/>
    </xf>
    <xf borderId="1" fillId="0" fontId="20" numFmtId="49" xfId="0" applyAlignment="1" applyBorder="1" applyFont="1" applyNumberFormat="1">
      <alignment horizontal="center" readingOrder="0" vertical="center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top" wrapText="1"/>
    </xf>
    <xf borderId="1" fillId="11" fontId="23" numFmtId="0" xfId="0" applyAlignment="1" applyBorder="1" applyFill="1" applyFont="1">
      <alignment horizontal="left" readingOrder="0" shrinkToFit="0" vertical="center" wrapText="1"/>
    </xf>
    <xf borderId="1" fillId="11" fontId="1" numFmtId="0" xfId="0" applyAlignment="1" applyBorder="1" applyFill="1" applyFont="1">
      <alignment readingOrder="0" shrinkToFit="0" wrapText="1"/>
    </xf>
    <xf borderId="0" fillId="4" fontId="1" numFmtId="0" xfId="0" applyFill="1" applyFont="1"/>
    <xf borderId="0" fillId="22" fontId="1" numFmtId="0" xfId="0" applyFill="1" applyFont="1"/>
    <xf borderId="1" fillId="4" fontId="3" numFmtId="0" xfId="0" applyAlignment="1" applyBorder="1" applyFill="1" applyFont="1">
      <alignment readingOrder="0" shrinkToFit="0" vertical="bottom" wrapText="1"/>
    </xf>
    <xf borderId="1" fillId="4" fontId="1" numFmtId="164" xfId="0" applyAlignment="1" applyBorder="1" applyFill="1" applyFont="1" applyNumberFormat="1">
      <alignment readingOrder="0"/>
    </xf>
    <xf borderId="1" fillId="4" fontId="7" numFmtId="49" xfId="0" applyAlignment="1" applyBorder="1" applyFill="1" applyFont="1" applyNumberFormat="1">
      <alignment horizontal="center" readingOrder="0" vertical="center"/>
    </xf>
    <xf borderId="1" fillId="4" fontId="3" numFmtId="0" xfId="0" applyAlignment="1" applyBorder="1" applyFill="1" applyFont="1">
      <alignment vertical="bottom"/>
    </xf>
    <xf borderId="1" fillId="4" fontId="1" numFmtId="164" xfId="0" applyAlignment="1" applyBorder="1" applyFill="1" applyFont="1" applyNumberFormat="1">
      <alignment horizontal="center" readingOrder="0"/>
    </xf>
    <xf borderId="1" fillId="4" fontId="1" numFmtId="0" xfId="0" applyBorder="1" applyFill="1" applyFont="1"/>
    <xf borderId="1" fillId="4" fontId="1" numFmtId="0" xfId="0" applyAlignment="1" applyBorder="1" applyFill="1" applyFont="1">
      <alignment horizontal="left" readingOrder="0" shrinkToFit="0" vertical="top" wrapText="1"/>
    </xf>
    <xf borderId="1" fillId="22" fontId="3" numFmtId="0" xfId="0" applyAlignment="1" applyBorder="1" applyFill="1" applyFont="1">
      <alignment readingOrder="0" shrinkToFit="0" vertical="bottom" wrapText="1"/>
    </xf>
    <xf borderId="1" fillId="22" fontId="1" numFmtId="164" xfId="0" applyAlignment="1" applyBorder="1" applyFill="1" applyFont="1" applyNumberFormat="1">
      <alignment readingOrder="0"/>
    </xf>
    <xf borderId="1" fillId="22" fontId="7" numFmtId="49" xfId="0" applyAlignment="1" applyBorder="1" applyFill="1" applyFont="1" applyNumberFormat="1">
      <alignment horizontal="center" readingOrder="0" shrinkToFit="0" vertical="center" wrapText="1"/>
    </xf>
    <xf borderId="1" fillId="22" fontId="3" numFmtId="49" xfId="0" applyAlignment="1" applyBorder="1" applyFill="1" applyFont="1" applyNumberFormat="1">
      <alignment readingOrder="0"/>
    </xf>
    <xf borderId="1" fillId="22" fontId="1" numFmtId="0" xfId="0" applyAlignment="1" applyBorder="1" applyFill="1" applyFont="1">
      <alignment horizontal="left" readingOrder="0" shrinkToFit="0" vertical="center" wrapText="1"/>
    </xf>
    <xf borderId="1" fillId="22" fontId="3" numFmtId="0" xfId="0" applyAlignment="1" applyBorder="1" applyFill="1" applyFont="1">
      <alignment vertical="bottom"/>
    </xf>
    <xf borderId="1" fillId="22" fontId="3" numFmtId="49" xfId="0" applyAlignment="1" applyBorder="1" applyFill="1" applyFont="1" applyNumberFormat="1">
      <alignment readingOrder="0" vertical="bottom"/>
    </xf>
    <xf borderId="1" fillId="22" fontId="1" numFmtId="164" xfId="0" applyAlignment="1" applyBorder="1" applyFill="1" applyFont="1" applyNumberFormat="1">
      <alignment horizontal="center" readingOrder="0"/>
    </xf>
    <xf borderId="1" fillId="22" fontId="1" numFmtId="0" xfId="0" applyAlignment="1" applyBorder="1" applyFill="1" applyFont="1">
      <alignment readingOrder="0"/>
    </xf>
    <xf borderId="1" fillId="22" fontId="1" numFmtId="0" xfId="0" applyAlignment="1" applyBorder="1" applyFill="1" applyFont="1">
      <alignment horizontal="left" readingOrder="0" shrinkToFit="0" vertical="top" wrapText="1"/>
    </xf>
    <xf borderId="1" fillId="4" fontId="1" numFmtId="0" xfId="0" applyAlignment="1" applyBorder="1" applyFill="1" applyFont="1">
      <alignment readingOrder="0" shrinkToFit="0" wrapText="1"/>
    </xf>
    <xf borderId="1" fillId="4" fontId="1" numFmtId="0" xfId="0" applyAlignment="1" applyBorder="1" applyFill="1" applyFont="1">
      <alignment readingOrder="0"/>
    </xf>
    <xf borderId="1" fillId="0" fontId="3" numFmtId="49" xfId="0" applyAlignment="1" applyBorder="1" applyFont="1" applyNumberFormat="1">
      <alignment readingOrder="0" vertical="bottom"/>
    </xf>
    <xf borderId="0" fillId="11" fontId="3" numFmtId="0" xfId="0" applyAlignment="1" applyFill="1" applyFont="1">
      <alignment readingOrder="0" shrinkToFit="0" vertical="bottom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 vertical="bottom"/>
    </xf>
    <xf borderId="1" fillId="4" fontId="3" numFmtId="49" xfId="0" applyAlignment="1" applyBorder="1" applyFill="1" applyFont="1" applyNumberForma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vertical="bottom"/>
    </xf>
    <xf borderId="0" fillId="11" fontId="1" numFmtId="0" xfId="0" applyFill="1" applyFont="1"/>
    <xf borderId="1" fillId="11" fontId="1" numFmtId="0" xfId="0" applyAlignment="1" applyBorder="1" applyFill="1" applyFont="1">
      <alignment readingOrder="0"/>
    </xf>
    <xf borderId="1" fillId="11" fontId="1" numFmtId="164" xfId="0" applyAlignment="1" applyBorder="1" applyFill="1" applyFont="1" applyNumberFormat="1">
      <alignment readingOrder="0"/>
    </xf>
    <xf borderId="1" fillId="11" fontId="7" numFmtId="49" xfId="0" applyAlignment="1" applyBorder="1" applyFill="1" applyFont="1" applyNumberFormat="1">
      <alignment horizontal="center" readingOrder="0" vertical="center"/>
    </xf>
    <xf borderId="1" fillId="11" fontId="3" numFmtId="49" xfId="0" applyAlignment="1" applyBorder="1" applyFill="1" applyFont="1" applyNumberFormat="1">
      <alignment readingOrder="0"/>
    </xf>
    <xf borderId="1" fillId="11" fontId="3" numFmtId="0" xfId="0" applyAlignment="1" applyBorder="1" applyFill="1" applyFont="1">
      <alignment readingOrder="0" shrinkToFit="0" vertical="bottom" wrapText="1"/>
    </xf>
    <xf borderId="1" fillId="11" fontId="3" numFmtId="0" xfId="0" applyAlignment="1" applyBorder="1" applyFill="1" applyFont="1">
      <alignment readingOrder="0" vertical="bottom"/>
    </xf>
    <xf borderId="1" fillId="11" fontId="3" numFmtId="49" xfId="0" applyAlignment="1" applyBorder="1" applyFill="1" applyFont="1" applyNumberFormat="1">
      <alignment readingOrder="0" vertical="bottom"/>
    </xf>
    <xf borderId="1" fillId="11" fontId="1" numFmtId="164" xfId="0" applyAlignment="1" applyBorder="1" applyFill="1" applyFont="1" applyNumberFormat="1">
      <alignment horizontal="center" readingOrder="0"/>
    </xf>
    <xf borderId="1" fillId="11" fontId="1" numFmtId="0" xfId="0" applyBorder="1" applyFill="1" applyFont="1"/>
    <xf borderId="1" fillId="13" fontId="3" numFmtId="0" xfId="0" applyAlignment="1" applyBorder="1" applyFill="1" applyFont="1">
      <alignment horizontal="left" shrinkToFit="0" vertical="center" wrapText="1"/>
    </xf>
    <xf borderId="1" fillId="0" fontId="24" numFmtId="49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shrinkToFit="0" vertical="bottom" wrapText="1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ill="1" applyFont="1">
      <alignment readingOrder="0"/>
    </xf>
    <xf borderId="0" fillId="4" fontId="25" numFmtId="49" xfId="0" applyAlignment="1" applyFill="1" applyFont="1" applyNumberFormat="1">
      <alignment readingOrder="0"/>
    </xf>
    <xf borderId="1" fillId="10" fontId="1" numFmtId="0" xfId="0" applyAlignment="1" applyBorder="1" applyFill="1" applyFont="1">
      <alignment readingOrder="0"/>
    </xf>
    <xf borderId="1" fillId="0" fontId="10" numFmtId="0" xfId="0" applyAlignment="1" applyBorder="1" applyFont="1">
      <alignment readingOrder="0"/>
    </xf>
    <xf borderId="1" fillId="11" fontId="3" numFmtId="0" xfId="0" applyAlignment="1" applyBorder="1" applyFill="1" applyFont="1">
      <alignment horizontal="center" readingOrder="0" shrinkToFit="0" vertical="center" wrapText="1"/>
    </xf>
    <xf borderId="0" fillId="2" fontId="3" numFmtId="0" xfId="0" applyAlignment="1" applyFill="1" applyFont="1">
      <alignment readingOrder="0" shrinkToFit="0" vertical="bottom" wrapText="1"/>
    </xf>
    <xf borderId="1" fillId="2" fontId="1" numFmtId="164" xfId="0" applyAlignment="1" applyBorder="1" applyFill="1" applyFont="1" applyNumberForma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7" numFmtId="49" xfId="0" applyAlignment="1" applyBorder="1" applyFill="1" applyFont="1" applyNumberFormat="1">
      <alignment horizontal="center" readingOrder="0" vertical="center"/>
    </xf>
    <xf borderId="1" fillId="2" fontId="3" numFmtId="49" xfId="0" applyAlignment="1" applyBorder="1" applyFill="1" applyFont="1" applyNumberFormat="1">
      <alignment readingOrder="0"/>
    </xf>
    <xf borderId="1" fillId="2" fontId="3" numFmtId="0" xfId="0" applyAlignment="1" applyBorder="1" applyFill="1" applyFont="1">
      <alignment readingOrder="0" vertical="bottom"/>
    </xf>
    <xf borderId="1" fillId="2" fontId="3" numFmtId="49" xfId="0" applyAlignment="1" applyBorder="1" applyFill="1" applyFont="1" applyNumberFormat="1">
      <alignment readingOrder="0" vertical="bottom"/>
    </xf>
    <xf borderId="1" fillId="2" fontId="1" numFmtId="164" xfId="0" applyAlignment="1" applyBorder="1" applyFill="1" applyFont="1" applyNumberFormat="1">
      <alignment horizontal="center" readingOrder="0"/>
    </xf>
    <xf borderId="1" fillId="2" fontId="1" numFmtId="0" xfId="0" applyBorder="1" applyFill="1" applyFont="1"/>
    <xf quotePrefix="1" borderId="1" fillId="0" fontId="1" numFmtId="0" xfId="0" applyAlignment="1" applyBorder="1" applyFont="1">
      <alignment readingOrder="0"/>
    </xf>
    <xf borderId="10" fillId="0" fontId="1" numFmtId="164" xfId="0" applyAlignment="1" applyBorder="1" applyFont="1" applyNumberFormat="1">
      <alignment readingOrder="0"/>
    </xf>
    <xf borderId="10" fillId="0" fontId="3" numFmtId="0" xfId="0" applyAlignment="1" applyBorder="1" applyFont="1">
      <alignment horizontal="center" readingOrder="0" shrinkToFit="0" vertical="center" wrapText="1"/>
    </xf>
    <xf borderId="10" fillId="0" fontId="7" numFmtId="49" xfId="0" applyAlignment="1" applyBorder="1" applyFont="1" applyNumberFormat="1">
      <alignment horizontal="center" readingOrder="0" vertical="center"/>
    </xf>
    <xf borderId="10" fillId="4" fontId="3" numFmtId="49" xfId="0" applyAlignment="1" applyBorder="1" applyFill="1" applyFont="1" applyNumberFormat="1">
      <alignment readingOrder="0"/>
    </xf>
    <xf borderId="10" fillId="0" fontId="3" numFmtId="0" xfId="0" applyAlignment="1" applyBorder="1" applyFont="1">
      <alignment readingOrder="0" shrinkToFit="0" vertical="bottom" wrapText="1"/>
    </xf>
    <xf borderId="10" fillId="0" fontId="3" numFmtId="0" xfId="0" applyAlignment="1" applyBorder="1" applyFont="1">
      <alignment readingOrder="0" vertical="bottom"/>
    </xf>
    <xf borderId="10" fillId="4" fontId="3" numFmtId="49" xfId="0" applyAlignment="1" applyBorder="1" applyFill="1" applyFont="1" applyNumberFormat="1">
      <alignment readingOrder="0" vertical="bottom"/>
    </xf>
    <xf borderId="10" fillId="0" fontId="1" numFmtId="164" xfId="0" applyAlignment="1" applyBorder="1" applyFont="1" applyNumberFormat="1">
      <alignment horizontal="center" readingOrder="0"/>
    </xf>
    <xf borderId="10" fillId="0" fontId="1" numFmtId="0" xfId="0" applyBorder="1" applyFont="1"/>
    <xf borderId="10" fillId="0" fontId="1" numFmtId="0" xfId="0" applyAlignment="1" applyBorder="1" applyFont="1">
      <alignment readingOrder="0"/>
    </xf>
    <xf borderId="12" fillId="0" fontId="1" numFmtId="164" xfId="0" applyAlignment="1" applyBorder="1" applyFont="1" applyNumberFormat="1">
      <alignment readingOrder="0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7" numFmtId="49" xfId="0" applyAlignment="1" applyBorder="1" applyFont="1" applyNumberFormat="1">
      <alignment horizontal="center" readingOrder="0" vertical="center"/>
    </xf>
    <xf borderId="12" fillId="4" fontId="3" numFmtId="49" xfId="0" applyAlignment="1" applyBorder="1" applyFill="1" applyFont="1" applyNumberFormat="1">
      <alignment readingOrder="0"/>
    </xf>
    <xf borderId="0" fillId="4" fontId="26" numFmtId="0" xfId="0" applyAlignment="1" applyFill="1" applyFont="1">
      <alignment readingOrder="0" shrinkToFit="0" wrapText="1"/>
    </xf>
    <xf borderId="12" fillId="0" fontId="3" numFmtId="0" xfId="0" applyAlignment="1" applyBorder="1" applyFont="1">
      <alignment readingOrder="0" vertical="bottom"/>
    </xf>
    <xf borderId="12" fillId="4" fontId="3" numFmtId="49" xfId="0" applyAlignment="1" applyBorder="1" applyFill="1" applyFont="1" applyNumberFormat="1">
      <alignment readingOrder="0" vertical="bottom"/>
    </xf>
    <xf borderId="12" fillId="0" fontId="1" numFmtId="164" xfId="0" applyAlignment="1" applyBorder="1" applyFont="1" applyNumberFormat="1">
      <alignment horizontal="center" readingOrder="0"/>
    </xf>
    <xf borderId="12" fillId="0" fontId="1" numFmtId="0" xfId="0" applyBorder="1" applyFont="1"/>
    <xf borderId="12" fillId="0" fontId="1" numFmtId="0" xfId="0" applyAlignment="1" applyBorder="1" applyFont="1">
      <alignment readingOrder="0"/>
    </xf>
    <xf borderId="1" fillId="2" fontId="26" numFmtId="0" xfId="0" applyAlignment="1" applyBorder="1" applyFill="1" applyFont="1">
      <alignment readingOrder="0" shrinkToFit="0" wrapText="1"/>
    </xf>
    <xf borderId="1" fillId="0" fontId="26" numFmtId="0" xfId="0" applyAlignment="1" applyBorder="1" applyFont="1">
      <alignment readingOrder="0" shrinkToFit="0" wrapText="1"/>
    </xf>
    <xf borderId="1" fillId="4" fontId="26" numFmtId="0" xfId="0" applyAlignment="1" applyBorder="1" applyFill="1" applyFont="1">
      <alignment readingOrder="0" shrinkToFit="0" wrapText="1"/>
    </xf>
    <xf quotePrefix="1" borderId="1" fillId="2" fontId="26" numFmtId="0" xfId="0" applyAlignment="1" applyBorder="1" applyFill="1" applyFont="1">
      <alignment readingOrder="0" shrinkToFit="0" wrapText="1"/>
    </xf>
    <xf borderId="1" fillId="11" fontId="26" numFmtId="0" xfId="0" applyAlignment="1" applyBorder="1" applyFill="1" applyFont="1">
      <alignment readingOrder="0" shrinkToFit="0" wrapText="1"/>
    </xf>
    <xf borderId="1" fillId="11" fontId="27" numFmtId="0" xfId="0" applyAlignment="1" applyBorder="1" applyFill="1" applyFont="1">
      <alignment readingOrder="0"/>
    </xf>
    <xf borderId="1" fillId="0" fontId="28" numFmtId="0" xfId="0" applyAlignment="1" applyBorder="1" applyFont="1">
      <alignment readingOrder="0" shrinkToFit="0" wrapText="1"/>
    </xf>
    <xf borderId="1" fillId="4" fontId="29" numFmtId="0" xfId="0" applyAlignment="1" applyBorder="1" applyFill="1" applyFont="1">
      <alignment readingOrder="0" shrinkToFit="0" wrapText="1"/>
    </xf>
    <xf borderId="0" fillId="0" fontId="30" numFmtId="0" xfId="0" applyAlignment="1" applyFont="1">
      <alignment readingOrder="0" shrinkToFit="0" vertical="bottom" wrapText="1"/>
    </xf>
    <xf borderId="1" fillId="0" fontId="31" numFmtId="164" xfId="0" applyAlignment="1" applyBorder="1" applyFont="1" applyNumberFormat="1">
      <alignment readingOrder="0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2" numFmtId="49" xfId="0" applyAlignment="1" applyBorder="1" applyFont="1" applyNumberFormat="1">
      <alignment horizontal="center" readingOrder="0" vertical="center"/>
    </xf>
    <xf borderId="1" fillId="4" fontId="30" numFmtId="49" xfId="0" applyAlignment="1" applyBorder="1" applyFill="1" applyFont="1" applyNumberFormat="1">
      <alignment readingOrder="0"/>
    </xf>
    <xf borderId="1" fillId="4" fontId="33" numFmtId="0" xfId="0" applyAlignment="1" applyBorder="1" applyFill="1" applyFont="1">
      <alignment readingOrder="0" shrinkToFit="0" wrapText="1"/>
    </xf>
    <xf borderId="1" fillId="0" fontId="30" numFmtId="0" xfId="0" applyAlignment="1" applyBorder="1" applyFont="1">
      <alignment readingOrder="0" vertical="bottom"/>
    </xf>
    <xf borderId="1" fillId="4" fontId="30" numFmtId="49" xfId="0" applyAlignment="1" applyBorder="1" applyFill="1" applyFont="1" applyNumberFormat="1">
      <alignment readingOrder="0" vertical="bottom"/>
    </xf>
    <xf borderId="1" fillId="0" fontId="31" numFmtId="164" xfId="0" applyAlignment="1" applyBorder="1" applyFont="1" applyNumberFormat="1">
      <alignment horizontal="center" readingOrder="0"/>
    </xf>
    <xf borderId="1" fillId="0" fontId="31" numFmtId="0" xfId="0" applyBorder="1" applyFont="1"/>
    <xf borderId="1" fillId="0" fontId="31" numFmtId="0" xfId="0" applyAlignment="1" applyBorder="1" applyFont="1">
      <alignment readingOrder="0"/>
    </xf>
    <xf borderId="0" fillId="0" fontId="31" numFmtId="0" xfId="0" applyFont="1"/>
    <xf borderId="1" fillId="0" fontId="3" numFmtId="0" xfId="0" applyAlignment="1" applyBorder="1" applyFont="1">
      <alignment horizontal="center"/>
    </xf>
    <xf borderId="0" fillId="0" fontId="1" numFmtId="49" xfId="0" applyAlignment="1" applyFont="1" applyNumberFormat="1">
      <alignment readingOrder="0"/>
    </xf>
    <xf borderId="0" fillId="23" fontId="3" numFmtId="0" xfId="0" applyAlignment="1" applyFill="1" applyFont="1">
      <alignment readingOrder="0" shrinkToFit="0" vertical="bottom" wrapText="1"/>
    </xf>
    <xf borderId="1" fillId="23" fontId="1" numFmtId="164" xfId="0" applyAlignment="1" applyBorder="1" applyFill="1" applyFont="1" applyNumberFormat="1">
      <alignment readingOrder="0"/>
    </xf>
    <xf borderId="1" fillId="23" fontId="3" numFmtId="0" xfId="0" applyAlignment="1" applyBorder="1" applyFill="1" applyFont="1">
      <alignment horizontal="center" readingOrder="0" shrinkToFit="0" vertical="center" wrapText="1"/>
    </xf>
    <xf borderId="1" fillId="23" fontId="7" numFmtId="49" xfId="0" applyAlignment="1" applyBorder="1" applyFill="1" applyFont="1" applyNumberFormat="1">
      <alignment horizontal="center" readingOrder="0" vertical="center"/>
    </xf>
    <xf borderId="1" fillId="23" fontId="3" numFmtId="49" xfId="0" applyAlignment="1" applyBorder="1" applyFill="1" applyFont="1" applyNumberFormat="1">
      <alignment readingOrder="0"/>
    </xf>
    <xf borderId="1" fillId="23" fontId="26" numFmtId="0" xfId="0" applyAlignment="1" applyBorder="1" applyFill="1" applyFont="1">
      <alignment readingOrder="0" shrinkToFit="0" wrapText="1"/>
    </xf>
    <xf borderId="1" fillId="23" fontId="3" numFmtId="0" xfId="0" applyAlignment="1" applyBorder="1" applyFill="1" applyFont="1">
      <alignment readingOrder="0" vertical="bottom"/>
    </xf>
    <xf borderId="1" fillId="23" fontId="3" numFmtId="49" xfId="0" applyAlignment="1" applyBorder="1" applyFill="1" applyFont="1" applyNumberFormat="1">
      <alignment readingOrder="0" vertical="bottom"/>
    </xf>
    <xf borderId="1" fillId="23" fontId="1" numFmtId="164" xfId="0" applyAlignment="1" applyBorder="1" applyFill="1" applyFont="1" applyNumberFormat="1">
      <alignment horizontal="center" readingOrder="0"/>
    </xf>
    <xf borderId="1" fillId="23" fontId="1" numFmtId="0" xfId="0" applyBorder="1" applyFill="1" applyFont="1"/>
    <xf borderId="1" fillId="23" fontId="1" numFmtId="0" xfId="0" applyAlignment="1" applyBorder="1" applyFill="1" applyFont="1">
      <alignment readingOrder="0"/>
    </xf>
    <xf borderId="0" fillId="23" fontId="1" numFmtId="0" xfId="0" applyFill="1" applyFont="1"/>
    <xf borderId="1" fillId="0" fontId="34" numFmtId="0" xfId="0" applyAlignment="1" applyBorder="1" applyFont="1">
      <alignment readingOrder="0" shrinkToFit="0" wrapText="1"/>
    </xf>
    <xf borderId="0" fillId="6" fontId="3" numFmtId="0" xfId="0" applyAlignment="1" applyFill="1" applyFont="1">
      <alignment readingOrder="0" shrinkToFit="0" vertical="bottom" wrapText="1"/>
    </xf>
    <xf borderId="1" fillId="6" fontId="1" numFmtId="164" xfId="0" applyAlignment="1" applyBorder="1" applyFill="1" applyFont="1" applyNumberFormat="1">
      <alignment readingOrder="0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7" numFmtId="49" xfId="0" applyAlignment="1" applyBorder="1" applyFill="1" applyFont="1" applyNumberFormat="1">
      <alignment horizontal="center" readingOrder="0" vertical="center"/>
    </xf>
    <xf borderId="1" fillId="6" fontId="3" numFmtId="49" xfId="0" applyAlignment="1" applyBorder="1" applyFill="1" applyFont="1" applyNumberFormat="1">
      <alignment readingOrder="0"/>
    </xf>
    <xf borderId="1" fillId="6" fontId="29" numFmtId="0" xfId="0" applyAlignment="1" applyBorder="1" applyFill="1" applyFont="1">
      <alignment readingOrder="0" shrinkToFit="0" wrapText="1"/>
    </xf>
    <xf borderId="1" fillId="6" fontId="3" numFmtId="0" xfId="0" applyAlignment="1" applyBorder="1" applyFill="1" applyFont="1">
      <alignment readingOrder="0" vertical="bottom"/>
    </xf>
    <xf borderId="1" fillId="6" fontId="3" numFmtId="49" xfId="0" applyAlignment="1" applyBorder="1" applyFill="1" applyFont="1" applyNumberFormat="1">
      <alignment readingOrder="0" vertical="bottom"/>
    </xf>
    <xf borderId="1" fillId="6" fontId="1" numFmtId="164" xfId="0" applyAlignment="1" applyBorder="1" applyFill="1" applyFont="1" applyNumberFormat="1">
      <alignment horizontal="center" readingOrder="0"/>
    </xf>
    <xf borderId="1" fillId="6" fontId="1" numFmtId="0" xfId="0" applyBorder="1" applyFill="1" applyFont="1"/>
    <xf borderId="1" fillId="6" fontId="1" numFmtId="0" xfId="0" applyAlignment="1" applyBorder="1" applyFill="1" applyFont="1">
      <alignment readingOrder="0"/>
    </xf>
    <xf borderId="0" fillId="6" fontId="1" numFmtId="0" xfId="0" applyFill="1" applyFont="1"/>
    <xf borderId="1" fillId="4" fontId="35" numFmtId="0" xfId="0" applyAlignment="1" applyBorder="1" applyFill="1" applyFont="1">
      <alignment readingOrder="0" shrinkToFit="0" wrapText="1"/>
    </xf>
    <xf borderId="0" fillId="0" fontId="36" numFmtId="0" xfId="0" applyAlignment="1" applyFont="1">
      <alignment readingOrder="0" shrinkToFit="0" vertical="bottom" wrapText="1"/>
    </xf>
    <xf borderId="1" fillId="0" fontId="37" numFmtId="164" xfId="0" applyAlignment="1" applyBorder="1" applyFont="1" applyNumberFormat="1">
      <alignment readingOrder="0"/>
    </xf>
    <xf borderId="1" fillId="0" fontId="36" numFmtId="0" xfId="0" applyAlignment="1" applyBorder="1" applyFont="1">
      <alignment horizontal="center" readingOrder="0" shrinkToFit="0" vertical="center" wrapText="1"/>
    </xf>
    <xf borderId="1" fillId="0" fontId="38" numFmtId="49" xfId="0" applyAlignment="1" applyBorder="1" applyFont="1" applyNumberFormat="1">
      <alignment horizontal="center" readingOrder="0" vertical="center"/>
    </xf>
    <xf borderId="1" fillId="4" fontId="36" numFmtId="49" xfId="0" applyAlignment="1" applyBorder="1" applyFill="1" applyFont="1" applyNumberFormat="1">
      <alignment readingOrder="0"/>
    </xf>
    <xf borderId="1" fillId="4" fontId="39" numFmtId="0" xfId="0" applyAlignment="1" applyBorder="1" applyFill="1" applyFont="1">
      <alignment readingOrder="0" shrinkToFit="0" wrapText="1"/>
    </xf>
    <xf borderId="1" fillId="0" fontId="36" numFmtId="0" xfId="0" applyAlignment="1" applyBorder="1" applyFont="1">
      <alignment readingOrder="0" vertical="bottom"/>
    </xf>
    <xf borderId="1" fillId="4" fontId="36" numFmtId="49" xfId="0" applyAlignment="1" applyBorder="1" applyFill="1" applyFont="1" applyNumberFormat="1">
      <alignment readingOrder="0" vertical="bottom"/>
    </xf>
    <xf borderId="1" fillId="0" fontId="37" numFmtId="164" xfId="0" applyAlignment="1" applyBorder="1" applyFont="1" applyNumberFormat="1">
      <alignment horizontal="center" readingOrder="0"/>
    </xf>
    <xf borderId="1" fillId="0" fontId="37" numFmtId="0" xfId="0" applyBorder="1" applyFont="1"/>
    <xf borderId="1" fillId="6" fontId="37" numFmtId="0" xfId="0" applyAlignment="1" applyBorder="1" applyFill="1" applyFont="1">
      <alignment readingOrder="0"/>
    </xf>
    <xf borderId="0" fillId="0" fontId="37" numFmtId="0" xfId="0" applyFont="1"/>
    <xf borderId="0" fillId="0" fontId="20" numFmtId="49" xfId="0" applyAlignment="1" applyFont="1" applyNumberFormat="1">
      <alignment readingOrder="0"/>
    </xf>
    <xf borderId="0" fillId="24" fontId="40" numFmtId="0" xfId="0" applyAlignment="1" applyFill="1" applyFont="1">
      <alignment readingOrder="0"/>
    </xf>
    <xf borderId="1" fillId="6" fontId="26" numFmtId="0" xfId="0" applyAlignment="1" applyBorder="1" applyFill="1" applyFont="1">
      <alignment readingOrder="0" shrinkToFit="0" wrapText="1"/>
    </xf>
    <xf borderId="1" fillId="0" fontId="35" numFmtId="0" xfId="0" applyAlignment="1" applyBorder="1" applyFont="1">
      <alignment readingOrder="0" shrinkToFit="0" wrapText="1"/>
    </xf>
    <xf borderId="0" fillId="2" fontId="41" numFmtId="0" xfId="0" applyAlignment="1" applyFill="1" applyFont="1">
      <alignment readingOrder="0" shrinkToFit="0" vertical="bottom" wrapText="1"/>
    </xf>
    <xf borderId="1" fillId="2" fontId="42" numFmtId="164" xfId="0" applyAlignment="1" applyBorder="1" applyFill="1" applyFont="1" applyNumberFormat="1">
      <alignment readingOrder="0"/>
    </xf>
    <xf borderId="1" fillId="2" fontId="41" numFmtId="0" xfId="0" applyAlignment="1" applyBorder="1" applyFill="1" applyFont="1">
      <alignment horizontal="center" readingOrder="0" shrinkToFit="0" vertical="center" wrapText="1"/>
    </xf>
    <xf borderId="1" fillId="2" fontId="43" numFmtId="49" xfId="0" applyAlignment="1" applyBorder="1" applyFill="1" applyFont="1" applyNumberFormat="1">
      <alignment horizontal="center" readingOrder="0" vertical="center"/>
    </xf>
    <xf borderId="1" fillId="2" fontId="41" numFmtId="49" xfId="0" applyAlignment="1" applyBorder="1" applyFill="1" applyFont="1" applyNumberFormat="1">
      <alignment readingOrder="0"/>
    </xf>
    <xf borderId="1" fillId="2" fontId="44" numFmtId="0" xfId="0" applyAlignment="1" applyBorder="1" applyFill="1" applyFont="1">
      <alignment readingOrder="0" shrinkToFit="0" wrapText="1"/>
    </xf>
    <xf borderId="1" fillId="2" fontId="41" numFmtId="0" xfId="0" applyAlignment="1" applyBorder="1" applyFill="1" applyFont="1">
      <alignment readingOrder="0" vertical="bottom"/>
    </xf>
    <xf borderId="1" fillId="2" fontId="41" numFmtId="49" xfId="0" applyAlignment="1" applyBorder="1" applyFill="1" applyFont="1" applyNumberFormat="1">
      <alignment readingOrder="0" vertical="bottom"/>
    </xf>
    <xf borderId="1" fillId="2" fontId="42" numFmtId="164" xfId="0" applyAlignment="1" applyBorder="1" applyFill="1" applyFont="1" applyNumberFormat="1">
      <alignment horizontal="center" readingOrder="0"/>
    </xf>
    <xf borderId="1" fillId="2" fontId="42" numFmtId="0" xfId="0" applyBorder="1" applyFill="1" applyFont="1"/>
    <xf borderId="1" fillId="2" fontId="42" numFmtId="0" xfId="0" applyAlignment="1" applyBorder="1" applyFill="1" applyFont="1">
      <alignment readingOrder="0"/>
    </xf>
    <xf borderId="0" fillId="2" fontId="42" numFmtId="0" xfId="0" applyFill="1" applyFont="1"/>
    <xf borderId="0" fillId="7" fontId="3" numFmtId="0" xfId="0" applyAlignment="1" applyFill="1" applyFont="1">
      <alignment readingOrder="0" shrinkToFit="0" vertical="bottom" wrapText="1"/>
    </xf>
    <xf borderId="1" fillId="7" fontId="1" numFmtId="164" xfId="0" applyAlignment="1" applyBorder="1" applyFill="1" applyFont="1" applyNumberFormat="1">
      <alignment readingOrder="0"/>
    </xf>
    <xf borderId="1" fillId="7" fontId="3" numFmtId="0" xfId="0" applyAlignment="1" applyBorder="1" applyFill="1" applyFont="1">
      <alignment horizontal="center" readingOrder="0" shrinkToFit="0" vertical="center" wrapText="1"/>
    </xf>
    <xf borderId="1" fillId="7" fontId="7" numFmtId="49" xfId="0" applyAlignment="1" applyBorder="1" applyFill="1" applyFont="1" applyNumberFormat="1">
      <alignment horizontal="center" readingOrder="0" vertical="center"/>
    </xf>
    <xf borderId="1" fillId="7" fontId="3" numFmtId="49" xfId="0" applyAlignment="1" applyBorder="1" applyFill="1" applyFont="1" applyNumberFormat="1">
      <alignment readingOrder="0"/>
    </xf>
    <xf borderId="1" fillId="7" fontId="26" numFmtId="0" xfId="0" applyAlignment="1" applyBorder="1" applyFill="1" applyFont="1">
      <alignment readingOrder="0" shrinkToFit="0" wrapText="1"/>
    </xf>
    <xf borderId="1" fillId="7" fontId="3" numFmtId="0" xfId="0" applyAlignment="1" applyBorder="1" applyFill="1" applyFont="1">
      <alignment readingOrder="0" vertical="bottom"/>
    </xf>
    <xf borderId="1" fillId="7" fontId="3" numFmtId="49" xfId="0" applyAlignment="1" applyBorder="1" applyFill="1" applyFont="1" applyNumberFormat="1">
      <alignment readingOrder="0" vertical="bottom"/>
    </xf>
    <xf borderId="1" fillId="7" fontId="1" numFmtId="164" xfId="0" applyAlignment="1" applyBorder="1" applyFill="1" applyFont="1" applyNumberFormat="1">
      <alignment horizontal="center" readingOrder="0"/>
    </xf>
    <xf borderId="1" fillId="7" fontId="1" numFmtId="0" xfId="0" applyBorder="1" applyFill="1" applyFont="1"/>
    <xf borderId="1" fillId="7" fontId="1" numFmtId="0" xfId="0" applyAlignment="1" applyBorder="1" applyFill="1" applyFont="1">
      <alignment readingOrder="0"/>
    </xf>
    <xf borderId="0" fillId="7" fontId="1" numFmtId="0" xfId="0" applyFill="1" applyFont="1"/>
    <xf borderId="0" fillId="0" fontId="41" numFmtId="0" xfId="0" applyAlignment="1" applyFont="1">
      <alignment readingOrder="0" shrinkToFit="0" vertical="bottom" wrapText="1"/>
    </xf>
    <xf borderId="1" fillId="0" fontId="42" numFmtId="164" xfId="0" applyAlignment="1" applyBorder="1" applyFont="1" applyNumberFormat="1">
      <alignment readingOrder="0"/>
    </xf>
    <xf borderId="1" fillId="0" fontId="41" numFmtId="0" xfId="0" applyAlignment="1" applyBorder="1" applyFont="1">
      <alignment horizontal="center" readingOrder="0" shrinkToFit="0" vertical="center" wrapText="1"/>
    </xf>
    <xf borderId="1" fillId="0" fontId="43" numFmtId="49" xfId="0" applyAlignment="1" applyBorder="1" applyFont="1" applyNumberFormat="1">
      <alignment horizontal="center" readingOrder="0" vertical="center"/>
    </xf>
    <xf borderId="1" fillId="4" fontId="41" numFmtId="49" xfId="0" applyAlignment="1" applyBorder="1" applyFill="1" applyFont="1" applyNumberFormat="1">
      <alignment readingOrder="0"/>
    </xf>
    <xf borderId="1" fillId="4" fontId="44" numFmtId="0" xfId="0" applyAlignment="1" applyBorder="1" applyFill="1" applyFont="1">
      <alignment readingOrder="0" shrinkToFit="0" wrapText="1"/>
    </xf>
    <xf borderId="1" fillId="0" fontId="41" numFmtId="0" xfId="0" applyAlignment="1" applyBorder="1" applyFont="1">
      <alignment readingOrder="0" vertical="bottom"/>
    </xf>
    <xf borderId="1" fillId="4" fontId="41" numFmtId="49" xfId="0" applyAlignment="1" applyBorder="1" applyFill="1" applyFont="1" applyNumberFormat="1">
      <alignment readingOrder="0" vertical="bottom"/>
    </xf>
    <xf borderId="1" fillId="0" fontId="42" numFmtId="164" xfId="0" applyAlignment="1" applyBorder="1" applyFont="1" applyNumberFormat="1">
      <alignment horizontal="center" readingOrder="0"/>
    </xf>
    <xf borderId="1" fillId="0" fontId="42" numFmtId="0" xfId="0" applyBorder="1" applyFont="1"/>
    <xf borderId="1" fillId="0" fontId="42" numFmtId="0" xfId="0" applyAlignment="1" applyBorder="1" applyFont="1">
      <alignment readingOrder="0"/>
    </xf>
    <xf borderId="0" fillId="0" fontId="42" numFmtId="0" xfId="0" applyFont="1"/>
    <xf borderId="1" fillId="18" fontId="1" numFmtId="0" xfId="0" applyAlignment="1" applyBorder="1" applyFill="1" applyFont="1">
      <alignment readingOrder="0"/>
    </xf>
    <xf borderId="1" fillId="2" fontId="45" numFmtId="0" xfId="0" applyAlignment="1" applyBorder="1" applyFill="1" applyFont="1">
      <alignment readingOrder="0"/>
    </xf>
    <xf borderId="1" fillId="2" fontId="46" numFmtId="0" xfId="0" applyAlignment="1" applyBorder="1" applyFill="1" applyFont="1">
      <alignment readingOrder="0"/>
    </xf>
    <xf borderId="1" fillId="0" fontId="10" numFmtId="0" xfId="0" applyAlignment="1" applyBorder="1" applyFont="1">
      <alignment readingOrder="0" shrinkToFit="0" wrapText="1"/>
    </xf>
    <xf borderId="1" fillId="6" fontId="1" numFmtId="0" xfId="0" applyAlignment="1" applyBorder="1" applyFill="1" applyFont="1">
      <alignment readingOrder="0" shrinkToFit="0" wrapText="1"/>
    </xf>
    <xf borderId="0" fillId="0" fontId="47" numFmtId="0" xfId="0" applyAlignment="1" applyFont="1">
      <alignment readingOrder="0" shrinkToFit="0" vertical="bottom" wrapText="1"/>
    </xf>
    <xf borderId="1" fillId="0" fontId="48" numFmtId="164" xfId="0" applyAlignment="1" applyBorder="1" applyFont="1" applyNumberFormat="1">
      <alignment readingOrder="0"/>
    </xf>
    <xf borderId="1" fillId="0" fontId="47" numFmtId="0" xfId="0" applyAlignment="1" applyBorder="1" applyFont="1">
      <alignment horizontal="center" readingOrder="0" shrinkToFit="0" vertical="center" wrapText="1"/>
    </xf>
    <xf borderId="1" fillId="0" fontId="49" numFmtId="49" xfId="0" applyAlignment="1" applyBorder="1" applyFont="1" applyNumberFormat="1">
      <alignment horizontal="center" readingOrder="0" vertical="center"/>
    </xf>
    <xf borderId="1" fillId="4" fontId="47" numFmtId="49" xfId="0" applyAlignment="1" applyBorder="1" applyFill="1" applyFont="1" applyNumberFormat="1">
      <alignment readingOrder="0"/>
    </xf>
    <xf borderId="1" fillId="4" fontId="50" numFmtId="0" xfId="0" applyAlignment="1" applyBorder="1" applyFill="1" applyFont="1">
      <alignment readingOrder="0" shrinkToFit="0" wrapText="1"/>
    </xf>
    <xf borderId="1" fillId="4" fontId="47" numFmtId="49" xfId="0" applyAlignment="1" applyBorder="1" applyFill="1" applyFont="1" applyNumberFormat="1">
      <alignment readingOrder="0" vertical="bottom"/>
    </xf>
    <xf borderId="1" fillId="0" fontId="48" numFmtId="164" xfId="0" applyAlignment="1" applyBorder="1" applyFont="1" applyNumberFormat="1">
      <alignment horizontal="center" readingOrder="0"/>
    </xf>
    <xf borderId="1" fillId="0" fontId="48" numFmtId="0" xfId="0" applyAlignment="1" applyBorder="1" applyFont="1">
      <alignment readingOrder="0"/>
    </xf>
    <xf borderId="0" fillId="0" fontId="48" numFmtId="0" xfId="0" applyFont="1"/>
    <xf borderId="0" fillId="0" fontId="51" numFmtId="0" xfId="0" applyAlignment="1" applyFont="1">
      <alignment readingOrder="0" shrinkToFit="0" vertical="bottom" wrapText="1"/>
    </xf>
    <xf borderId="1" fillId="0" fontId="45" numFmtId="164" xfId="0" applyAlignment="1" applyBorder="1" applyFont="1" applyNumberFormat="1">
      <alignment readingOrder="0"/>
    </xf>
    <xf borderId="1" fillId="0" fontId="51" numFmtId="0" xfId="0" applyAlignment="1" applyBorder="1" applyFont="1">
      <alignment horizontal="center" readingOrder="0" shrinkToFit="0" vertical="center" wrapText="1"/>
    </xf>
    <xf borderId="1" fillId="0" fontId="52" numFmtId="49" xfId="0" applyAlignment="1" applyBorder="1" applyFont="1" applyNumberFormat="1">
      <alignment horizontal="center" readingOrder="0" vertical="center"/>
    </xf>
    <xf borderId="1" fillId="4" fontId="51" numFmtId="49" xfId="0" applyAlignment="1" applyBorder="1" applyFill="1" applyFont="1" applyNumberFormat="1">
      <alignment readingOrder="0"/>
    </xf>
    <xf borderId="1" fillId="4" fontId="53" numFmtId="0" xfId="0" applyAlignment="1" applyBorder="1" applyFill="1" applyFont="1">
      <alignment readingOrder="0" shrinkToFit="0" wrapText="1"/>
    </xf>
    <xf borderId="1" fillId="4" fontId="54" numFmtId="49" xfId="0" applyAlignment="1" applyBorder="1" applyFill="1" applyFont="1" applyNumberFormat="1">
      <alignment readingOrder="0" vertical="bottom"/>
    </xf>
    <xf borderId="1" fillId="0" fontId="55" numFmtId="164" xfId="0" applyAlignment="1" applyBorder="1" applyFont="1" applyNumberFormat="1">
      <alignment horizontal="center" readingOrder="0"/>
    </xf>
    <xf borderId="1" fillId="0" fontId="45" numFmtId="0" xfId="0" applyAlignment="1" applyBorder="1" applyFont="1">
      <alignment readingOrder="0"/>
    </xf>
    <xf borderId="0" fillId="0" fontId="45" numFmtId="0" xfId="0" applyFont="1"/>
    <xf borderId="0" fillId="11" fontId="54" numFmtId="0" xfId="0" applyAlignment="1" applyFill="1" applyFont="1">
      <alignment readingOrder="0" shrinkToFit="0" vertical="bottom" wrapText="1"/>
    </xf>
    <xf borderId="1" fillId="11" fontId="45" numFmtId="164" xfId="0" applyAlignment="1" applyBorder="1" applyFill="1" applyFont="1" applyNumberFormat="1">
      <alignment readingOrder="0"/>
    </xf>
    <xf borderId="0" fillId="11" fontId="1" numFmtId="0" xfId="0" applyAlignment="1" applyFill="1" applyFont="1">
      <alignment readingOrder="0"/>
    </xf>
    <xf borderId="1" fillId="11" fontId="52" numFmtId="49" xfId="0" applyAlignment="1" applyBorder="1" applyFill="1" applyFont="1" applyNumberFormat="1">
      <alignment horizontal="center" readingOrder="0" vertical="center"/>
    </xf>
    <xf borderId="1" fillId="11" fontId="51" numFmtId="49" xfId="0" applyAlignment="1" applyBorder="1" applyFill="1" applyFont="1" applyNumberFormat="1">
      <alignment readingOrder="0"/>
    </xf>
    <xf borderId="1" fillId="11" fontId="53" numFmtId="0" xfId="0" applyAlignment="1" applyBorder="1" applyFill="1" applyFont="1">
      <alignment readingOrder="0" shrinkToFit="0" wrapText="1"/>
    </xf>
    <xf borderId="1" fillId="11" fontId="51" numFmtId="0" xfId="0" applyAlignment="1" applyBorder="1" applyFill="1" applyFont="1">
      <alignment readingOrder="0" vertical="bottom"/>
    </xf>
    <xf borderId="1" fillId="11" fontId="54" numFmtId="49" xfId="0" applyAlignment="1" applyBorder="1" applyFill="1" applyFont="1" applyNumberFormat="1">
      <alignment readingOrder="0" vertical="bottom"/>
    </xf>
    <xf borderId="1" fillId="11" fontId="55" numFmtId="164" xfId="0" applyAlignment="1" applyBorder="1" applyFill="1" applyFont="1" applyNumberFormat="1">
      <alignment horizontal="center" readingOrder="0"/>
    </xf>
    <xf borderId="1" fillId="11" fontId="45" numFmtId="0" xfId="0" applyAlignment="1" applyBorder="1" applyFill="1" applyFont="1">
      <alignment readingOrder="0"/>
    </xf>
    <xf borderId="0" fillId="11" fontId="45" numFmtId="0" xfId="0" applyFill="1" applyFont="1"/>
    <xf borderId="1" fillId="0" fontId="51" numFmtId="0" xfId="0" applyAlignment="1" applyBorder="1" applyFont="1">
      <alignment readingOrder="0" vertical="bottom"/>
    </xf>
    <xf borderId="1" fillId="0" fontId="45" numFmtId="0" xfId="0" applyBorder="1" applyFont="1"/>
    <xf borderId="1" fillId="4" fontId="56" numFmtId="0" xfId="0" applyAlignment="1" applyBorder="1" applyFill="1" applyFont="1">
      <alignment readingOrder="0" shrinkToFit="0" wrapText="1"/>
    </xf>
    <xf borderId="1" fillId="4" fontId="51" numFmtId="49" xfId="0" applyAlignment="1" applyBorder="1" applyFill="1" applyFont="1" applyNumberFormat="1">
      <alignment readingOrder="0" vertical="bottom"/>
    </xf>
    <xf borderId="1" fillId="0" fontId="45" numFmtId="164" xfId="0" applyAlignment="1" applyBorder="1" applyFont="1" applyNumberFormat="1">
      <alignment horizontal="center" readingOrder="0"/>
    </xf>
    <xf borderId="1" fillId="6" fontId="51" numFmtId="49" xfId="0" applyAlignment="1" applyBorder="1" applyFill="1" applyFont="1" applyNumberFormat="1">
      <alignment readingOrder="0"/>
    </xf>
    <xf borderId="1" fillId="6" fontId="54" numFmtId="49" xfId="0" applyAlignment="1" applyBorder="1" applyFill="1" applyFont="1" applyNumberFormat="1">
      <alignment readingOrder="0" vertical="bottom"/>
    </xf>
    <xf borderId="1" fillId="0" fontId="37" numFmtId="0" xfId="0" applyAlignment="1" applyBorder="1" applyFont="1">
      <alignment readingOrder="0"/>
    </xf>
    <xf borderId="1" fillId="4" fontId="54" numFmtId="49" xfId="0" applyAlignment="1" applyBorder="1" applyFill="1" applyFont="1" applyNumberFormat="1">
      <alignment readingOrder="0"/>
    </xf>
    <xf borderId="1" fillId="2" fontId="35" numFmtId="0" xfId="0" applyAlignment="1" applyBorder="1" applyFill="1" applyFont="1">
      <alignment readingOrder="0" shrinkToFit="0" wrapText="1"/>
    </xf>
    <xf borderId="0" fillId="0" fontId="57" numFmtId="0" xfId="0" applyAlignment="1" applyFont="1">
      <alignment readingOrder="0" shrinkToFit="0" vertical="bottom" wrapText="1"/>
    </xf>
    <xf borderId="1" fillId="0" fontId="57" numFmtId="0" xfId="0" applyAlignment="1" applyBorder="1" applyFont="1">
      <alignment horizontal="center" readingOrder="0" shrinkToFit="0" vertical="center" wrapText="1"/>
    </xf>
    <xf borderId="1" fillId="4" fontId="57" numFmtId="49" xfId="0" applyAlignment="1" applyBorder="1" applyFill="1" applyFont="1" applyNumberFormat="1">
      <alignment readingOrder="0"/>
    </xf>
    <xf borderId="1" fillId="4" fontId="57" numFmtId="49" xfId="0" applyAlignment="1" applyBorder="1" applyFill="1" applyFont="1" applyNumberFormat="1">
      <alignment readingOrder="0" vertical="bottom"/>
    </xf>
    <xf borderId="1" fillId="0" fontId="10" numFmtId="164" xfId="0" applyAlignment="1" applyBorder="1" applyFont="1" applyNumberFormat="1">
      <alignment horizontal="center" readingOrder="0"/>
    </xf>
    <xf borderId="1" fillId="0" fontId="10" numFmtId="164" xfId="0" applyAlignment="1" applyBorder="1" applyFont="1" applyNumberFormat="1">
      <alignment readingOrder="0"/>
    </xf>
    <xf borderId="0" fillId="0" fontId="10" numFmtId="0" xfId="0" applyFont="1"/>
    <xf borderId="1" fillId="6" fontId="3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51" numFmtId="49" xfId="0" applyAlignment="1" applyBorder="1" applyFont="1" applyNumberFormat="1">
      <alignment readingOrder="0"/>
    </xf>
    <xf borderId="1" fillId="0" fontId="54" numFmtId="49" xfId="0" applyAlignment="1" applyBorder="1" applyFont="1" applyNumberFormat="1">
      <alignment readingOrder="0" vertical="bottom"/>
    </xf>
    <xf borderId="1" fillId="0" fontId="57" numFmtId="0" xfId="0" applyAlignment="1" applyBorder="1" applyFont="1">
      <alignment readingOrder="0" vertical="bottom"/>
    </xf>
    <xf borderId="1" fillId="0" fontId="10" numFmtId="0" xfId="0" applyBorder="1" applyFont="1"/>
    <xf borderId="1" fillId="2" fontId="3" numFmtId="0" xfId="0" applyAlignment="1" applyBorder="1" applyFill="1" applyFont="1">
      <alignment horizontal="center" readingOrder="0"/>
    </xf>
    <xf borderId="1" fillId="2" fontId="51" numFmtId="49" xfId="0" applyAlignment="1" applyBorder="1" applyFill="1" applyFont="1" applyNumberFormat="1">
      <alignment readingOrder="0"/>
    </xf>
    <xf borderId="1" fillId="2" fontId="54" numFmtId="49" xfId="0" applyAlignment="1" applyBorder="1" applyFill="1" applyFont="1" applyNumberFormat="1">
      <alignment readingOrder="0" vertical="bottom"/>
    </xf>
    <xf borderId="0" fillId="0" fontId="58" numFmtId="49" xfId="0" applyAlignment="1" applyFont="1" applyNumberFormat="1">
      <alignment readingOrder="0" shrinkToFit="0" vertical="bottom" wrapText="1"/>
    </xf>
    <xf borderId="0" fillId="0" fontId="40" numFmtId="49" xfId="0" applyFont="1" applyNumberFormat="1"/>
    <xf borderId="1" fillId="25" fontId="26" numFmtId="0" xfId="0" applyAlignment="1" applyBorder="1" applyFill="1" applyFont="1">
      <alignment readingOrder="0" shrinkToFit="0" wrapText="1"/>
    </xf>
    <xf borderId="0" fillId="4" fontId="59" numFmtId="49" xfId="0" applyAlignment="1" applyFill="1" applyFont="1" applyNumberFormat="1">
      <alignment readingOrder="0"/>
    </xf>
    <xf borderId="1" fillId="26" fontId="26" numFmtId="0" xfId="0" applyAlignment="1" applyBorder="1" applyFill="1" applyFont="1">
      <alignment readingOrder="0" shrinkToFit="0" wrapText="1"/>
    </xf>
    <xf borderId="1" fillId="11" fontId="3" numFmtId="0" xfId="0" applyAlignment="1" applyBorder="1" applyFill="1" applyFont="1">
      <alignment horizontal="center" readingOrder="0"/>
    </xf>
    <xf borderId="1" fillId="20" fontId="26" numFmtId="0" xfId="0" applyAlignment="1" applyBorder="1" applyFill="1" applyFont="1">
      <alignment readingOrder="0" shrinkToFit="0" wrapText="1"/>
    </xf>
    <xf borderId="0" fillId="7" fontId="1" numFmtId="0" xfId="0" applyAlignment="1" applyFill="1" applyFont="1">
      <alignment readingOrder="0"/>
    </xf>
    <xf borderId="1" fillId="27" fontId="26" numFmtId="0" xfId="0" applyAlignment="1" applyBorder="1" applyFill="1" applyFont="1">
      <alignment readingOrder="0" shrinkToFit="0" wrapText="1"/>
    </xf>
    <xf borderId="0" fillId="0" fontId="40" numFmtId="49" xfId="0" applyAlignment="1" applyFont="1" applyNumberFormat="1">
      <alignment readingOrder="0"/>
    </xf>
    <xf borderId="0" fillId="0" fontId="60" numFmtId="0" xfId="0" applyAlignment="1" applyFont="1">
      <alignment readingOrder="0" shrinkToFit="0" wrapText="0"/>
    </xf>
    <xf borderId="0" fillId="0" fontId="60" numFmtId="49" xfId="0" applyAlignment="1" applyFont="1" applyNumberFormat="1">
      <alignment horizontal="right" readingOrder="0" shrinkToFit="0" wrapText="0"/>
    </xf>
    <xf borderId="0" fillId="0" fontId="61" numFmtId="0" xfId="0" applyAlignment="1" applyFont="1">
      <alignment readingOrder="0" shrinkToFit="0" wrapText="1"/>
    </xf>
    <xf borderId="0" fillId="5" fontId="3" numFmtId="0" xfId="0" applyAlignment="1" applyFill="1" applyFont="1">
      <alignment readingOrder="0" shrinkToFit="0" vertical="bottom" wrapText="1"/>
    </xf>
    <xf borderId="1" fillId="5" fontId="1" numFmtId="164" xfId="0" applyAlignment="1" applyBorder="1" applyFill="1" applyFont="1" applyNumberFormat="1">
      <alignment readingOrder="0"/>
    </xf>
    <xf borderId="1" fillId="5" fontId="3" numFmtId="0" xfId="0" applyAlignment="1" applyBorder="1" applyFill="1" applyFont="1">
      <alignment horizontal="center" readingOrder="0"/>
    </xf>
    <xf borderId="0" fillId="5" fontId="60" numFmtId="0" xfId="0" applyAlignment="1" applyFill="1" applyFont="1">
      <alignment readingOrder="0" shrinkToFit="0" wrapText="0"/>
    </xf>
    <xf borderId="0" fillId="5" fontId="60" numFmtId="49" xfId="0" applyAlignment="1" applyFill="1" applyFont="1" applyNumberFormat="1">
      <alignment horizontal="right" readingOrder="0" shrinkToFit="0" wrapText="0"/>
    </xf>
    <xf borderId="1" fillId="5" fontId="51" numFmtId="49" xfId="0" applyAlignment="1" applyBorder="1" applyFill="1" applyFont="1" applyNumberFormat="1">
      <alignment readingOrder="0"/>
    </xf>
    <xf borderId="0" fillId="5" fontId="61" numFmtId="0" xfId="0" applyAlignment="1" applyFill="1" applyFont="1">
      <alignment readingOrder="0" shrinkToFit="0" wrapText="1"/>
    </xf>
    <xf borderId="1" fillId="5" fontId="3" numFmtId="0" xfId="0" applyAlignment="1" applyBorder="1" applyFill="1" applyFont="1">
      <alignment readingOrder="0" vertical="bottom"/>
    </xf>
    <xf borderId="1" fillId="5" fontId="54" numFmtId="49" xfId="0" applyAlignment="1" applyBorder="1" applyFill="1" applyFont="1" applyNumberFormat="1">
      <alignment readingOrder="0" vertical="bottom"/>
    </xf>
    <xf borderId="1" fillId="5" fontId="1" numFmtId="164" xfId="0" applyAlignment="1" applyBorder="1" applyFill="1" applyFont="1" applyNumberFormat="1">
      <alignment horizontal="center" readingOrder="0"/>
    </xf>
    <xf borderId="1" fillId="5" fontId="1" numFmtId="0" xfId="0" applyAlignment="1" applyBorder="1" applyFill="1" applyFont="1">
      <alignment readingOrder="0"/>
    </xf>
    <xf borderId="0" fillId="5" fontId="1" numFmtId="0" xfId="0" applyFill="1" applyFont="1"/>
    <xf borderId="0" fillId="0" fontId="60" numFmtId="0" xfId="0" applyAlignment="1" applyFont="1">
      <alignment readingOrder="0" shrinkToFit="0" wrapText="1"/>
    </xf>
    <xf borderId="1" fillId="0" fontId="54" numFmtId="49" xfId="0" applyAlignment="1" applyBorder="1" applyFont="1" applyNumberFormat="1">
      <alignment readingOrder="0"/>
    </xf>
    <xf borderId="0" fillId="0" fontId="60" numFmtId="49" xfId="0" applyAlignment="1" applyFont="1" applyNumberFormat="1">
      <alignment readingOrder="0" shrinkToFit="0" wrapText="0"/>
    </xf>
    <xf borderId="0" fillId="20" fontId="3" numFmtId="0" xfId="0" applyAlignment="1" applyFill="1" applyFont="1">
      <alignment readingOrder="0" shrinkToFit="0" vertical="bottom" wrapText="1"/>
    </xf>
    <xf borderId="1" fillId="20" fontId="1" numFmtId="164" xfId="0" applyAlignment="1" applyBorder="1" applyFill="1" applyFont="1" applyNumberFormat="1">
      <alignment readingOrder="0"/>
    </xf>
    <xf borderId="1" fillId="20" fontId="3" numFmtId="0" xfId="0" applyAlignment="1" applyBorder="1" applyFill="1" applyFont="1">
      <alignment horizontal="center" readingOrder="0"/>
    </xf>
    <xf borderId="0" fillId="20" fontId="60" numFmtId="0" xfId="0" applyAlignment="1" applyFill="1" applyFont="1">
      <alignment readingOrder="0" shrinkToFit="0" wrapText="0"/>
    </xf>
    <xf borderId="0" fillId="20" fontId="60" numFmtId="49" xfId="0" applyAlignment="1" applyFill="1" applyFont="1" applyNumberFormat="1">
      <alignment readingOrder="0" shrinkToFit="0" wrapText="0"/>
    </xf>
    <xf borderId="1" fillId="20" fontId="51" numFmtId="49" xfId="0" applyAlignment="1" applyBorder="1" applyFill="1" applyFont="1" applyNumberFormat="1">
      <alignment readingOrder="0"/>
    </xf>
    <xf borderId="1" fillId="20" fontId="3" numFmtId="0" xfId="0" applyAlignment="1" applyBorder="1" applyFill="1" applyFont="1">
      <alignment readingOrder="0" vertical="bottom"/>
    </xf>
    <xf borderId="1" fillId="20" fontId="54" numFmtId="49" xfId="0" applyAlignment="1" applyBorder="1" applyFill="1" applyFont="1" applyNumberFormat="1">
      <alignment readingOrder="0" vertical="bottom"/>
    </xf>
    <xf borderId="1" fillId="20" fontId="1" numFmtId="164" xfId="0" applyAlignment="1" applyBorder="1" applyFill="1" applyFont="1" applyNumberFormat="1">
      <alignment horizontal="center" readingOrder="0"/>
    </xf>
    <xf borderId="1" fillId="20" fontId="1" numFmtId="0" xfId="0" applyAlignment="1" applyBorder="1" applyFill="1" applyFont="1">
      <alignment readingOrder="0"/>
    </xf>
    <xf borderId="0" fillId="20" fontId="1" numFmtId="0" xfId="0" applyFill="1" applyFont="1"/>
    <xf borderId="0" fillId="2" fontId="60" numFmtId="0" xfId="0" applyAlignment="1" applyFill="1" applyFont="1">
      <alignment readingOrder="0" shrinkToFit="0" wrapText="0"/>
    </xf>
    <xf borderId="0" fillId="2" fontId="60" numFmtId="49" xfId="0" applyAlignment="1" applyFill="1" applyFont="1" applyNumberFormat="1">
      <alignment readingOrder="0" shrinkToFit="0" wrapText="0"/>
    </xf>
    <xf borderId="0" fillId="0" fontId="51" numFmtId="49" xfId="0" applyAlignment="1" applyFont="1" applyNumberFormat="1">
      <alignment readingOrder="0"/>
    </xf>
    <xf borderId="0" fillId="0" fontId="26" numFmtId="0" xfId="0" applyAlignment="1" applyFont="1">
      <alignment readingOrder="0" shrinkToFit="0" wrapText="1"/>
    </xf>
    <xf borderId="0" fillId="0" fontId="54" numFmtId="49" xfId="0" applyAlignment="1" applyFont="1" applyNumberFormat="1">
      <alignment readingOrder="0" vertical="bottom"/>
    </xf>
    <xf borderId="0" fillId="4" fontId="51" numFmtId="49" xfId="0" applyAlignment="1" applyFill="1" applyFont="1" applyNumberFormat="1">
      <alignment readingOrder="0"/>
    </xf>
    <xf borderId="0" fillId="4" fontId="54" numFmtId="49" xfId="0" applyAlignment="1" applyFill="1" applyFont="1" applyNumberFormat="1">
      <alignment readingOrder="0" vertical="bottom"/>
    </xf>
    <xf borderId="0" fillId="0" fontId="1" numFmtId="167" xfId="0" applyAlignment="1" applyFont="1" applyNumberFormat="1">
      <alignment readingOrder="0"/>
    </xf>
    <xf borderId="0" fillId="0" fontId="3" numFmtId="0" xfId="0" applyAlignment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11" fontId="1" numFmtId="164" xfId="0" applyAlignment="1" applyFill="1" applyFont="1" applyNumberFormat="1">
      <alignment readingOrder="0"/>
    </xf>
    <xf borderId="0" fillId="11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 shrinkToFit="0" vertical="center" wrapText="1"/>
    </xf>
    <xf borderId="0" fillId="11" fontId="7" numFmtId="49" xfId="0" applyAlignment="1" applyFill="1" applyFont="1" applyNumberFormat="1">
      <alignment horizontal="center" readingOrder="0" vertical="center"/>
    </xf>
    <xf borderId="0" fillId="11" fontId="51" numFmtId="49" xfId="0" applyAlignment="1" applyFill="1" applyFont="1" applyNumberFormat="1">
      <alignment readingOrder="0"/>
    </xf>
    <xf borderId="0" fillId="11" fontId="26" numFmtId="0" xfId="0" applyAlignment="1" applyFill="1" applyFont="1">
      <alignment readingOrder="0" shrinkToFit="0" wrapText="1"/>
    </xf>
    <xf borderId="0" fillId="11" fontId="3" numFmtId="0" xfId="0" applyAlignment="1" applyFill="1" applyFont="1">
      <alignment readingOrder="0" vertical="bottom"/>
    </xf>
    <xf borderId="0" fillId="11" fontId="54" numFmtId="49" xfId="0" applyAlignment="1" applyFill="1" applyFont="1" applyNumberFormat="1">
      <alignment readingOrder="0" vertical="bottom"/>
    </xf>
    <xf borderId="0" fillId="11" fontId="1" numFmtId="164" xfId="0" applyAlignment="1" applyFill="1" applyFont="1" applyNumberFormat="1">
      <alignment horizontal="center" readingOrder="0"/>
    </xf>
    <xf borderId="0" fillId="18" fontId="3" numFmtId="0" xfId="0" applyAlignment="1" applyFill="1" applyFont="1">
      <alignment readingOrder="0" shrinkToFit="0" vertical="bottom" wrapText="1"/>
    </xf>
    <xf borderId="0" fillId="18" fontId="1" numFmtId="164" xfId="0" applyAlignment="1" applyFill="1" applyFont="1" applyNumberFormat="1">
      <alignment readingOrder="0"/>
    </xf>
    <xf borderId="0" fillId="18" fontId="3" numFmtId="0" xfId="0" applyAlignment="1" applyFill="1" applyFont="1">
      <alignment horizontal="center" readingOrder="0"/>
    </xf>
    <xf borderId="0" fillId="18" fontId="60" numFmtId="0" xfId="0" applyAlignment="1" applyFill="1" applyFont="1">
      <alignment readingOrder="0" shrinkToFit="0" wrapText="0"/>
    </xf>
    <xf borderId="0" fillId="18" fontId="60" numFmtId="49" xfId="0" applyAlignment="1" applyFill="1" applyFont="1" applyNumberFormat="1">
      <alignment readingOrder="0" shrinkToFit="0" wrapText="0"/>
    </xf>
    <xf borderId="0" fillId="18" fontId="51" numFmtId="49" xfId="0" applyAlignment="1" applyFill="1" applyFont="1" applyNumberFormat="1">
      <alignment readingOrder="0"/>
    </xf>
    <xf borderId="0" fillId="18" fontId="26" numFmtId="0" xfId="0" applyAlignment="1" applyFill="1" applyFont="1">
      <alignment readingOrder="0" shrinkToFit="0" wrapText="1"/>
    </xf>
    <xf borderId="0" fillId="18" fontId="54" numFmtId="49" xfId="0" applyAlignment="1" applyFill="1" applyFont="1" applyNumberFormat="1">
      <alignment readingOrder="0" vertical="bottom"/>
    </xf>
    <xf borderId="0" fillId="18" fontId="1" numFmtId="164" xfId="0" applyAlignment="1" applyFill="1" applyFont="1" applyNumberFormat="1">
      <alignment horizontal="center" readingOrder="0"/>
    </xf>
    <xf borderId="0" fillId="18" fontId="1" numFmtId="0" xfId="0" applyAlignment="1" applyFill="1" applyFont="1">
      <alignment readingOrder="0"/>
    </xf>
    <xf borderId="0" fillId="18" fontId="1" numFmtId="0" xfId="0" applyFill="1" applyFont="1"/>
    <xf borderId="0" fillId="18" fontId="3" numFmtId="0" xfId="0" applyAlignment="1" applyFill="1" applyFont="1">
      <alignment readingOrder="0" vertical="bottom"/>
    </xf>
    <xf borderId="0" fillId="28" fontId="3" numFmtId="0" xfId="0" applyAlignment="1" applyFill="1" applyFont="1">
      <alignment readingOrder="0" shrinkToFit="0" vertical="bottom" wrapText="1"/>
    </xf>
    <xf borderId="0" fillId="28" fontId="1" numFmtId="164" xfId="0" applyAlignment="1" applyFill="1" applyFont="1" applyNumberFormat="1">
      <alignment readingOrder="0"/>
    </xf>
    <xf borderId="0" fillId="28" fontId="3" numFmtId="0" xfId="0" applyAlignment="1" applyFill="1" applyFont="1">
      <alignment horizontal="center" readingOrder="0"/>
    </xf>
    <xf borderId="0" fillId="28" fontId="3" numFmtId="0" xfId="0" applyAlignment="1" applyFill="1" applyFont="1">
      <alignment horizontal="center" readingOrder="0" shrinkToFit="0" vertical="center" wrapText="1"/>
    </xf>
    <xf borderId="0" fillId="28" fontId="7" numFmtId="49" xfId="0" applyAlignment="1" applyFill="1" applyFont="1" applyNumberFormat="1">
      <alignment horizontal="center" readingOrder="0" vertical="center"/>
    </xf>
    <xf borderId="0" fillId="28" fontId="51" numFmtId="49" xfId="0" applyAlignment="1" applyFill="1" applyFont="1" applyNumberFormat="1">
      <alignment readingOrder="0"/>
    </xf>
    <xf borderId="0" fillId="28" fontId="26" numFmtId="0" xfId="0" applyAlignment="1" applyFill="1" applyFont="1">
      <alignment readingOrder="0" shrinkToFit="0" wrapText="1"/>
    </xf>
    <xf borderId="0" fillId="28" fontId="3" numFmtId="0" xfId="0" applyAlignment="1" applyFill="1" applyFont="1">
      <alignment readingOrder="0" vertical="bottom"/>
    </xf>
    <xf borderId="0" fillId="28" fontId="54" numFmtId="49" xfId="0" applyAlignment="1" applyFill="1" applyFont="1" applyNumberFormat="1">
      <alignment readingOrder="0" vertical="bottom"/>
    </xf>
    <xf borderId="0" fillId="28" fontId="1" numFmtId="164" xfId="0" applyAlignment="1" applyFill="1" applyFont="1" applyNumberFormat="1">
      <alignment horizontal="center" readingOrder="0"/>
    </xf>
    <xf borderId="0" fillId="28" fontId="1" numFmtId="0" xfId="0" applyAlignment="1" applyFill="1" applyFont="1">
      <alignment readingOrder="0"/>
    </xf>
    <xf borderId="0" fillId="28" fontId="1" numFmtId="0" xfId="0" applyAlignment="1" applyFill="1" applyFont="1">
      <alignment readingOrder="0" shrinkToFit="0" wrapText="1"/>
    </xf>
    <xf borderId="0" fillId="28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fo.technews.tw/company/70673367-%E6%AC%A3%E4%B8%8A%E5%8E%9F%E8%82%A1%E4%BB%BD%E6%9C%89%E9%99%90%E5%85%AC%E5%8F%B8" TargetMode="External"/><Relationship Id="rId2" Type="http://schemas.openxmlformats.org/officeDocument/2006/relationships/hyperlink" Target="https://share.google/8VMiAb6e9CsG5udcw" TargetMode="External"/><Relationship Id="rId3" Type="http://schemas.openxmlformats.org/officeDocument/2006/relationships/hyperlink" Target="https://maps.app.goo.gl/Nw2NcAqC2V2qghvG6?g_st=al" TargetMode="External"/><Relationship Id="rId4" Type="http://schemas.openxmlformats.org/officeDocument/2006/relationships/hyperlink" Target="https://maps.app.goo.gl/eUJUdUSbJks12nbq9?g_st=il" TargetMode="External"/><Relationship Id="rId5" Type="http://schemas.openxmlformats.org/officeDocument/2006/relationships/hyperlink" Target="https://www.namelesstree.com.tw/project/%E5%8D%8A%E5%8D%8A%E9%BD%8B" TargetMode="External"/><Relationship Id="rId6" Type="http://schemas.openxmlformats.org/officeDocument/2006/relationships/hyperlink" Target="https://www.facebook.com/cswaldorfkg/?locale=zh_TW" TargetMode="External"/><Relationship Id="rId7" Type="http://schemas.openxmlformats.org/officeDocument/2006/relationships/hyperlink" Target="https://share.google/dXTsbfqwPVgqVbp6u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4.5"/>
    <col customWidth="1" min="2" max="2" width="4.25"/>
    <col customWidth="1" min="3" max="3" width="5.88"/>
    <col customWidth="1" min="4" max="4" width="11.13"/>
    <col customWidth="1" min="5" max="5" width="13.5"/>
    <col customWidth="1" min="6" max="6" width="9.75"/>
    <col customWidth="1" min="7" max="7" width="30.38"/>
    <col customWidth="1" min="8" max="8" width="4.5"/>
    <col customWidth="1" min="9" max="9" width="9.13"/>
    <col customWidth="1" min="10" max="11" width="6.75"/>
    <col customWidth="1" min="12" max="12" width="4.25"/>
    <col customWidth="1" min="13" max="13" width="42.75"/>
  </cols>
  <sheetData>
    <row r="1">
      <c r="A1" s="1"/>
      <c r="B1" s="4" t="s">
        <v>1</v>
      </c>
      <c r="C1" s="7" t="s">
        <v>3</v>
      </c>
      <c r="D1" s="9" t="s">
        <v>5</v>
      </c>
      <c r="E1" s="11" t="s">
        <v>6</v>
      </c>
      <c r="F1" s="7" t="s">
        <v>8</v>
      </c>
      <c r="G1" s="7" t="s">
        <v>9</v>
      </c>
      <c r="H1" s="4" t="s">
        <v>22</v>
      </c>
      <c r="I1" s="16" t="s">
        <v>23</v>
      </c>
      <c r="J1" s="16" t="s">
        <v>25</v>
      </c>
      <c r="K1" s="20" t="s">
        <v>27</v>
      </c>
      <c r="L1" s="20" t="s">
        <v>28</v>
      </c>
      <c r="M1" s="23" t="s">
        <v>30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31" t="s">
        <v>39</v>
      </c>
      <c r="B2" s="32">
        <v>46014.0</v>
      </c>
      <c r="C2" s="35" t="s">
        <v>51</v>
      </c>
      <c r="D2" s="9" t="s">
        <v>53</v>
      </c>
      <c r="E2" s="11" t="s">
        <v>54</v>
      </c>
      <c r="F2" s="38" t="s">
        <v>56</v>
      </c>
      <c r="G2" s="39" t="s">
        <v>57</v>
      </c>
      <c r="H2" s="41"/>
      <c r="I2" s="45" t="s">
        <v>56</v>
      </c>
      <c r="J2" s="47">
        <v>46014.0</v>
      </c>
      <c r="K2" s="48">
        <v>46130.0</v>
      </c>
      <c r="L2" s="50">
        <v>2.0</v>
      </c>
      <c r="M2" s="53" t="s">
        <v>75</v>
      </c>
    </row>
    <row r="3">
      <c r="A3" s="56" t="s">
        <v>76</v>
      </c>
      <c r="B3" s="58">
        <v>46023.0</v>
      </c>
      <c r="C3" s="35" t="s">
        <v>51</v>
      </c>
      <c r="D3" s="9" t="s">
        <v>81</v>
      </c>
      <c r="E3" s="11" t="s">
        <v>82</v>
      </c>
      <c r="F3" s="61" t="s">
        <v>83</v>
      </c>
      <c r="G3" s="62" t="s">
        <v>86</v>
      </c>
      <c r="H3" s="63" t="s">
        <v>22</v>
      </c>
      <c r="I3" s="64" t="s">
        <v>89</v>
      </c>
      <c r="J3" s="65">
        <v>46024.0</v>
      </c>
      <c r="K3" s="66"/>
      <c r="L3" s="67"/>
      <c r="M3" s="53" t="s">
        <v>93</v>
      </c>
    </row>
    <row r="4">
      <c r="A4" s="56" t="s">
        <v>39</v>
      </c>
      <c r="B4" s="58">
        <v>46023.0</v>
      </c>
      <c r="C4" s="35" t="s">
        <v>51</v>
      </c>
      <c r="D4" s="9" t="s">
        <v>96</v>
      </c>
      <c r="E4" s="11" t="s">
        <v>98</v>
      </c>
      <c r="F4" s="61" t="s">
        <v>83</v>
      </c>
      <c r="G4" s="62" t="s">
        <v>99</v>
      </c>
      <c r="H4" s="63" t="s">
        <v>22</v>
      </c>
      <c r="I4" s="64" t="s">
        <v>89</v>
      </c>
      <c r="J4" s="65">
        <v>46025.0</v>
      </c>
      <c r="K4" s="66"/>
      <c r="L4" s="67"/>
      <c r="M4" s="68" t="s">
        <v>102</v>
      </c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>
      <c r="A5" s="56" t="s">
        <v>39</v>
      </c>
      <c r="B5" s="58">
        <v>46023.0</v>
      </c>
      <c r="C5" s="35" t="s">
        <v>51</v>
      </c>
      <c r="D5" s="9" t="s">
        <v>112</v>
      </c>
      <c r="E5" s="11" t="s">
        <v>113</v>
      </c>
      <c r="F5" s="61" t="s">
        <v>83</v>
      </c>
      <c r="G5" s="62" t="s">
        <v>116</v>
      </c>
      <c r="H5" s="63" t="s">
        <v>22</v>
      </c>
      <c r="I5" s="64" t="s">
        <v>56</v>
      </c>
      <c r="J5" s="65">
        <v>46023.0</v>
      </c>
      <c r="K5" s="65">
        <v>46025.0</v>
      </c>
      <c r="L5" s="63">
        <v>2.0</v>
      </c>
      <c r="M5" s="68" t="s">
        <v>118</v>
      </c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</row>
    <row r="6">
      <c r="A6" s="56" t="s">
        <v>120</v>
      </c>
      <c r="B6" s="58">
        <v>46024.0</v>
      </c>
      <c r="C6" s="35" t="s">
        <v>51</v>
      </c>
      <c r="D6" s="9" t="s">
        <v>96</v>
      </c>
      <c r="E6" s="11" t="s">
        <v>123</v>
      </c>
      <c r="F6" s="61"/>
      <c r="G6" s="62" t="s">
        <v>124</v>
      </c>
      <c r="H6" s="67"/>
      <c r="I6" s="71" t="s">
        <v>83</v>
      </c>
      <c r="J6" s="72">
        <v>46133.0</v>
      </c>
      <c r="K6" s="66"/>
      <c r="L6" s="67"/>
      <c r="M6" s="53" t="s">
        <v>127</v>
      </c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</row>
    <row r="7">
      <c r="A7" s="56" t="s">
        <v>76</v>
      </c>
      <c r="B7" s="58">
        <v>46024.0</v>
      </c>
      <c r="C7" s="35" t="s">
        <v>51</v>
      </c>
      <c r="D7" s="9" t="s">
        <v>130</v>
      </c>
      <c r="E7" s="11" t="s">
        <v>131</v>
      </c>
      <c r="F7" s="61" t="s">
        <v>83</v>
      </c>
      <c r="G7" s="62" t="s">
        <v>132</v>
      </c>
      <c r="H7" s="63" t="s">
        <v>22</v>
      </c>
      <c r="I7" s="64" t="s">
        <v>56</v>
      </c>
      <c r="J7" s="65">
        <v>46025.0</v>
      </c>
      <c r="K7" s="66"/>
      <c r="L7" s="67"/>
      <c r="M7" s="68" t="s">
        <v>134</v>
      </c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>
      <c r="A8" s="56" t="s">
        <v>39</v>
      </c>
      <c r="B8" s="58">
        <v>46024.0</v>
      </c>
      <c r="C8" s="35" t="s">
        <v>51</v>
      </c>
      <c r="D8" s="9" t="s">
        <v>136</v>
      </c>
      <c r="E8" s="11" t="s">
        <v>137</v>
      </c>
      <c r="F8" s="61"/>
      <c r="G8" s="62" t="s">
        <v>138</v>
      </c>
      <c r="H8" s="67"/>
      <c r="I8" s="64" t="s">
        <v>89</v>
      </c>
      <c r="J8" s="65">
        <v>46025.0</v>
      </c>
      <c r="K8" s="66"/>
      <c r="L8" s="67"/>
      <c r="M8" s="68" t="s">
        <v>140</v>
      </c>
    </row>
    <row r="9">
      <c r="A9" s="56" t="s">
        <v>39</v>
      </c>
      <c r="B9" s="58">
        <v>46024.0</v>
      </c>
      <c r="C9" s="35" t="s">
        <v>51</v>
      </c>
      <c r="D9" s="9" t="s">
        <v>141</v>
      </c>
      <c r="E9" s="11" t="s">
        <v>142</v>
      </c>
      <c r="F9" s="61" t="s">
        <v>83</v>
      </c>
      <c r="G9" s="62" t="s">
        <v>143</v>
      </c>
      <c r="H9" s="63" t="s">
        <v>22</v>
      </c>
      <c r="I9" s="64" t="s">
        <v>89</v>
      </c>
      <c r="J9" s="65">
        <v>46025.0</v>
      </c>
      <c r="K9" s="65">
        <v>46032.0</v>
      </c>
      <c r="L9" s="63">
        <v>4.0</v>
      </c>
      <c r="M9" s="68" t="s">
        <v>144</v>
      </c>
    </row>
    <row r="10">
      <c r="A10" s="81" t="s">
        <v>145</v>
      </c>
      <c r="B10" s="58">
        <v>46025.0</v>
      </c>
      <c r="C10" s="35" t="s">
        <v>51</v>
      </c>
      <c r="D10" s="9" t="s">
        <v>148</v>
      </c>
      <c r="E10" s="11" t="s">
        <v>149</v>
      </c>
      <c r="F10" s="61" t="s">
        <v>89</v>
      </c>
      <c r="G10" s="83" t="s">
        <v>150</v>
      </c>
      <c r="H10" s="63" t="s">
        <v>22</v>
      </c>
      <c r="I10" s="64"/>
      <c r="J10" s="65">
        <v>46029.0</v>
      </c>
      <c r="K10" s="66"/>
      <c r="L10" s="67"/>
      <c r="M10" s="84" t="s">
        <v>152</v>
      </c>
    </row>
    <row r="11">
      <c r="A11" s="81" t="s">
        <v>145</v>
      </c>
      <c r="B11" s="58">
        <v>46025.0</v>
      </c>
      <c r="C11" s="35" t="s">
        <v>51</v>
      </c>
      <c r="D11" s="9" t="s">
        <v>154</v>
      </c>
      <c r="E11" s="11" t="s">
        <v>155</v>
      </c>
      <c r="F11" s="61" t="s">
        <v>89</v>
      </c>
      <c r="G11" s="85" t="s">
        <v>157</v>
      </c>
      <c r="H11" s="63" t="s">
        <v>22</v>
      </c>
      <c r="I11" s="64"/>
      <c r="J11" s="65">
        <v>46029.0</v>
      </c>
      <c r="K11" s="66"/>
      <c r="L11" s="67"/>
      <c r="M11" s="68" t="s">
        <v>159</v>
      </c>
    </row>
    <row r="12">
      <c r="A12" s="81" t="s">
        <v>145</v>
      </c>
      <c r="B12" s="58">
        <v>46025.0</v>
      </c>
      <c r="C12" s="35" t="s">
        <v>51</v>
      </c>
      <c r="D12" s="9" t="s">
        <v>160</v>
      </c>
      <c r="E12" s="11" t="s">
        <v>161</v>
      </c>
      <c r="F12" s="61" t="s">
        <v>89</v>
      </c>
      <c r="G12" s="87" t="s">
        <v>163</v>
      </c>
      <c r="H12" s="63" t="s">
        <v>22</v>
      </c>
      <c r="I12" s="64"/>
      <c r="J12" s="65">
        <v>46028.0</v>
      </c>
      <c r="K12" s="66"/>
      <c r="L12" s="67"/>
      <c r="M12" s="84" t="s">
        <v>165</v>
      </c>
    </row>
    <row r="13">
      <c r="A13" s="81" t="s">
        <v>145</v>
      </c>
      <c r="B13" s="58">
        <v>46025.0</v>
      </c>
      <c r="C13" s="35" t="s">
        <v>51</v>
      </c>
      <c r="D13" s="9" t="s">
        <v>168</v>
      </c>
      <c r="E13" s="11" t="s">
        <v>169</v>
      </c>
      <c r="F13" s="61" t="s">
        <v>89</v>
      </c>
      <c r="G13" s="89" t="s">
        <v>171</v>
      </c>
      <c r="H13" s="63" t="s">
        <v>22</v>
      </c>
      <c r="I13" s="64"/>
      <c r="J13" s="65">
        <v>46025.0</v>
      </c>
      <c r="K13" s="66"/>
      <c r="L13" s="67"/>
      <c r="M13" s="84" t="s">
        <v>173</v>
      </c>
    </row>
    <row r="14">
      <c r="A14" s="81" t="s">
        <v>145</v>
      </c>
      <c r="B14" s="58">
        <v>46025.0</v>
      </c>
      <c r="C14" s="35" t="s">
        <v>51</v>
      </c>
      <c r="D14" s="9" t="s">
        <v>179</v>
      </c>
      <c r="E14" s="11" t="s">
        <v>181</v>
      </c>
      <c r="F14" s="61" t="s">
        <v>56</v>
      </c>
      <c r="G14" s="62" t="s">
        <v>182</v>
      </c>
      <c r="H14" s="63" t="s">
        <v>22</v>
      </c>
      <c r="I14" s="64"/>
      <c r="J14" s="65">
        <v>46029.0</v>
      </c>
      <c r="K14" s="66"/>
      <c r="L14" s="67"/>
      <c r="M14" s="68" t="s">
        <v>183</v>
      </c>
    </row>
    <row r="15">
      <c r="A15" s="56" t="s">
        <v>120</v>
      </c>
      <c r="B15" s="58">
        <v>46025.0</v>
      </c>
      <c r="C15" s="35" t="s">
        <v>51</v>
      </c>
      <c r="D15" s="9" t="s">
        <v>186</v>
      </c>
      <c r="E15" s="11" t="s">
        <v>188</v>
      </c>
      <c r="F15" s="61" t="s">
        <v>89</v>
      </c>
      <c r="G15" s="89" t="s">
        <v>189</v>
      </c>
      <c r="H15" s="63" t="s">
        <v>22</v>
      </c>
      <c r="I15" s="64" t="s">
        <v>56</v>
      </c>
      <c r="J15" s="65">
        <v>46025.0</v>
      </c>
      <c r="K15" s="66"/>
      <c r="L15" s="67"/>
      <c r="M15" s="68" t="s">
        <v>191</v>
      </c>
    </row>
    <row r="16">
      <c r="A16" s="56" t="s">
        <v>120</v>
      </c>
      <c r="B16" s="58">
        <v>46025.0</v>
      </c>
      <c r="C16" s="35" t="s">
        <v>51</v>
      </c>
      <c r="D16" s="9" t="s">
        <v>193</v>
      </c>
      <c r="E16" s="11" t="s">
        <v>194</v>
      </c>
      <c r="F16" s="61" t="s">
        <v>56</v>
      </c>
      <c r="G16" s="100" t="s">
        <v>197</v>
      </c>
      <c r="H16" s="63" t="s">
        <v>22</v>
      </c>
      <c r="I16" s="64"/>
      <c r="J16" s="65">
        <v>46029.0</v>
      </c>
      <c r="K16" s="66"/>
      <c r="L16" s="67"/>
      <c r="M16" s="68" t="s">
        <v>199</v>
      </c>
    </row>
    <row r="17">
      <c r="A17" s="56" t="s">
        <v>120</v>
      </c>
      <c r="B17" s="58">
        <v>46025.0</v>
      </c>
      <c r="C17" s="35" t="s">
        <v>51</v>
      </c>
      <c r="D17" s="9" t="s">
        <v>201</v>
      </c>
      <c r="E17" s="11" t="s">
        <v>202</v>
      </c>
      <c r="F17" s="61" t="s">
        <v>83</v>
      </c>
      <c r="G17" s="62" t="s">
        <v>204</v>
      </c>
      <c r="H17" s="63" t="s">
        <v>22</v>
      </c>
      <c r="I17" s="64" t="s">
        <v>89</v>
      </c>
      <c r="J17" s="65">
        <v>46025.0</v>
      </c>
      <c r="K17" s="66"/>
      <c r="L17" s="67"/>
      <c r="M17" s="68" t="s">
        <v>207</v>
      </c>
    </row>
    <row r="18">
      <c r="A18" s="56" t="s">
        <v>76</v>
      </c>
      <c r="B18" s="58">
        <v>46025.0</v>
      </c>
      <c r="C18" s="35" t="s">
        <v>51</v>
      </c>
      <c r="D18" s="9" t="s">
        <v>208</v>
      </c>
      <c r="E18" s="11" t="s">
        <v>209</v>
      </c>
      <c r="F18" s="61" t="s">
        <v>89</v>
      </c>
      <c r="G18" s="101" t="s">
        <v>211</v>
      </c>
      <c r="H18" s="63" t="s">
        <v>22</v>
      </c>
      <c r="I18" s="64" t="s">
        <v>56</v>
      </c>
      <c r="J18" s="65">
        <v>46032.0</v>
      </c>
      <c r="K18" s="66"/>
      <c r="L18" s="67"/>
      <c r="M18" s="68" t="s">
        <v>214</v>
      </c>
    </row>
    <row r="19">
      <c r="A19" s="56" t="s">
        <v>76</v>
      </c>
      <c r="B19" s="58">
        <v>46025.0</v>
      </c>
      <c r="C19" s="35" t="s">
        <v>51</v>
      </c>
      <c r="D19" s="9" t="s">
        <v>217</v>
      </c>
      <c r="E19" s="11" t="s">
        <v>218</v>
      </c>
      <c r="F19" s="61" t="s">
        <v>89</v>
      </c>
      <c r="G19" s="85" t="s">
        <v>157</v>
      </c>
      <c r="H19" s="63" t="s">
        <v>22</v>
      </c>
      <c r="I19" s="64" t="s">
        <v>89</v>
      </c>
      <c r="J19" s="65">
        <v>46029.0</v>
      </c>
      <c r="K19" s="66"/>
      <c r="L19" s="67"/>
      <c r="M19" s="68" t="s">
        <v>221</v>
      </c>
    </row>
    <row r="20">
      <c r="A20" s="56" t="s">
        <v>39</v>
      </c>
      <c r="B20" s="58">
        <v>46025.0</v>
      </c>
      <c r="C20" s="35" t="s">
        <v>51</v>
      </c>
      <c r="D20" s="9" t="s">
        <v>224</v>
      </c>
      <c r="E20" s="11" t="s">
        <v>225</v>
      </c>
      <c r="F20" s="102" t="s">
        <v>89</v>
      </c>
      <c r="G20" s="100" t="s">
        <v>197</v>
      </c>
      <c r="H20" s="63" t="s">
        <v>22</v>
      </c>
      <c r="I20" s="64" t="s">
        <v>83</v>
      </c>
      <c r="J20" s="65">
        <v>46025.0</v>
      </c>
      <c r="K20" s="66"/>
      <c r="L20" s="67"/>
      <c r="M20" s="68" t="s">
        <v>232</v>
      </c>
    </row>
    <row r="21">
      <c r="A21" s="56" t="s">
        <v>39</v>
      </c>
      <c r="B21" s="58">
        <v>46025.0</v>
      </c>
      <c r="C21" s="35" t="s">
        <v>51</v>
      </c>
      <c r="D21" s="9" t="s">
        <v>234</v>
      </c>
      <c r="E21" s="11" t="s">
        <v>235</v>
      </c>
      <c r="F21" s="61" t="s">
        <v>89</v>
      </c>
      <c r="G21" s="100" t="s">
        <v>197</v>
      </c>
      <c r="H21" s="63" t="s">
        <v>22</v>
      </c>
      <c r="I21" s="64" t="s">
        <v>56</v>
      </c>
      <c r="J21" s="65">
        <v>46028.0</v>
      </c>
      <c r="K21" s="66"/>
      <c r="L21" s="67"/>
      <c r="M21" s="68" t="s">
        <v>239</v>
      </c>
    </row>
    <row r="22">
      <c r="A22" s="56" t="s">
        <v>39</v>
      </c>
      <c r="B22" s="58">
        <v>46025.0</v>
      </c>
      <c r="C22" s="35" t="s">
        <v>51</v>
      </c>
      <c r="D22" s="9" t="s">
        <v>241</v>
      </c>
      <c r="E22" s="11" t="s">
        <v>242</v>
      </c>
      <c r="F22" s="61" t="s">
        <v>89</v>
      </c>
      <c r="G22" s="100" t="s">
        <v>197</v>
      </c>
      <c r="H22" s="63" t="s">
        <v>22</v>
      </c>
      <c r="I22" s="64" t="s">
        <v>89</v>
      </c>
      <c r="J22" s="65">
        <v>46028.0</v>
      </c>
      <c r="K22" s="65">
        <v>46039.0</v>
      </c>
      <c r="L22" s="63">
        <v>3.0</v>
      </c>
      <c r="M22" s="68" t="s">
        <v>247</v>
      </c>
    </row>
    <row r="23">
      <c r="A23" s="56" t="s">
        <v>39</v>
      </c>
      <c r="B23" s="58">
        <v>46025.0</v>
      </c>
      <c r="C23" s="35" t="s">
        <v>51</v>
      </c>
      <c r="D23" s="9" t="s">
        <v>250</v>
      </c>
      <c r="E23" s="11" t="s">
        <v>252</v>
      </c>
      <c r="F23" s="61" t="s">
        <v>89</v>
      </c>
      <c r="G23" s="87" t="s">
        <v>254</v>
      </c>
      <c r="H23" s="63" t="s">
        <v>22</v>
      </c>
      <c r="I23" s="64"/>
      <c r="J23" s="65">
        <v>46028.0</v>
      </c>
      <c r="K23" s="66"/>
      <c r="L23" s="67"/>
      <c r="M23" s="84" t="s">
        <v>256</v>
      </c>
    </row>
    <row r="24">
      <c r="A24" s="56" t="s">
        <v>39</v>
      </c>
      <c r="B24" s="58">
        <v>46025.0</v>
      </c>
      <c r="C24" s="35" t="s">
        <v>51</v>
      </c>
      <c r="D24" s="9" t="s">
        <v>261</v>
      </c>
      <c r="E24" s="11" t="s">
        <v>262</v>
      </c>
      <c r="F24" s="61" t="s">
        <v>56</v>
      </c>
      <c r="G24" s="108" t="s">
        <v>264</v>
      </c>
      <c r="H24" s="63" t="s">
        <v>22</v>
      </c>
      <c r="I24" s="64" t="s">
        <v>83</v>
      </c>
      <c r="J24" s="65">
        <v>46032.0</v>
      </c>
      <c r="K24" s="65">
        <v>46046.0</v>
      </c>
      <c r="L24" s="63">
        <v>2.0</v>
      </c>
      <c r="M24" s="53" t="s">
        <v>266</v>
      </c>
    </row>
    <row r="25">
      <c r="A25" s="56" t="s">
        <v>39</v>
      </c>
      <c r="B25" s="58">
        <v>46025.0</v>
      </c>
      <c r="C25" s="35" t="s">
        <v>51</v>
      </c>
      <c r="D25" s="9" t="s">
        <v>268</v>
      </c>
      <c r="E25" s="11" t="s">
        <v>269</v>
      </c>
      <c r="F25" s="61" t="s">
        <v>83</v>
      </c>
      <c r="G25" s="62" t="s">
        <v>270</v>
      </c>
      <c r="H25" s="63" t="s">
        <v>22</v>
      </c>
      <c r="I25" s="64" t="s">
        <v>89</v>
      </c>
      <c r="J25" s="65">
        <v>46030.0</v>
      </c>
      <c r="K25" s="65">
        <v>46036.0</v>
      </c>
      <c r="L25" s="63">
        <v>1.0</v>
      </c>
      <c r="M25" s="68" t="s">
        <v>272</v>
      </c>
    </row>
    <row r="26">
      <c r="A26" s="81" t="s">
        <v>145</v>
      </c>
      <c r="B26" s="58">
        <v>46026.0</v>
      </c>
      <c r="C26" s="35" t="s">
        <v>51</v>
      </c>
      <c r="D26" s="9" t="s">
        <v>274</v>
      </c>
      <c r="E26" s="11" t="s">
        <v>275</v>
      </c>
      <c r="F26" s="61" t="s">
        <v>56</v>
      </c>
      <c r="G26" s="87" t="s">
        <v>276</v>
      </c>
      <c r="H26" s="63" t="s">
        <v>22</v>
      </c>
      <c r="I26" s="64"/>
      <c r="J26" s="65">
        <v>46029.0</v>
      </c>
      <c r="K26" s="66"/>
      <c r="L26" s="67"/>
      <c r="M26" s="84" t="s">
        <v>183</v>
      </c>
    </row>
    <row r="27">
      <c r="A27" s="81" t="s">
        <v>145</v>
      </c>
      <c r="B27" s="58">
        <v>46026.0</v>
      </c>
      <c r="C27" s="35" t="s">
        <v>51</v>
      </c>
      <c r="D27" s="9" t="s">
        <v>279</v>
      </c>
      <c r="E27" s="11" t="s">
        <v>280</v>
      </c>
      <c r="F27" s="61" t="s">
        <v>56</v>
      </c>
      <c r="G27" s="87" t="s">
        <v>282</v>
      </c>
      <c r="H27" s="63" t="s">
        <v>22</v>
      </c>
      <c r="I27" s="64"/>
      <c r="J27" s="65">
        <v>46029.0</v>
      </c>
      <c r="K27" s="66"/>
      <c r="L27" s="67"/>
      <c r="M27" s="84" t="s">
        <v>173</v>
      </c>
    </row>
    <row r="28">
      <c r="A28" s="56" t="s">
        <v>120</v>
      </c>
      <c r="B28" s="58">
        <v>46026.0</v>
      </c>
      <c r="C28" s="35" t="s">
        <v>51</v>
      </c>
      <c r="D28" s="9" t="s">
        <v>284</v>
      </c>
      <c r="E28" s="11" t="s">
        <v>285</v>
      </c>
      <c r="F28" s="61" t="s">
        <v>56</v>
      </c>
      <c r="G28" s="83" t="s">
        <v>287</v>
      </c>
      <c r="H28" s="63" t="s">
        <v>22</v>
      </c>
      <c r="I28" s="64" t="s">
        <v>89</v>
      </c>
      <c r="J28" s="65">
        <v>46028.0</v>
      </c>
      <c r="K28" s="66"/>
      <c r="L28" s="67"/>
      <c r="M28" s="111" t="s">
        <v>183</v>
      </c>
    </row>
    <row r="29">
      <c r="A29" s="56" t="s">
        <v>120</v>
      </c>
      <c r="B29" s="58">
        <v>46026.0</v>
      </c>
      <c r="C29" s="35" t="s">
        <v>51</v>
      </c>
      <c r="D29" s="9" t="s">
        <v>291</v>
      </c>
      <c r="E29" s="11" t="s">
        <v>292</v>
      </c>
      <c r="F29" s="61" t="s">
        <v>56</v>
      </c>
      <c r="G29" s="85" t="s">
        <v>294</v>
      </c>
      <c r="H29" s="63" t="s">
        <v>22</v>
      </c>
      <c r="I29" s="64"/>
      <c r="J29" s="65">
        <v>46030.0</v>
      </c>
      <c r="K29" s="66"/>
      <c r="L29" s="67"/>
      <c r="M29" s="68" t="s">
        <v>296</v>
      </c>
    </row>
    <row r="30">
      <c r="A30" s="56" t="s">
        <v>120</v>
      </c>
      <c r="B30" s="58">
        <v>46026.0</v>
      </c>
      <c r="C30" s="35" t="s">
        <v>51</v>
      </c>
      <c r="D30" s="9" t="s">
        <v>300</v>
      </c>
      <c r="E30" s="11" t="s">
        <v>301</v>
      </c>
      <c r="F30" s="61" t="s">
        <v>56</v>
      </c>
      <c r="G30" s="89" t="s">
        <v>189</v>
      </c>
      <c r="H30" s="63" t="s">
        <v>22</v>
      </c>
      <c r="I30" s="64" t="s">
        <v>56</v>
      </c>
      <c r="J30" s="65">
        <v>46038.0</v>
      </c>
      <c r="K30" s="66"/>
      <c r="L30" s="67"/>
      <c r="M30" s="68" t="s">
        <v>302</v>
      </c>
    </row>
    <row r="31">
      <c r="A31" s="56" t="s">
        <v>39</v>
      </c>
      <c r="B31" s="58">
        <v>46026.0</v>
      </c>
      <c r="C31" s="35" t="s">
        <v>51</v>
      </c>
      <c r="D31" s="9" t="s">
        <v>303</v>
      </c>
      <c r="E31" s="11" t="s">
        <v>304</v>
      </c>
      <c r="F31" s="61" t="s">
        <v>56</v>
      </c>
      <c r="G31" s="85" t="s">
        <v>157</v>
      </c>
      <c r="H31" s="63" t="s">
        <v>22</v>
      </c>
      <c r="I31" s="64" t="s">
        <v>56</v>
      </c>
      <c r="J31" s="65">
        <v>46030.0</v>
      </c>
      <c r="K31" s="65">
        <v>46036.0</v>
      </c>
      <c r="L31" s="63">
        <v>1.0</v>
      </c>
      <c r="M31" s="68" t="s">
        <v>305</v>
      </c>
    </row>
    <row r="32">
      <c r="A32" s="56" t="s">
        <v>39</v>
      </c>
      <c r="B32" s="58">
        <v>46026.0</v>
      </c>
      <c r="C32" s="35" t="s">
        <v>51</v>
      </c>
      <c r="D32" s="9" t="s">
        <v>306</v>
      </c>
      <c r="E32" s="11" t="s">
        <v>307</v>
      </c>
      <c r="F32" s="61" t="s">
        <v>56</v>
      </c>
      <c r="G32" s="108" t="s">
        <v>264</v>
      </c>
      <c r="H32" s="63" t="s">
        <v>22</v>
      </c>
      <c r="I32" s="64" t="s">
        <v>56</v>
      </c>
      <c r="J32" s="65">
        <v>46038.0</v>
      </c>
      <c r="K32" s="66"/>
      <c r="L32" s="67"/>
      <c r="M32" s="68" t="s">
        <v>308</v>
      </c>
    </row>
    <row r="33">
      <c r="A33" s="56" t="s">
        <v>39</v>
      </c>
      <c r="B33" s="58">
        <v>46026.0</v>
      </c>
      <c r="C33" s="35" t="s">
        <v>51</v>
      </c>
      <c r="D33" s="9" t="s">
        <v>309</v>
      </c>
      <c r="E33" s="11" t="s">
        <v>310</v>
      </c>
      <c r="F33" s="61" t="s">
        <v>56</v>
      </c>
      <c r="G33" s="108" t="s">
        <v>264</v>
      </c>
      <c r="H33" s="63" t="s">
        <v>22</v>
      </c>
      <c r="I33" s="64" t="s">
        <v>83</v>
      </c>
      <c r="J33" s="65">
        <v>46032.0</v>
      </c>
      <c r="K33" s="65">
        <v>46039.0</v>
      </c>
      <c r="L33" s="63">
        <v>1.0</v>
      </c>
      <c r="M33" s="68" t="s">
        <v>311</v>
      </c>
    </row>
    <row r="34">
      <c r="A34" s="81" t="s">
        <v>145</v>
      </c>
      <c r="B34" s="58">
        <v>46027.0</v>
      </c>
      <c r="C34" s="35" t="s">
        <v>51</v>
      </c>
      <c r="D34" s="9" t="s">
        <v>312</v>
      </c>
      <c r="E34" s="11" t="s">
        <v>313</v>
      </c>
      <c r="F34" s="61" t="s">
        <v>56</v>
      </c>
      <c r="G34" s="85" t="s">
        <v>314</v>
      </c>
      <c r="H34" s="63" t="s">
        <v>22</v>
      </c>
      <c r="I34" s="64"/>
      <c r="J34" s="65">
        <v>46030.0</v>
      </c>
      <c r="K34" s="66"/>
      <c r="L34" s="67"/>
      <c r="M34" s="84" t="s">
        <v>173</v>
      </c>
    </row>
    <row r="35">
      <c r="A35" s="81" t="s">
        <v>145</v>
      </c>
      <c r="B35" s="58">
        <v>46027.0</v>
      </c>
      <c r="C35" s="35" t="s">
        <v>51</v>
      </c>
      <c r="D35" s="9" t="s">
        <v>315</v>
      </c>
      <c r="E35" s="11" t="s">
        <v>316</v>
      </c>
      <c r="F35" s="61" t="s">
        <v>56</v>
      </c>
      <c r="G35" s="87" t="s">
        <v>317</v>
      </c>
      <c r="H35" s="63" t="s">
        <v>22</v>
      </c>
      <c r="I35" s="64"/>
      <c r="J35" s="65">
        <v>46029.0</v>
      </c>
      <c r="K35" s="66"/>
      <c r="L35" s="67"/>
      <c r="M35" s="84" t="s">
        <v>183</v>
      </c>
    </row>
    <row r="36">
      <c r="A36" s="81" t="s">
        <v>145</v>
      </c>
      <c r="B36" s="58">
        <v>46027.0</v>
      </c>
      <c r="C36" s="35" t="s">
        <v>51</v>
      </c>
      <c r="D36" s="9" t="s">
        <v>318</v>
      </c>
      <c r="E36" s="11" t="s">
        <v>319</v>
      </c>
      <c r="F36" s="61" t="s">
        <v>56</v>
      </c>
      <c r="G36" s="87" t="s">
        <v>320</v>
      </c>
      <c r="H36" s="63" t="s">
        <v>22</v>
      </c>
      <c r="I36" s="64"/>
      <c r="J36" s="65">
        <v>46029.0</v>
      </c>
      <c r="K36" s="66"/>
      <c r="L36" s="67"/>
      <c r="M36" s="84" t="s">
        <v>183</v>
      </c>
    </row>
    <row r="37">
      <c r="A37" s="81" t="s">
        <v>145</v>
      </c>
      <c r="B37" s="58">
        <v>46027.0</v>
      </c>
      <c r="C37" s="35" t="s">
        <v>51</v>
      </c>
      <c r="D37" s="9" t="s">
        <v>321</v>
      </c>
      <c r="E37" s="11" t="s">
        <v>322</v>
      </c>
      <c r="F37" s="61" t="s">
        <v>56</v>
      </c>
      <c r="G37" s="87" t="s">
        <v>197</v>
      </c>
      <c r="H37" s="63" t="s">
        <v>22</v>
      </c>
      <c r="I37" s="64" t="s">
        <v>56</v>
      </c>
      <c r="J37" s="65">
        <v>46038.0</v>
      </c>
      <c r="K37" s="66"/>
      <c r="L37" s="67"/>
      <c r="M37" s="68" t="s">
        <v>173</v>
      </c>
    </row>
    <row r="38">
      <c r="A38" s="56" t="s">
        <v>120</v>
      </c>
      <c r="B38" s="58">
        <v>46027.0</v>
      </c>
      <c r="C38" s="35" t="s">
        <v>51</v>
      </c>
      <c r="D38" s="9" t="s">
        <v>323</v>
      </c>
      <c r="E38" s="11" t="s">
        <v>324</v>
      </c>
      <c r="F38" s="61" t="s">
        <v>56</v>
      </c>
      <c r="G38" s="85" t="s">
        <v>157</v>
      </c>
      <c r="H38" s="63" t="s">
        <v>22</v>
      </c>
      <c r="I38" s="64"/>
      <c r="J38" s="65">
        <v>46030.0</v>
      </c>
      <c r="K38" s="66"/>
      <c r="L38" s="67"/>
      <c r="M38" s="68" t="s">
        <v>325</v>
      </c>
    </row>
    <row r="39">
      <c r="A39" s="56" t="s">
        <v>39</v>
      </c>
      <c r="B39" s="58">
        <v>46027.0</v>
      </c>
      <c r="C39" s="35" t="s">
        <v>51</v>
      </c>
      <c r="D39" s="9" t="s">
        <v>326</v>
      </c>
      <c r="E39" s="11" t="s">
        <v>327</v>
      </c>
      <c r="F39" s="61" t="s">
        <v>56</v>
      </c>
      <c r="G39" s="113" t="s">
        <v>328</v>
      </c>
      <c r="H39" s="63" t="s">
        <v>22</v>
      </c>
      <c r="I39" s="64" t="s">
        <v>56</v>
      </c>
      <c r="J39" s="65">
        <v>46029.0</v>
      </c>
      <c r="K39" s="65">
        <v>46031.0</v>
      </c>
      <c r="L39" s="63">
        <v>4.0</v>
      </c>
      <c r="M39" s="68" t="s">
        <v>329</v>
      </c>
    </row>
    <row r="40">
      <c r="A40" s="56" t="s">
        <v>39</v>
      </c>
      <c r="B40" s="58">
        <v>46027.0</v>
      </c>
      <c r="C40" s="35" t="s">
        <v>51</v>
      </c>
      <c r="D40" s="9" t="s">
        <v>330</v>
      </c>
      <c r="E40" s="11" t="s">
        <v>331</v>
      </c>
      <c r="F40" s="61" t="s">
        <v>56</v>
      </c>
      <c r="G40" s="87" t="s">
        <v>197</v>
      </c>
      <c r="H40" s="63" t="s">
        <v>22</v>
      </c>
      <c r="I40" s="64" t="s">
        <v>89</v>
      </c>
      <c r="J40" s="65">
        <v>46029.0</v>
      </c>
      <c r="K40" s="66"/>
      <c r="L40" s="67"/>
      <c r="M40" s="68" t="s">
        <v>332</v>
      </c>
    </row>
    <row r="41">
      <c r="A41" s="81" t="s">
        <v>145</v>
      </c>
      <c r="B41" s="58">
        <v>46028.0</v>
      </c>
      <c r="C41" s="35" t="s">
        <v>51</v>
      </c>
      <c r="D41" s="9" t="s">
        <v>333</v>
      </c>
      <c r="E41" s="11" t="s">
        <v>334</v>
      </c>
      <c r="F41" s="61" t="s">
        <v>89</v>
      </c>
      <c r="G41" s="62" t="s">
        <v>335</v>
      </c>
      <c r="H41" s="67"/>
      <c r="I41" s="64" t="s">
        <v>89</v>
      </c>
      <c r="J41" s="65">
        <v>46030.0</v>
      </c>
      <c r="K41" s="66"/>
      <c r="L41" s="67"/>
      <c r="M41" s="84" t="s">
        <v>336</v>
      </c>
    </row>
    <row r="42">
      <c r="A42" s="56" t="s">
        <v>120</v>
      </c>
      <c r="B42" s="58">
        <v>46028.0</v>
      </c>
      <c r="C42" s="35" t="s">
        <v>51</v>
      </c>
      <c r="D42" s="9" t="s">
        <v>337</v>
      </c>
      <c r="E42" s="11" t="s">
        <v>338</v>
      </c>
      <c r="F42" s="61" t="s">
        <v>89</v>
      </c>
      <c r="G42" s="62" t="s">
        <v>339</v>
      </c>
      <c r="H42" s="67"/>
      <c r="I42" s="64" t="s">
        <v>89</v>
      </c>
      <c r="J42" s="65">
        <v>46028.0</v>
      </c>
      <c r="K42" s="66"/>
      <c r="L42" s="67"/>
      <c r="M42" s="68" t="s">
        <v>340</v>
      </c>
    </row>
    <row r="43">
      <c r="A43" s="56" t="s">
        <v>39</v>
      </c>
      <c r="B43" s="58">
        <v>46028.0</v>
      </c>
      <c r="C43" s="35" t="s">
        <v>51</v>
      </c>
      <c r="D43" s="9" t="s">
        <v>341</v>
      </c>
      <c r="E43" s="11" t="s">
        <v>342</v>
      </c>
      <c r="F43" s="61" t="s">
        <v>56</v>
      </c>
      <c r="G43" s="87" t="s">
        <v>197</v>
      </c>
      <c r="H43" s="63" t="s">
        <v>22</v>
      </c>
      <c r="I43" s="64" t="s">
        <v>89</v>
      </c>
      <c r="J43" s="65">
        <v>46029.0</v>
      </c>
      <c r="K43" s="66"/>
      <c r="L43" s="67"/>
      <c r="M43" s="68" t="s">
        <v>343</v>
      </c>
    </row>
    <row r="44">
      <c r="A44" s="56" t="s">
        <v>39</v>
      </c>
      <c r="B44" s="58">
        <v>46028.0</v>
      </c>
      <c r="C44" s="35" t="s">
        <v>51</v>
      </c>
      <c r="D44" s="9" t="s">
        <v>344</v>
      </c>
      <c r="E44" s="11" t="s">
        <v>345</v>
      </c>
      <c r="F44" s="61" t="s">
        <v>56</v>
      </c>
      <c r="G44" s="87" t="s">
        <v>197</v>
      </c>
      <c r="H44" s="63" t="s">
        <v>22</v>
      </c>
      <c r="I44" s="64" t="s">
        <v>83</v>
      </c>
      <c r="J44" s="65">
        <v>46032.0</v>
      </c>
      <c r="K44" s="66"/>
      <c r="L44" s="67"/>
      <c r="M44" s="68" t="s">
        <v>346</v>
      </c>
    </row>
    <row r="45">
      <c r="A45" s="56" t="s">
        <v>39</v>
      </c>
      <c r="B45" s="58">
        <v>46028.0</v>
      </c>
      <c r="C45" s="35" t="s">
        <v>51</v>
      </c>
      <c r="D45" s="9" t="s">
        <v>347</v>
      </c>
      <c r="E45" s="11" t="s">
        <v>348</v>
      </c>
      <c r="F45" s="61" t="s">
        <v>89</v>
      </c>
      <c r="G45" s="62" t="s">
        <v>349</v>
      </c>
      <c r="H45" s="67"/>
      <c r="I45" s="64" t="s">
        <v>89</v>
      </c>
      <c r="J45" s="65">
        <v>46028.0</v>
      </c>
      <c r="K45" s="65">
        <v>46043.0</v>
      </c>
      <c r="L45" s="63">
        <v>1.0</v>
      </c>
      <c r="M45" s="68"/>
    </row>
    <row r="46">
      <c r="A46" s="56" t="s">
        <v>39</v>
      </c>
      <c r="B46" s="58">
        <v>46028.0</v>
      </c>
      <c r="C46" s="35" t="s">
        <v>51</v>
      </c>
      <c r="D46" s="9" t="s">
        <v>350</v>
      </c>
      <c r="E46" s="11" t="s">
        <v>351</v>
      </c>
      <c r="F46" s="61" t="s">
        <v>89</v>
      </c>
      <c r="G46" s="62" t="s">
        <v>352</v>
      </c>
      <c r="H46" s="67"/>
      <c r="I46" s="64" t="s">
        <v>89</v>
      </c>
      <c r="J46" s="65">
        <v>46028.0</v>
      </c>
      <c r="K46" s="65">
        <v>46031.0</v>
      </c>
      <c r="L46" s="63">
        <v>2.0</v>
      </c>
      <c r="M46" s="68" t="s">
        <v>353</v>
      </c>
    </row>
    <row r="47">
      <c r="A47" s="56" t="s">
        <v>39</v>
      </c>
      <c r="B47" s="58">
        <v>46028.0</v>
      </c>
      <c r="C47" s="35" t="s">
        <v>51</v>
      </c>
      <c r="D47" s="9" t="s">
        <v>354</v>
      </c>
      <c r="E47" s="11" t="s">
        <v>355</v>
      </c>
      <c r="F47" s="61" t="s">
        <v>89</v>
      </c>
      <c r="G47" s="62" t="s">
        <v>356</v>
      </c>
      <c r="H47" s="67"/>
      <c r="I47" s="64" t="s">
        <v>89</v>
      </c>
      <c r="J47" s="65">
        <v>46030.0</v>
      </c>
      <c r="K47" s="65">
        <v>46036.0</v>
      </c>
      <c r="L47" s="63">
        <v>2.0</v>
      </c>
      <c r="M47" s="53" t="s">
        <v>357</v>
      </c>
    </row>
    <row r="48">
      <c r="A48" s="56" t="s">
        <v>39</v>
      </c>
      <c r="B48" s="58">
        <v>46028.0</v>
      </c>
      <c r="C48" s="35" t="s">
        <v>51</v>
      </c>
      <c r="D48" s="9" t="s">
        <v>358</v>
      </c>
      <c r="E48" s="11" t="s">
        <v>359</v>
      </c>
      <c r="F48" s="61" t="s">
        <v>56</v>
      </c>
      <c r="G48" s="62" t="s">
        <v>360</v>
      </c>
      <c r="H48" s="63" t="s">
        <v>22</v>
      </c>
      <c r="I48" s="64" t="s">
        <v>89</v>
      </c>
      <c r="J48" s="63">
        <v>1.8</v>
      </c>
      <c r="K48" s="66"/>
      <c r="L48" s="67"/>
      <c r="M48" s="68" t="s">
        <v>361</v>
      </c>
    </row>
    <row r="49">
      <c r="A49" s="81" t="s">
        <v>39</v>
      </c>
      <c r="B49" s="58">
        <v>46028.0</v>
      </c>
      <c r="C49" s="35" t="s">
        <v>51</v>
      </c>
      <c r="D49" s="9" t="s">
        <v>362</v>
      </c>
      <c r="E49" s="11" t="s">
        <v>363</v>
      </c>
      <c r="F49" s="61" t="s">
        <v>56</v>
      </c>
      <c r="G49" s="87" t="s">
        <v>197</v>
      </c>
      <c r="H49" s="63" t="s">
        <v>22</v>
      </c>
      <c r="I49" s="71" t="s">
        <v>83</v>
      </c>
      <c r="J49" s="72">
        <v>46133.0</v>
      </c>
      <c r="K49" s="114">
        <v>46165.0</v>
      </c>
      <c r="L49" s="31">
        <v>2.0</v>
      </c>
      <c r="M49" s="115" t="s">
        <v>364</v>
      </c>
    </row>
    <row r="50">
      <c r="A50" s="81" t="s">
        <v>145</v>
      </c>
      <c r="B50" s="58">
        <v>46029.0</v>
      </c>
      <c r="C50" s="35" t="s">
        <v>51</v>
      </c>
      <c r="D50" s="9" t="s">
        <v>365</v>
      </c>
      <c r="E50" s="11" t="s">
        <v>366</v>
      </c>
      <c r="F50" s="61" t="s">
        <v>83</v>
      </c>
      <c r="G50" s="87" t="s">
        <v>197</v>
      </c>
      <c r="H50" s="63" t="s">
        <v>22</v>
      </c>
      <c r="I50" s="64"/>
      <c r="J50" s="65">
        <v>46030.0</v>
      </c>
      <c r="K50" s="66"/>
      <c r="L50" s="67"/>
      <c r="M50" s="84" t="s">
        <v>183</v>
      </c>
    </row>
    <row r="51">
      <c r="A51" s="81" t="s">
        <v>145</v>
      </c>
      <c r="B51" s="58">
        <v>46029.0</v>
      </c>
      <c r="C51" s="35" t="s">
        <v>51</v>
      </c>
      <c r="D51" s="9" t="s">
        <v>367</v>
      </c>
      <c r="E51" s="11" t="s">
        <v>368</v>
      </c>
      <c r="F51" s="61" t="s">
        <v>83</v>
      </c>
      <c r="G51" s="87" t="s">
        <v>197</v>
      </c>
      <c r="H51" s="63" t="s">
        <v>22</v>
      </c>
      <c r="I51" s="64"/>
      <c r="J51" s="65">
        <v>46030.0</v>
      </c>
      <c r="K51" s="66"/>
      <c r="L51" s="67"/>
      <c r="M51" s="84" t="s">
        <v>173</v>
      </c>
    </row>
    <row r="52">
      <c r="A52" s="81" t="s">
        <v>145</v>
      </c>
      <c r="B52" s="58">
        <v>46029.0</v>
      </c>
      <c r="C52" s="35" t="s">
        <v>51</v>
      </c>
      <c r="D52" s="9" t="s">
        <v>370</v>
      </c>
      <c r="E52" s="11" t="s">
        <v>371</v>
      </c>
      <c r="F52" s="61" t="s">
        <v>56</v>
      </c>
      <c r="G52" s="87" t="s">
        <v>197</v>
      </c>
      <c r="H52" s="63" t="s">
        <v>22</v>
      </c>
      <c r="I52" s="64"/>
      <c r="J52" s="65">
        <v>46031.0</v>
      </c>
      <c r="K52" s="66"/>
      <c r="L52" s="67"/>
      <c r="M52" s="68" t="s">
        <v>183</v>
      </c>
    </row>
    <row r="53">
      <c r="A53" s="56" t="s">
        <v>120</v>
      </c>
      <c r="B53" s="58">
        <v>46029.0</v>
      </c>
      <c r="C53" s="35" t="s">
        <v>51</v>
      </c>
      <c r="D53" s="9" t="s">
        <v>372</v>
      </c>
      <c r="E53" s="11" t="s">
        <v>373</v>
      </c>
      <c r="F53" s="61" t="s">
        <v>83</v>
      </c>
      <c r="G53" s="83" t="s">
        <v>374</v>
      </c>
      <c r="H53" s="63" t="s">
        <v>22</v>
      </c>
      <c r="I53" s="64" t="s">
        <v>89</v>
      </c>
      <c r="J53" s="65">
        <v>46030.0</v>
      </c>
      <c r="K53" s="66"/>
      <c r="L53" s="67"/>
      <c r="M53" s="68" t="s">
        <v>375</v>
      </c>
    </row>
    <row r="54">
      <c r="A54" s="56" t="s">
        <v>120</v>
      </c>
      <c r="B54" s="58">
        <v>46029.0</v>
      </c>
      <c r="C54" s="35" t="s">
        <v>51</v>
      </c>
      <c r="D54" s="9" t="s">
        <v>376</v>
      </c>
      <c r="E54" s="11" t="s">
        <v>377</v>
      </c>
      <c r="F54" s="61" t="s">
        <v>83</v>
      </c>
      <c r="G54" s="89" t="s">
        <v>189</v>
      </c>
      <c r="H54" s="63" t="s">
        <v>22</v>
      </c>
      <c r="I54" s="64" t="s">
        <v>56</v>
      </c>
      <c r="J54" s="65">
        <v>46038.0</v>
      </c>
      <c r="K54" s="66"/>
      <c r="L54" s="67"/>
      <c r="M54" s="68" t="s">
        <v>378</v>
      </c>
    </row>
    <row r="55">
      <c r="A55" s="56" t="s">
        <v>120</v>
      </c>
      <c r="B55" s="58">
        <v>46029.0</v>
      </c>
      <c r="C55" s="35" t="s">
        <v>51</v>
      </c>
      <c r="D55" s="9" t="s">
        <v>379</v>
      </c>
      <c r="E55" s="11" t="s">
        <v>380</v>
      </c>
      <c r="F55" s="61" t="s">
        <v>83</v>
      </c>
      <c r="G55" s="89" t="s">
        <v>189</v>
      </c>
      <c r="H55" s="63" t="s">
        <v>22</v>
      </c>
      <c r="I55" s="64" t="s">
        <v>83</v>
      </c>
      <c r="J55" s="65">
        <v>46032.0</v>
      </c>
      <c r="K55" s="66"/>
      <c r="L55" s="67"/>
      <c r="M55" s="53" t="s">
        <v>381</v>
      </c>
    </row>
    <row r="56">
      <c r="A56" s="56" t="s">
        <v>76</v>
      </c>
      <c r="B56" s="58">
        <v>46029.0</v>
      </c>
      <c r="C56" s="35" t="s">
        <v>51</v>
      </c>
      <c r="D56" s="9" t="s">
        <v>382</v>
      </c>
      <c r="E56" s="11" t="s">
        <v>383</v>
      </c>
      <c r="F56" s="61" t="s">
        <v>83</v>
      </c>
      <c r="G56" s="83" t="s">
        <v>157</v>
      </c>
      <c r="H56" s="63" t="s">
        <v>22</v>
      </c>
      <c r="I56" s="64" t="s">
        <v>89</v>
      </c>
      <c r="J56" s="65">
        <v>46030.0</v>
      </c>
      <c r="K56" s="66"/>
      <c r="L56" s="67"/>
      <c r="M56" s="68" t="s">
        <v>384</v>
      </c>
    </row>
    <row r="57">
      <c r="A57" s="56" t="s">
        <v>39</v>
      </c>
      <c r="B57" s="58">
        <v>46029.0</v>
      </c>
      <c r="C57" s="35" t="s">
        <v>51</v>
      </c>
      <c r="D57" s="9" t="s">
        <v>385</v>
      </c>
      <c r="E57" s="11" t="s">
        <v>386</v>
      </c>
      <c r="F57" s="61" t="s">
        <v>89</v>
      </c>
      <c r="G57" s="62" t="s">
        <v>387</v>
      </c>
      <c r="H57" s="67"/>
      <c r="I57" s="64" t="s">
        <v>89</v>
      </c>
      <c r="J57" s="65">
        <v>46030.0</v>
      </c>
      <c r="K57" s="65">
        <v>46053.0</v>
      </c>
      <c r="L57" s="63">
        <v>2.0</v>
      </c>
      <c r="M57" s="53" t="s">
        <v>388</v>
      </c>
    </row>
    <row r="58">
      <c r="A58" s="56" t="s">
        <v>39</v>
      </c>
      <c r="B58" s="58">
        <v>46029.0</v>
      </c>
      <c r="C58" s="35" t="s">
        <v>51</v>
      </c>
      <c r="D58" s="9" t="s">
        <v>389</v>
      </c>
      <c r="E58" s="11" t="s">
        <v>390</v>
      </c>
      <c r="F58" s="61" t="s">
        <v>89</v>
      </c>
      <c r="G58" s="62" t="s">
        <v>391</v>
      </c>
      <c r="H58" s="63" t="s">
        <v>22</v>
      </c>
      <c r="I58" s="64" t="s">
        <v>89</v>
      </c>
      <c r="J58" s="65">
        <v>46030.0</v>
      </c>
      <c r="K58" s="66"/>
      <c r="L58" s="67"/>
      <c r="M58" s="68" t="s">
        <v>392</v>
      </c>
    </row>
    <row r="59">
      <c r="A59" s="56" t="s">
        <v>39</v>
      </c>
      <c r="B59" s="58">
        <v>46030.0</v>
      </c>
      <c r="C59" s="35" t="s">
        <v>51</v>
      </c>
      <c r="D59" s="9" t="s">
        <v>323</v>
      </c>
      <c r="E59" s="11" t="s">
        <v>324</v>
      </c>
      <c r="F59" s="61" t="s">
        <v>89</v>
      </c>
      <c r="G59" s="62" t="s">
        <v>393</v>
      </c>
      <c r="H59" s="67"/>
      <c r="I59" s="64" t="s">
        <v>89</v>
      </c>
      <c r="J59" s="65">
        <v>46030.0</v>
      </c>
      <c r="K59" s="65">
        <v>46043.0</v>
      </c>
      <c r="L59" s="63">
        <v>3.0</v>
      </c>
      <c r="M59" s="68" t="s">
        <v>394</v>
      </c>
    </row>
    <row r="60">
      <c r="A60" s="56" t="s">
        <v>39</v>
      </c>
      <c r="B60" s="58">
        <v>46030.0</v>
      </c>
      <c r="C60" s="35" t="s">
        <v>51</v>
      </c>
      <c r="D60" s="9" t="s">
        <v>395</v>
      </c>
      <c r="E60" s="11" t="s">
        <v>396</v>
      </c>
      <c r="F60" s="120" t="s">
        <v>83</v>
      </c>
      <c r="G60" s="62" t="s">
        <v>397</v>
      </c>
      <c r="H60" s="63" t="s">
        <v>22</v>
      </c>
      <c r="I60" s="64" t="s">
        <v>89</v>
      </c>
      <c r="J60" s="65">
        <v>46030.0</v>
      </c>
      <c r="K60" s="65">
        <v>46043.0</v>
      </c>
      <c r="L60" s="63">
        <v>2.0</v>
      </c>
      <c r="M60" s="68" t="s">
        <v>398</v>
      </c>
    </row>
    <row r="61">
      <c r="A61" s="81" t="s">
        <v>145</v>
      </c>
      <c r="B61" s="58">
        <v>46031.0</v>
      </c>
      <c r="C61" s="35" t="s">
        <v>51</v>
      </c>
      <c r="D61" s="9" t="s">
        <v>399</v>
      </c>
      <c r="E61" s="11" t="s">
        <v>400</v>
      </c>
      <c r="F61" s="61" t="s">
        <v>89</v>
      </c>
      <c r="G61" s="62" t="s">
        <v>401</v>
      </c>
      <c r="H61" s="63" t="s">
        <v>22</v>
      </c>
      <c r="I61" s="64" t="s">
        <v>56</v>
      </c>
      <c r="J61" s="65">
        <v>46038.0</v>
      </c>
      <c r="K61" s="66"/>
      <c r="L61" s="67"/>
      <c r="M61" s="53" t="s">
        <v>402</v>
      </c>
    </row>
    <row r="62">
      <c r="A62" s="56" t="s">
        <v>39</v>
      </c>
      <c r="B62" s="58">
        <v>46031.0</v>
      </c>
      <c r="C62" s="35" t="s">
        <v>51</v>
      </c>
      <c r="D62" s="9" t="s">
        <v>403</v>
      </c>
      <c r="E62" s="11" t="s">
        <v>404</v>
      </c>
      <c r="F62" s="61" t="s">
        <v>56</v>
      </c>
      <c r="G62" s="87" t="s">
        <v>197</v>
      </c>
      <c r="H62" s="63" t="s">
        <v>22</v>
      </c>
      <c r="I62" s="64"/>
      <c r="J62" s="65">
        <v>46035.0</v>
      </c>
      <c r="K62" s="66"/>
      <c r="L62" s="67"/>
      <c r="M62" s="68" t="s">
        <v>405</v>
      </c>
    </row>
    <row r="63">
      <c r="A63" s="56" t="s">
        <v>39</v>
      </c>
      <c r="B63" s="58">
        <v>46031.0</v>
      </c>
      <c r="C63" s="35" t="s">
        <v>51</v>
      </c>
      <c r="D63" s="9" t="s">
        <v>406</v>
      </c>
      <c r="E63" s="11" t="s">
        <v>407</v>
      </c>
      <c r="F63" s="61" t="s">
        <v>83</v>
      </c>
      <c r="G63" s="62" t="s">
        <v>408</v>
      </c>
      <c r="H63" s="63" t="s">
        <v>22</v>
      </c>
      <c r="I63" s="64" t="s">
        <v>83</v>
      </c>
      <c r="J63" s="65">
        <v>46032.0</v>
      </c>
      <c r="K63" s="65">
        <v>46036.0</v>
      </c>
      <c r="L63" s="63">
        <v>2.0</v>
      </c>
      <c r="M63" s="68" t="s">
        <v>409</v>
      </c>
    </row>
    <row r="64">
      <c r="A64" s="56" t="s">
        <v>39</v>
      </c>
      <c r="B64" s="58">
        <v>46031.0</v>
      </c>
      <c r="C64" s="35" t="s">
        <v>51</v>
      </c>
      <c r="D64" s="9" t="s">
        <v>410</v>
      </c>
      <c r="E64" s="11" t="s">
        <v>411</v>
      </c>
      <c r="F64" s="61" t="s">
        <v>56</v>
      </c>
      <c r="G64" s="121" t="s">
        <v>412</v>
      </c>
      <c r="H64" s="67"/>
      <c r="I64" s="64" t="s">
        <v>56</v>
      </c>
      <c r="J64" s="65">
        <v>46031.0</v>
      </c>
      <c r="K64" s="65">
        <v>46039.0</v>
      </c>
      <c r="L64" s="63">
        <v>2.0</v>
      </c>
      <c r="M64" s="68" t="s">
        <v>413</v>
      </c>
    </row>
    <row r="65">
      <c r="A65" s="56" t="s">
        <v>120</v>
      </c>
      <c r="B65" s="58">
        <v>46032.0</v>
      </c>
      <c r="C65" s="35" t="s">
        <v>51</v>
      </c>
      <c r="D65" s="9" t="s">
        <v>414</v>
      </c>
      <c r="E65" s="11" t="s">
        <v>415</v>
      </c>
      <c r="F65" s="61" t="s">
        <v>56</v>
      </c>
      <c r="G65" s="108" t="s">
        <v>264</v>
      </c>
      <c r="H65" s="63" t="s">
        <v>22</v>
      </c>
      <c r="I65" s="64" t="s">
        <v>56</v>
      </c>
      <c r="J65" s="65">
        <v>46038.0</v>
      </c>
      <c r="K65" s="66"/>
      <c r="L65" s="67"/>
      <c r="M65" s="68" t="s">
        <v>416</v>
      </c>
    </row>
    <row r="66">
      <c r="A66" s="56" t="s">
        <v>76</v>
      </c>
      <c r="B66" s="58">
        <v>46032.0</v>
      </c>
      <c r="C66" s="35" t="s">
        <v>51</v>
      </c>
      <c r="D66" s="9" t="s">
        <v>417</v>
      </c>
      <c r="E66" s="11" t="s">
        <v>418</v>
      </c>
      <c r="F66" s="61" t="s">
        <v>56</v>
      </c>
      <c r="G66" s="62" t="s">
        <v>419</v>
      </c>
      <c r="H66" s="67"/>
      <c r="I66" s="64" t="s">
        <v>56</v>
      </c>
      <c r="J66" s="65">
        <v>46035.0</v>
      </c>
      <c r="K66" s="66"/>
      <c r="L66" s="67"/>
      <c r="M66" s="68" t="s">
        <v>420</v>
      </c>
    </row>
    <row r="67">
      <c r="A67" s="56" t="s">
        <v>39</v>
      </c>
      <c r="B67" s="58">
        <v>46032.0</v>
      </c>
      <c r="C67" s="35" t="s">
        <v>51</v>
      </c>
      <c r="D67" s="9" t="s">
        <v>421</v>
      </c>
      <c r="E67" s="11" t="s">
        <v>422</v>
      </c>
      <c r="F67" s="61" t="s">
        <v>56</v>
      </c>
      <c r="G67" s="108" t="s">
        <v>264</v>
      </c>
      <c r="H67" s="63" t="s">
        <v>22</v>
      </c>
      <c r="I67" s="64" t="s">
        <v>56</v>
      </c>
      <c r="J67" s="65">
        <v>46038.0</v>
      </c>
      <c r="K67" s="66"/>
      <c r="L67" s="67"/>
      <c r="M67" s="68" t="s">
        <v>423</v>
      </c>
    </row>
    <row r="68">
      <c r="A68" s="56" t="s">
        <v>39</v>
      </c>
      <c r="B68" s="58">
        <v>46033.0</v>
      </c>
      <c r="C68" s="35" t="s">
        <v>51</v>
      </c>
      <c r="D68" s="9" t="s">
        <v>424</v>
      </c>
      <c r="E68" s="11" t="s">
        <v>425</v>
      </c>
      <c r="F68" s="61" t="s">
        <v>56</v>
      </c>
      <c r="G68" s="122" t="s">
        <v>426</v>
      </c>
      <c r="H68" s="63" t="s">
        <v>22</v>
      </c>
      <c r="I68" s="64" t="s">
        <v>56</v>
      </c>
      <c r="J68" s="65">
        <v>46035.0</v>
      </c>
      <c r="K68" s="65">
        <v>46046.0</v>
      </c>
      <c r="L68" s="63">
        <v>3.0</v>
      </c>
      <c r="M68" s="68" t="s">
        <v>427</v>
      </c>
    </row>
    <row r="69">
      <c r="A69" s="81" t="s">
        <v>39</v>
      </c>
      <c r="B69" s="58">
        <v>46033.0</v>
      </c>
      <c r="C69" s="35" t="s">
        <v>51</v>
      </c>
      <c r="D69" s="9" t="s">
        <v>428</v>
      </c>
      <c r="E69" s="11" t="s">
        <v>429</v>
      </c>
      <c r="F69" s="61" t="s">
        <v>56</v>
      </c>
      <c r="G69" s="62" t="s">
        <v>430</v>
      </c>
      <c r="H69" s="67"/>
      <c r="I69" s="64" t="s">
        <v>56</v>
      </c>
      <c r="J69" s="65">
        <v>46035.0</v>
      </c>
      <c r="K69" s="66"/>
      <c r="L69" s="67"/>
      <c r="M69" s="68" t="s">
        <v>431</v>
      </c>
    </row>
    <row r="70">
      <c r="A70" s="56" t="s">
        <v>76</v>
      </c>
      <c r="B70" s="58">
        <v>46034.0</v>
      </c>
      <c r="C70" s="35" t="s">
        <v>51</v>
      </c>
      <c r="D70" s="9" t="s">
        <v>432</v>
      </c>
      <c r="E70" s="11" t="s">
        <v>433</v>
      </c>
      <c r="F70" s="61" t="s">
        <v>56</v>
      </c>
      <c r="G70" s="87" t="s">
        <v>197</v>
      </c>
      <c r="H70" s="63" t="s">
        <v>22</v>
      </c>
      <c r="I70" s="64" t="s">
        <v>56</v>
      </c>
      <c r="J70" s="65">
        <v>46035.0</v>
      </c>
      <c r="K70" s="66"/>
      <c r="L70" s="67"/>
      <c r="M70" s="68" t="s">
        <v>434</v>
      </c>
    </row>
    <row r="71">
      <c r="A71" s="56" t="s">
        <v>39</v>
      </c>
      <c r="B71" s="58">
        <v>46034.0</v>
      </c>
      <c r="C71" s="35" t="s">
        <v>51</v>
      </c>
      <c r="D71" s="9" t="s">
        <v>435</v>
      </c>
      <c r="E71" s="11" t="s">
        <v>436</v>
      </c>
      <c r="F71" s="61" t="s">
        <v>56</v>
      </c>
      <c r="G71" s="62" t="s">
        <v>437</v>
      </c>
      <c r="H71" s="63" t="s">
        <v>22</v>
      </c>
      <c r="I71" s="64" t="s">
        <v>56</v>
      </c>
      <c r="J71" s="65">
        <v>46035.0</v>
      </c>
      <c r="K71" s="65">
        <v>46036.0</v>
      </c>
      <c r="L71" s="63">
        <v>2.0</v>
      </c>
      <c r="M71" s="68" t="s">
        <v>438</v>
      </c>
    </row>
    <row r="72">
      <c r="A72" s="81" t="s">
        <v>120</v>
      </c>
      <c r="B72" s="58">
        <v>46035.0</v>
      </c>
      <c r="C72" s="35" t="s">
        <v>51</v>
      </c>
      <c r="D72" s="9" t="s">
        <v>439</v>
      </c>
      <c r="E72" s="11" t="s">
        <v>440</v>
      </c>
      <c r="F72" s="61" t="s">
        <v>56</v>
      </c>
      <c r="G72" s="87" t="s">
        <v>197</v>
      </c>
      <c r="H72" s="63" t="s">
        <v>22</v>
      </c>
      <c r="I72" s="64" t="s">
        <v>83</v>
      </c>
      <c r="J72" s="65">
        <v>46038.0</v>
      </c>
      <c r="K72" s="66"/>
      <c r="L72" s="67"/>
      <c r="M72" s="68" t="s">
        <v>441</v>
      </c>
    </row>
    <row r="73">
      <c r="A73" s="56" t="s">
        <v>120</v>
      </c>
      <c r="B73" s="58">
        <v>46035.0</v>
      </c>
      <c r="C73" s="35" t="s">
        <v>51</v>
      </c>
      <c r="D73" s="9" t="s">
        <v>442</v>
      </c>
      <c r="E73" s="11" t="s">
        <v>443</v>
      </c>
      <c r="F73" s="61" t="s">
        <v>56</v>
      </c>
      <c r="G73" s="87" t="s">
        <v>197</v>
      </c>
      <c r="H73" s="63" t="s">
        <v>22</v>
      </c>
      <c r="I73" s="64" t="s">
        <v>83</v>
      </c>
      <c r="J73" s="65">
        <v>46042.0</v>
      </c>
      <c r="K73" s="66"/>
      <c r="L73" s="67"/>
      <c r="M73" s="68" t="s">
        <v>444</v>
      </c>
    </row>
    <row r="74">
      <c r="A74" s="56" t="s">
        <v>120</v>
      </c>
      <c r="B74" s="58">
        <v>46035.0</v>
      </c>
      <c r="C74" s="35" t="s">
        <v>51</v>
      </c>
      <c r="D74" s="9" t="s">
        <v>445</v>
      </c>
      <c r="E74" s="11" t="s">
        <v>446</v>
      </c>
      <c r="F74" s="61" t="s">
        <v>56</v>
      </c>
      <c r="G74" s="87" t="s">
        <v>197</v>
      </c>
      <c r="H74" s="63" t="s">
        <v>22</v>
      </c>
      <c r="I74" s="64" t="s">
        <v>83</v>
      </c>
      <c r="J74" s="65">
        <v>46038.0</v>
      </c>
      <c r="K74" s="66"/>
      <c r="L74" s="67"/>
      <c r="M74" s="68" t="s">
        <v>447</v>
      </c>
    </row>
    <row r="75">
      <c r="A75" s="56" t="s">
        <v>76</v>
      </c>
      <c r="B75" s="58">
        <v>46035.0</v>
      </c>
      <c r="C75" s="35" t="s">
        <v>51</v>
      </c>
      <c r="D75" s="9" t="s">
        <v>448</v>
      </c>
      <c r="E75" s="11" t="s">
        <v>449</v>
      </c>
      <c r="F75" s="61" t="s">
        <v>56</v>
      </c>
      <c r="G75" s="62" t="s">
        <v>450</v>
      </c>
      <c r="H75" s="63" t="s">
        <v>22</v>
      </c>
      <c r="I75" s="64" t="s">
        <v>83</v>
      </c>
      <c r="J75" s="65">
        <v>46036.0</v>
      </c>
      <c r="K75" s="66"/>
      <c r="L75" s="67"/>
      <c r="M75" s="68" t="s">
        <v>451</v>
      </c>
    </row>
    <row r="76">
      <c r="A76" s="56" t="s">
        <v>76</v>
      </c>
      <c r="B76" s="58">
        <v>46035.0</v>
      </c>
      <c r="C76" s="35" t="s">
        <v>51</v>
      </c>
      <c r="D76" s="9" t="s">
        <v>452</v>
      </c>
      <c r="E76" s="11" t="s">
        <v>453</v>
      </c>
      <c r="F76" s="61" t="s">
        <v>89</v>
      </c>
      <c r="G76" s="62" t="s">
        <v>454</v>
      </c>
      <c r="H76" s="63" t="s">
        <v>22</v>
      </c>
      <c r="I76" s="64" t="s">
        <v>89</v>
      </c>
      <c r="J76" s="65">
        <v>46035.0</v>
      </c>
      <c r="K76" s="66"/>
      <c r="L76" s="67"/>
      <c r="M76" s="68" t="s">
        <v>455</v>
      </c>
    </row>
    <row r="77">
      <c r="A77" s="56" t="s">
        <v>39</v>
      </c>
      <c r="B77" s="58">
        <v>46035.0</v>
      </c>
      <c r="C77" s="35" t="s">
        <v>51</v>
      </c>
      <c r="D77" s="9" t="s">
        <v>456</v>
      </c>
      <c r="E77" s="11" t="s">
        <v>457</v>
      </c>
      <c r="F77" s="61" t="s">
        <v>89</v>
      </c>
      <c r="G77" s="62" t="s">
        <v>458</v>
      </c>
      <c r="H77" s="63" t="s">
        <v>22</v>
      </c>
      <c r="I77" s="64" t="s">
        <v>56</v>
      </c>
      <c r="J77" s="65">
        <v>46035.0</v>
      </c>
      <c r="K77" s="65">
        <v>46049.0</v>
      </c>
      <c r="L77" s="63">
        <v>2.0</v>
      </c>
      <c r="M77" s="53" t="s">
        <v>459</v>
      </c>
    </row>
    <row r="78">
      <c r="A78" s="81" t="s">
        <v>145</v>
      </c>
      <c r="B78" s="58">
        <v>46036.0</v>
      </c>
      <c r="C78" s="35" t="s">
        <v>51</v>
      </c>
      <c r="D78" s="9" t="s">
        <v>460</v>
      </c>
      <c r="E78" s="11" t="s">
        <v>461</v>
      </c>
      <c r="F78" s="61" t="s">
        <v>56</v>
      </c>
      <c r="G78" s="108" t="s">
        <v>264</v>
      </c>
      <c r="H78" s="63" t="s">
        <v>22</v>
      </c>
      <c r="I78" s="64" t="s">
        <v>56</v>
      </c>
      <c r="J78" s="65">
        <v>46038.0</v>
      </c>
      <c r="K78" s="66"/>
      <c r="L78" s="67"/>
      <c r="M78" s="68" t="s">
        <v>462</v>
      </c>
    </row>
    <row r="79">
      <c r="A79" s="81" t="s">
        <v>145</v>
      </c>
      <c r="B79" s="58">
        <v>46036.0</v>
      </c>
      <c r="C79" s="35" t="s">
        <v>51</v>
      </c>
      <c r="D79" s="9" t="s">
        <v>463</v>
      </c>
      <c r="E79" s="11" t="s">
        <v>464</v>
      </c>
      <c r="F79" s="61" t="s">
        <v>56</v>
      </c>
      <c r="G79" s="89" t="s">
        <v>189</v>
      </c>
      <c r="H79" s="63" t="s">
        <v>22</v>
      </c>
      <c r="I79" s="64" t="s">
        <v>56</v>
      </c>
      <c r="J79" s="65">
        <v>46042.0</v>
      </c>
      <c r="K79" s="66"/>
      <c r="L79" s="67"/>
      <c r="M79" s="68" t="s">
        <v>173</v>
      </c>
    </row>
    <row r="80">
      <c r="A80" s="56" t="s">
        <v>120</v>
      </c>
      <c r="B80" s="58">
        <v>46036.0</v>
      </c>
      <c r="C80" s="35" t="s">
        <v>51</v>
      </c>
      <c r="D80" s="9" t="s">
        <v>465</v>
      </c>
      <c r="E80" s="11" t="s">
        <v>466</v>
      </c>
      <c r="F80" s="61" t="s">
        <v>56</v>
      </c>
      <c r="G80" s="89" t="s">
        <v>189</v>
      </c>
      <c r="H80" s="63" t="s">
        <v>22</v>
      </c>
      <c r="I80" s="64" t="s">
        <v>56</v>
      </c>
      <c r="J80" s="65">
        <v>46038.0</v>
      </c>
      <c r="K80" s="66"/>
      <c r="L80" s="67"/>
      <c r="M80" s="68" t="s">
        <v>467</v>
      </c>
    </row>
    <row r="81">
      <c r="A81" s="56" t="s">
        <v>120</v>
      </c>
      <c r="B81" s="58">
        <v>46036.0</v>
      </c>
      <c r="C81" s="35" t="s">
        <v>51</v>
      </c>
      <c r="D81" s="9" t="s">
        <v>468</v>
      </c>
      <c r="E81" s="11" t="s">
        <v>469</v>
      </c>
      <c r="F81" s="61" t="s">
        <v>83</v>
      </c>
      <c r="G81" s="62" t="s">
        <v>470</v>
      </c>
      <c r="H81" s="63" t="s">
        <v>22</v>
      </c>
      <c r="I81" s="64" t="s">
        <v>83</v>
      </c>
      <c r="J81" s="65">
        <v>46036.0</v>
      </c>
      <c r="K81" s="63" t="s">
        <v>471</v>
      </c>
      <c r="L81" s="67"/>
      <c r="M81" s="68" t="s">
        <v>472</v>
      </c>
    </row>
    <row r="82">
      <c r="A82" s="56" t="s">
        <v>120</v>
      </c>
      <c r="B82" s="58">
        <v>46036.0</v>
      </c>
      <c r="C82" s="35" t="s">
        <v>51</v>
      </c>
      <c r="D82" s="9" t="s">
        <v>473</v>
      </c>
      <c r="E82" s="11" t="s">
        <v>474</v>
      </c>
      <c r="F82" s="61" t="s">
        <v>89</v>
      </c>
      <c r="G82" s="62" t="s">
        <v>475</v>
      </c>
      <c r="H82" s="63" t="s">
        <v>22</v>
      </c>
      <c r="I82" s="64" t="s">
        <v>56</v>
      </c>
      <c r="J82" s="65">
        <v>46038.0</v>
      </c>
      <c r="K82" s="66"/>
      <c r="L82" s="67"/>
      <c r="M82" s="68" t="s">
        <v>476</v>
      </c>
    </row>
    <row r="83">
      <c r="A83" s="56" t="s">
        <v>120</v>
      </c>
      <c r="B83" s="58">
        <v>46036.0</v>
      </c>
      <c r="C83" s="35" t="s">
        <v>51</v>
      </c>
      <c r="D83" s="9" t="s">
        <v>478</v>
      </c>
      <c r="E83" s="11" t="s">
        <v>479</v>
      </c>
      <c r="F83" s="61" t="s">
        <v>83</v>
      </c>
      <c r="G83" s="62" t="s">
        <v>480</v>
      </c>
      <c r="H83" s="63" t="s">
        <v>22</v>
      </c>
      <c r="I83" s="64" t="s">
        <v>83</v>
      </c>
      <c r="J83" s="65">
        <v>46036.0</v>
      </c>
      <c r="K83" s="66"/>
      <c r="L83" s="67"/>
      <c r="M83" s="53" t="s">
        <v>481</v>
      </c>
    </row>
    <row r="84">
      <c r="A84" s="81" t="s">
        <v>39</v>
      </c>
      <c r="B84" s="58">
        <v>46036.0</v>
      </c>
      <c r="C84" s="35" t="s">
        <v>51</v>
      </c>
      <c r="D84" s="9" t="s">
        <v>482</v>
      </c>
      <c r="E84" s="11" t="s">
        <v>483</v>
      </c>
      <c r="F84" s="61" t="s">
        <v>56</v>
      </c>
      <c r="G84" s="87" t="s">
        <v>197</v>
      </c>
      <c r="H84" s="63" t="s">
        <v>22</v>
      </c>
      <c r="I84" s="64" t="s">
        <v>83</v>
      </c>
      <c r="J84" s="65">
        <v>46038.0</v>
      </c>
      <c r="K84" s="65">
        <v>46049.0</v>
      </c>
      <c r="L84" s="63">
        <v>1.0</v>
      </c>
      <c r="M84" s="68" t="s">
        <v>484</v>
      </c>
    </row>
    <row r="85">
      <c r="A85" s="56" t="s">
        <v>39</v>
      </c>
      <c r="B85" s="58">
        <v>46036.0</v>
      </c>
      <c r="C85" s="35" t="s">
        <v>51</v>
      </c>
      <c r="D85" s="9" t="s">
        <v>485</v>
      </c>
      <c r="E85" s="11" t="s">
        <v>486</v>
      </c>
      <c r="F85" s="61" t="s">
        <v>56</v>
      </c>
      <c r="G85" s="89" t="s">
        <v>189</v>
      </c>
      <c r="H85" s="63" t="s">
        <v>22</v>
      </c>
      <c r="I85" s="64" t="s">
        <v>56</v>
      </c>
      <c r="J85" s="65">
        <v>46042.0</v>
      </c>
      <c r="K85" s="66"/>
      <c r="L85" s="67"/>
      <c r="M85" s="68" t="s">
        <v>487</v>
      </c>
    </row>
    <row r="86">
      <c r="A86" s="56" t="s">
        <v>39</v>
      </c>
      <c r="B86" s="58">
        <v>46036.0</v>
      </c>
      <c r="C86" s="35" t="s">
        <v>51</v>
      </c>
      <c r="D86" s="9" t="s">
        <v>488</v>
      </c>
      <c r="E86" s="11" t="s">
        <v>489</v>
      </c>
      <c r="F86" s="61" t="s">
        <v>83</v>
      </c>
      <c r="G86" s="62" t="s">
        <v>490</v>
      </c>
      <c r="H86" s="63" t="s">
        <v>22</v>
      </c>
      <c r="I86" s="64" t="s">
        <v>83</v>
      </c>
      <c r="J86" s="65">
        <v>46036.0</v>
      </c>
      <c r="K86" s="65">
        <v>46069.0</v>
      </c>
      <c r="L86" s="63">
        <v>5.0</v>
      </c>
      <c r="M86" s="68"/>
    </row>
    <row r="87">
      <c r="A87" s="81" t="s">
        <v>145</v>
      </c>
      <c r="B87" s="58">
        <v>46037.0</v>
      </c>
      <c r="C87" s="35" t="s">
        <v>51</v>
      </c>
      <c r="D87" s="9" t="s">
        <v>491</v>
      </c>
      <c r="E87" s="11" t="s">
        <v>492</v>
      </c>
      <c r="F87" s="61" t="s">
        <v>56</v>
      </c>
      <c r="G87" s="89" t="s">
        <v>189</v>
      </c>
      <c r="H87" s="63" t="s">
        <v>22</v>
      </c>
      <c r="I87" s="64" t="s">
        <v>56</v>
      </c>
      <c r="J87" s="65">
        <v>46042.0</v>
      </c>
      <c r="K87" s="66"/>
      <c r="L87" s="67"/>
      <c r="M87" s="68" t="s">
        <v>173</v>
      </c>
    </row>
    <row r="88">
      <c r="A88" s="81" t="s">
        <v>145</v>
      </c>
      <c r="B88" s="58">
        <v>46037.0</v>
      </c>
      <c r="C88" s="35" t="s">
        <v>51</v>
      </c>
      <c r="D88" s="9" t="s">
        <v>493</v>
      </c>
      <c r="E88" s="11" t="s">
        <v>494</v>
      </c>
      <c r="F88" s="61" t="s">
        <v>56</v>
      </c>
      <c r="G88" s="83" t="s">
        <v>157</v>
      </c>
      <c r="H88" s="63" t="s">
        <v>22</v>
      </c>
      <c r="I88" s="64" t="s">
        <v>56</v>
      </c>
      <c r="J88" s="65">
        <v>46042.0</v>
      </c>
      <c r="K88" s="66"/>
      <c r="L88" s="67"/>
      <c r="M88" s="68" t="s">
        <v>495</v>
      </c>
    </row>
    <row r="89">
      <c r="A89" s="81" t="s">
        <v>145</v>
      </c>
      <c r="B89" s="58">
        <v>46037.0</v>
      </c>
      <c r="C89" s="35" t="s">
        <v>51</v>
      </c>
      <c r="D89" s="9" t="s">
        <v>496</v>
      </c>
      <c r="E89" s="11" t="s">
        <v>497</v>
      </c>
      <c r="F89" s="61" t="s">
        <v>56</v>
      </c>
      <c r="G89" s="87" t="s">
        <v>197</v>
      </c>
      <c r="H89" s="63" t="s">
        <v>22</v>
      </c>
      <c r="I89" s="64" t="s">
        <v>56</v>
      </c>
      <c r="J89" s="65">
        <v>46042.0</v>
      </c>
      <c r="K89" s="66"/>
      <c r="L89" s="67"/>
      <c r="M89" s="68" t="s">
        <v>183</v>
      </c>
    </row>
    <row r="90">
      <c r="A90" s="56" t="s">
        <v>120</v>
      </c>
      <c r="B90" s="58">
        <v>46037.0</v>
      </c>
      <c r="C90" s="35" t="s">
        <v>51</v>
      </c>
      <c r="D90" s="9" t="s">
        <v>498</v>
      </c>
      <c r="E90" s="11" t="s">
        <v>499</v>
      </c>
      <c r="F90" s="61" t="s">
        <v>56</v>
      </c>
      <c r="G90" s="83" t="s">
        <v>157</v>
      </c>
      <c r="H90" s="63" t="s">
        <v>22</v>
      </c>
      <c r="I90" s="64" t="s">
        <v>56</v>
      </c>
      <c r="J90" s="65">
        <v>46038.0</v>
      </c>
      <c r="K90" s="66"/>
      <c r="L90" s="67"/>
      <c r="M90" s="68" t="s">
        <v>500</v>
      </c>
    </row>
    <row r="91">
      <c r="A91" s="56" t="s">
        <v>120</v>
      </c>
      <c r="B91" s="58">
        <v>46037.0</v>
      </c>
      <c r="C91" s="35" t="s">
        <v>51</v>
      </c>
      <c r="D91" s="9" t="s">
        <v>501</v>
      </c>
      <c r="E91" s="11" t="s">
        <v>502</v>
      </c>
      <c r="F91" s="61" t="s">
        <v>56</v>
      </c>
      <c r="G91" s="83" t="s">
        <v>157</v>
      </c>
      <c r="H91" s="63" t="s">
        <v>22</v>
      </c>
      <c r="I91" s="64" t="s">
        <v>56</v>
      </c>
      <c r="J91" s="65">
        <v>46038.0</v>
      </c>
      <c r="K91" s="66"/>
      <c r="L91" s="67"/>
      <c r="M91" s="68" t="s">
        <v>503</v>
      </c>
    </row>
    <row r="92">
      <c r="A92" s="56" t="s">
        <v>76</v>
      </c>
      <c r="B92" s="58">
        <v>46037.0</v>
      </c>
      <c r="C92" s="35" t="s">
        <v>51</v>
      </c>
      <c r="D92" s="9" t="s">
        <v>504</v>
      </c>
      <c r="E92" s="11" t="s">
        <v>505</v>
      </c>
      <c r="F92" s="61" t="s">
        <v>56</v>
      </c>
      <c r="G92" s="87" t="s">
        <v>197</v>
      </c>
      <c r="H92" s="63" t="s">
        <v>22</v>
      </c>
      <c r="I92" s="71" t="s">
        <v>83</v>
      </c>
      <c r="J92" s="72">
        <v>46077.0</v>
      </c>
      <c r="K92" s="66"/>
      <c r="L92" s="67"/>
      <c r="M92" s="115" t="s">
        <v>506</v>
      </c>
    </row>
    <row r="93">
      <c r="A93" s="56" t="s">
        <v>76</v>
      </c>
      <c r="B93" s="58">
        <v>46037.0</v>
      </c>
      <c r="C93" s="35" t="s">
        <v>51</v>
      </c>
      <c r="D93" s="9" t="s">
        <v>507</v>
      </c>
      <c r="E93" s="11" t="s">
        <v>508</v>
      </c>
      <c r="F93" s="61" t="s">
        <v>56</v>
      </c>
      <c r="G93" s="89" t="s">
        <v>189</v>
      </c>
      <c r="H93" s="63" t="s">
        <v>22</v>
      </c>
      <c r="I93" s="64" t="s">
        <v>56</v>
      </c>
      <c r="J93" s="65">
        <v>46042.0</v>
      </c>
      <c r="K93" s="66"/>
      <c r="L93" s="67"/>
      <c r="M93" s="130" t="s">
        <v>509</v>
      </c>
    </row>
    <row r="94">
      <c r="A94" s="56" t="s">
        <v>76</v>
      </c>
      <c r="B94" s="58">
        <v>46037.0</v>
      </c>
      <c r="C94" s="35" t="s">
        <v>51</v>
      </c>
      <c r="D94" s="9" t="s">
        <v>510</v>
      </c>
      <c r="E94" s="11" t="s">
        <v>511</v>
      </c>
      <c r="F94" s="61" t="s">
        <v>56</v>
      </c>
      <c r="G94" s="62" t="s">
        <v>512</v>
      </c>
      <c r="H94" s="67"/>
      <c r="I94" s="64" t="s">
        <v>56</v>
      </c>
      <c r="J94" s="65">
        <v>46039.0</v>
      </c>
      <c r="K94" s="66"/>
      <c r="L94" s="67"/>
      <c r="M94" s="68" t="s">
        <v>513</v>
      </c>
    </row>
    <row r="95">
      <c r="A95" s="56" t="s">
        <v>39</v>
      </c>
      <c r="B95" s="58">
        <v>46037.0</v>
      </c>
      <c r="C95" s="35" t="s">
        <v>51</v>
      </c>
      <c r="D95" s="9" t="s">
        <v>514</v>
      </c>
      <c r="E95" s="11" t="s">
        <v>515</v>
      </c>
      <c r="F95" s="61" t="s">
        <v>56</v>
      </c>
      <c r="G95" s="87" t="s">
        <v>197</v>
      </c>
      <c r="H95" s="63" t="s">
        <v>22</v>
      </c>
      <c r="I95" s="64" t="s">
        <v>56</v>
      </c>
      <c r="J95" s="65">
        <v>46038.0</v>
      </c>
      <c r="K95" s="66"/>
      <c r="L95" s="67"/>
      <c r="M95" s="68" t="s">
        <v>516</v>
      </c>
    </row>
    <row r="96">
      <c r="A96" s="81" t="s">
        <v>39</v>
      </c>
      <c r="B96" s="58">
        <v>46037.0</v>
      </c>
      <c r="C96" s="35" t="s">
        <v>51</v>
      </c>
      <c r="D96" s="9" t="s">
        <v>517</v>
      </c>
      <c r="E96" s="11" t="s">
        <v>518</v>
      </c>
      <c r="F96" s="61" t="s">
        <v>89</v>
      </c>
      <c r="G96" s="62" t="s">
        <v>393</v>
      </c>
      <c r="H96" s="63" t="s">
        <v>22</v>
      </c>
      <c r="I96" s="64" t="s">
        <v>56</v>
      </c>
      <c r="J96" s="65">
        <v>46039.0</v>
      </c>
      <c r="K96" s="72">
        <v>46058.0</v>
      </c>
      <c r="L96" s="131">
        <v>3.0</v>
      </c>
      <c r="M96" s="53" t="s">
        <v>519</v>
      </c>
    </row>
    <row r="97">
      <c r="A97" s="81" t="s">
        <v>145</v>
      </c>
      <c r="B97" s="58">
        <v>46038.0</v>
      </c>
      <c r="C97" s="35" t="s">
        <v>51</v>
      </c>
      <c r="D97" s="9" t="s">
        <v>520</v>
      </c>
      <c r="E97" s="11" t="s">
        <v>521</v>
      </c>
      <c r="F97" s="61" t="s">
        <v>56</v>
      </c>
      <c r="G97" s="83" t="s">
        <v>157</v>
      </c>
      <c r="H97" s="63" t="s">
        <v>22</v>
      </c>
      <c r="I97" s="64" t="s">
        <v>56</v>
      </c>
      <c r="J97" s="65">
        <v>46042.0</v>
      </c>
      <c r="K97" s="66"/>
      <c r="L97" s="67"/>
      <c r="M97" s="68" t="s">
        <v>522</v>
      </c>
    </row>
    <row r="98">
      <c r="A98" s="81" t="s">
        <v>145</v>
      </c>
      <c r="B98" s="58">
        <v>46038.0</v>
      </c>
      <c r="C98" s="35" t="s">
        <v>51</v>
      </c>
      <c r="D98" s="9" t="s">
        <v>523</v>
      </c>
      <c r="E98" s="11" t="s">
        <v>524</v>
      </c>
      <c r="F98" s="61" t="s">
        <v>56</v>
      </c>
      <c r="G98" s="87" t="s">
        <v>197</v>
      </c>
      <c r="H98" s="63" t="s">
        <v>22</v>
      </c>
      <c r="I98" s="64" t="s">
        <v>56</v>
      </c>
      <c r="J98" s="65">
        <v>46042.0</v>
      </c>
      <c r="K98" s="66"/>
      <c r="L98" s="67"/>
      <c r="M98" s="68" t="s">
        <v>183</v>
      </c>
    </row>
    <row r="99">
      <c r="A99" s="81" t="s">
        <v>145</v>
      </c>
      <c r="B99" s="58">
        <v>46038.0</v>
      </c>
      <c r="C99" s="35" t="s">
        <v>51</v>
      </c>
      <c r="D99" s="9" t="s">
        <v>525</v>
      </c>
      <c r="E99" s="11" t="s">
        <v>526</v>
      </c>
      <c r="F99" s="61" t="s">
        <v>56</v>
      </c>
      <c r="G99" s="87" t="s">
        <v>197</v>
      </c>
      <c r="H99" s="63" t="s">
        <v>22</v>
      </c>
      <c r="I99" s="64" t="s">
        <v>56</v>
      </c>
      <c r="J99" s="65">
        <v>46042.0</v>
      </c>
      <c r="K99" s="66"/>
      <c r="L99" s="67"/>
      <c r="M99" s="68" t="s">
        <v>173</v>
      </c>
    </row>
    <row r="100">
      <c r="A100" s="81" t="s">
        <v>145</v>
      </c>
      <c r="B100" s="58">
        <v>46038.0</v>
      </c>
      <c r="C100" s="35" t="s">
        <v>51</v>
      </c>
      <c r="D100" s="9" t="s">
        <v>528</v>
      </c>
      <c r="E100" s="11" t="s">
        <v>529</v>
      </c>
      <c r="F100" s="61" t="s">
        <v>56</v>
      </c>
      <c r="G100" s="87" t="s">
        <v>197</v>
      </c>
      <c r="H100" s="63" t="s">
        <v>22</v>
      </c>
      <c r="I100" s="64" t="s">
        <v>56</v>
      </c>
      <c r="J100" s="65">
        <v>46042.0</v>
      </c>
      <c r="K100" s="66"/>
      <c r="L100" s="67"/>
      <c r="M100" s="68" t="s">
        <v>173</v>
      </c>
    </row>
    <row r="101">
      <c r="A101" s="81" t="s">
        <v>145</v>
      </c>
      <c r="B101" s="58">
        <v>46038.0</v>
      </c>
      <c r="C101" s="35" t="s">
        <v>51</v>
      </c>
      <c r="D101" s="9" t="s">
        <v>530</v>
      </c>
      <c r="E101" s="11" t="s">
        <v>531</v>
      </c>
      <c r="F101" s="61" t="s">
        <v>56</v>
      </c>
      <c r="G101" s="83" t="s">
        <v>157</v>
      </c>
      <c r="H101" s="63" t="s">
        <v>22</v>
      </c>
      <c r="I101" s="64" t="s">
        <v>56</v>
      </c>
      <c r="J101" s="65">
        <v>46042.0</v>
      </c>
      <c r="K101" s="66"/>
      <c r="L101" s="67"/>
      <c r="M101" s="68" t="s">
        <v>173</v>
      </c>
    </row>
    <row r="102">
      <c r="A102" s="56" t="s">
        <v>76</v>
      </c>
      <c r="B102" s="58">
        <v>46038.0</v>
      </c>
      <c r="C102" s="35" t="s">
        <v>51</v>
      </c>
      <c r="D102" s="9" t="s">
        <v>532</v>
      </c>
      <c r="E102" s="11" t="s">
        <v>533</v>
      </c>
      <c r="F102" s="61" t="s">
        <v>56</v>
      </c>
      <c r="G102" s="62" t="s">
        <v>534</v>
      </c>
      <c r="H102" s="63" t="s">
        <v>22</v>
      </c>
      <c r="I102" s="64" t="s">
        <v>89</v>
      </c>
      <c r="J102" s="65">
        <v>46039.0</v>
      </c>
      <c r="K102" s="66"/>
      <c r="L102" s="67"/>
      <c r="M102" s="68" t="s">
        <v>535</v>
      </c>
    </row>
    <row r="103">
      <c r="A103" s="56" t="s">
        <v>39</v>
      </c>
      <c r="B103" s="58">
        <v>46038.0</v>
      </c>
      <c r="C103" s="35" t="s">
        <v>51</v>
      </c>
      <c r="D103" s="9" t="s">
        <v>536</v>
      </c>
      <c r="E103" s="11" t="s">
        <v>537</v>
      </c>
      <c r="F103" s="61" t="s">
        <v>56</v>
      </c>
      <c r="G103" s="87" t="s">
        <v>197</v>
      </c>
      <c r="H103" s="63" t="s">
        <v>22</v>
      </c>
      <c r="I103" s="64" t="s">
        <v>56</v>
      </c>
      <c r="J103" s="65">
        <v>46042.0</v>
      </c>
      <c r="K103" s="66"/>
      <c r="L103" s="67"/>
      <c r="M103" s="68" t="s">
        <v>538</v>
      </c>
    </row>
    <row r="104">
      <c r="A104" s="81" t="s">
        <v>39</v>
      </c>
      <c r="B104" s="58">
        <v>46038.0</v>
      </c>
      <c r="C104" s="35" t="s">
        <v>51</v>
      </c>
      <c r="D104" s="9" t="s">
        <v>539</v>
      </c>
      <c r="E104" s="11" t="s">
        <v>540</v>
      </c>
      <c r="F104" s="61" t="s">
        <v>83</v>
      </c>
      <c r="G104" s="62" t="s">
        <v>541</v>
      </c>
      <c r="H104" s="67"/>
      <c r="I104" s="64" t="s">
        <v>56</v>
      </c>
      <c r="J104" s="65">
        <v>46042.0</v>
      </c>
      <c r="K104" s="114">
        <v>46095.0</v>
      </c>
      <c r="L104" s="31">
        <v>4.0</v>
      </c>
      <c r="M104" s="68" t="s">
        <v>542</v>
      </c>
    </row>
    <row r="105">
      <c r="A105" s="56" t="s">
        <v>39</v>
      </c>
      <c r="B105" s="58">
        <v>46038.0</v>
      </c>
      <c r="C105" s="35" t="s">
        <v>51</v>
      </c>
      <c r="D105" s="9" t="s">
        <v>543</v>
      </c>
      <c r="E105" s="11" t="s">
        <v>544</v>
      </c>
      <c r="F105" s="61" t="s">
        <v>83</v>
      </c>
      <c r="G105" s="62" t="s">
        <v>545</v>
      </c>
      <c r="H105" s="63" t="s">
        <v>22</v>
      </c>
      <c r="I105" s="64"/>
      <c r="J105" s="58">
        <v>46038.0</v>
      </c>
      <c r="K105" s="66"/>
      <c r="L105" s="67"/>
      <c r="M105" s="68" t="s">
        <v>546</v>
      </c>
    </row>
    <row r="106">
      <c r="A106" s="81" t="s">
        <v>145</v>
      </c>
      <c r="B106" s="58">
        <v>46039.0</v>
      </c>
      <c r="C106" s="35" t="s">
        <v>51</v>
      </c>
      <c r="D106" s="9" t="s">
        <v>547</v>
      </c>
      <c r="E106" s="11" t="s">
        <v>548</v>
      </c>
      <c r="F106" s="61" t="s">
        <v>56</v>
      </c>
      <c r="G106" s="87" t="s">
        <v>197</v>
      </c>
      <c r="H106" s="63" t="s">
        <v>22</v>
      </c>
      <c r="I106" s="64" t="s">
        <v>56</v>
      </c>
      <c r="J106" s="65">
        <v>46042.0</v>
      </c>
      <c r="K106" s="66"/>
      <c r="L106" s="67"/>
      <c r="M106" s="68" t="s">
        <v>173</v>
      </c>
    </row>
    <row r="107">
      <c r="A107" s="81" t="s">
        <v>145</v>
      </c>
      <c r="B107" s="58">
        <v>46039.0</v>
      </c>
      <c r="C107" s="35" t="s">
        <v>51</v>
      </c>
      <c r="D107" s="9" t="s">
        <v>550</v>
      </c>
      <c r="E107" s="11" t="s">
        <v>551</v>
      </c>
      <c r="F107" s="61" t="s">
        <v>56</v>
      </c>
      <c r="G107" s="83" t="s">
        <v>157</v>
      </c>
      <c r="H107" s="63" t="s">
        <v>22</v>
      </c>
      <c r="I107" s="64" t="s">
        <v>56</v>
      </c>
      <c r="J107" s="65">
        <v>46042.0</v>
      </c>
      <c r="K107" s="66"/>
      <c r="L107" s="67"/>
      <c r="M107" s="68" t="s">
        <v>173</v>
      </c>
    </row>
    <row r="108">
      <c r="A108" s="81" t="s">
        <v>145</v>
      </c>
      <c r="B108" s="58">
        <v>46039.0</v>
      </c>
      <c r="C108" s="35" t="s">
        <v>51</v>
      </c>
      <c r="D108" s="9" t="s">
        <v>552</v>
      </c>
      <c r="E108" s="11" t="s">
        <v>553</v>
      </c>
      <c r="F108" s="61" t="s">
        <v>56</v>
      </c>
      <c r="G108" s="83" t="s">
        <v>157</v>
      </c>
      <c r="H108" s="63" t="s">
        <v>22</v>
      </c>
      <c r="I108" s="64" t="s">
        <v>56</v>
      </c>
      <c r="J108" s="65">
        <v>46042.0</v>
      </c>
      <c r="K108" s="66"/>
      <c r="L108" s="67"/>
      <c r="M108" s="68" t="s">
        <v>173</v>
      </c>
    </row>
    <row r="109">
      <c r="A109" s="81" t="s">
        <v>145</v>
      </c>
      <c r="B109" s="58">
        <v>46039.0</v>
      </c>
      <c r="C109" s="35" t="s">
        <v>51</v>
      </c>
      <c r="D109" s="9" t="s">
        <v>554</v>
      </c>
      <c r="E109" s="11" t="s">
        <v>555</v>
      </c>
      <c r="F109" s="61" t="s">
        <v>56</v>
      </c>
      <c r="G109" s="83" t="s">
        <v>157</v>
      </c>
      <c r="H109" s="63" t="s">
        <v>22</v>
      </c>
      <c r="I109" s="64" t="s">
        <v>56</v>
      </c>
      <c r="J109" s="65">
        <v>46042.0</v>
      </c>
      <c r="K109" s="66"/>
      <c r="L109" s="67"/>
      <c r="M109" s="68" t="s">
        <v>183</v>
      </c>
    </row>
    <row r="110">
      <c r="A110" s="56" t="s">
        <v>120</v>
      </c>
      <c r="B110" s="58">
        <v>46039.0</v>
      </c>
      <c r="C110" s="35" t="s">
        <v>51</v>
      </c>
      <c r="D110" s="9" t="s">
        <v>556</v>
      </c>
      <c r="E110" s="11" t="s">
        <v>557</v>
      </c>
      <c r="F110" s="61" t="s">
        <v>56</v>
      </c>
      <c r="G110" s="108" t="s">
        <v>264</v>
      </c>
      <c r="H110" s="63" t="s">
        <v>22</v>
      </c>
      <c r="I110" s="64" t="s">
        <v>56</v>
      </c>
      <c r="J110" s="65">
        <v>46042.0</v>
      </c>
      <c r="K110" s="66"/>
      <c r="L110" s="67"/>
      <c r="M110" s="68" t="s">
        <v>558</v>
      </c>
    </row>
    <row r="111">
      <c r="A111" s="56" t="s">
        <v>120</v>
      </c>
      <c r="B111" s="58">
        <v>46039.0</v>
      </c>
      <c r="C111" s="35" t="s">
        <v>51</v>
      </c>
      <c r="D111" s="9" t="s">
        <v>559</v>
      </c>
      <c r="E111" s="11" t="s">
        <v>560</v>
      </c>
      <c r="F111" s="61" t="s">
        <v>56</v>
      </c>
      <c r="G111" s="83" t="s">
        <v>157</v>
      </c>
      <c r="H111" s="63" t="s">
        <v>22</v>
      </c>
      <c r="I111" s="64" t="s">
        <v>56</v>
      </c>
      <c r="J111" s="65">
        <v>46042.0</v>
      </c>
      <c r="K111" s="66"/>
      <c r="L111" s="67"/>
      <c r="M111" s="68" t="s">
        <v>561</v>
      </c>
    </row>
    <row r="112">
      <c r="A112" s="56" t="s">
        <v>120</v>
      </c>
      <c r="B112" s="58">
        <v>46039.0</v>
      </c>
      <c r="C112" s="35" t="s">
        <v>51</v>
      </c>
      <c r="D112" s="9" t="s">
        <v>562</v>
      </c>
      <c r="E112" s="11" t="s">
        <v>563</v>
      </c>
      <c r="F112" s="61" t="s">
        <v>56</v>
      </c>
      <c r="G112" s="83" t="s">
        <v>157</v>
      </c>
      <c r="H112" s="63" t="s">
        <v>22</v>
      </c>
      <c r="I112" s="64" t="s">
        <v>56</v>
      </c>
      <c r="J112" s="65">
        <v>46042.0</v>
      </c>
      <c r="K112" s="66"/>
      <c r="L112" s="67"/>
      <c r="M112" s="68" t="s">
        <v>564</v>
      </c>
    </row>
    <row r="113">
      <c r="A113" s="56" t="s">
        <v>120</v>
      </c>
      <c r="B113" s="58">
        <v>46039.0</v>
      </c>
      <c r="C113" s="35" t="s">
        <v>51</v>
      </c>
      <c r="D113" s="9" t="s">
        <v>565</v>
      </c>
      <c r="E113" s="11" t="s">
        <v>566</v>
      </c>
      <c r="F113" s="61" t="s">
        <v>56</v>
      </c>
      <c r="G113" s="83" t="s">
        <v>157</v>
      </c>
      <c r="H113" s="63" t="s">
        <v>22</v>
      </c>
      <c r="I113" s="64" t="s">
        <v>56</v>
      </c>
      <c r="J113" s="65">
        <v>46042.0</v>
      </c>
      <c r="K113" s="66"/>
      <c r="L113" s="67"/>
      <c r="M113" s="68" t="s">
        <v>567</v>
      </c>
    </row>
    <row r="114">
      <c r="A114" s="56" t="s">
        <v>120</v>
      </c>
      <c r="B114" s="58">
        <v>46039.0</v>
      </c>
      <c r="C114" s="35" t="s">
        <v>51</v>
      </c>
      <c r="D114" s="9" t="s">
        <v>568</v>
      </c>
      <c r="E114" s="11" t="s">
        <v>569</v>
      </c>
      <c r="F114" s="61" t="s">
        <v>56</v>
      </c>
      <c r="G114" s="87" t="s">
        <v>197</v>
      </c>
      <c r="H114" s="63" t="s">
        <v>22</v>
      </c>
      <c r="I114" s="64" t="s">
        <v>56</v>
      </c>
      <c r="J114" s="65">
        <v>46042.0</v>
      </c>
      <c r="K114" s="66"/>
      <c r="L114" s="67"/>
      <c r="M114" s="68" t="s">
        <v>570</v>
      </c>
    </row>
    <row r="115">
      <c r="A115" s="56" t="s">
        <v>120</v>
      </c>
      <c r="B115" s="58">
        <v>46039.0</v>
      </c>
      <c r="C115" s="35" t="s">
        <v>51</v>
      </c>
      <c r="D115" s="9" t="s">
        <v>571</v>
      </c>
      <c r="E115" s="11" t="s">
        <v>572</v>
      </c>
      <c r="F115" s="61" t="s">
        <v>89</v>
      </c>
      <c r="G115" s="62" t="s">
        <v>573</v>
      </c>
      <c r="H115" s="63" t="s">
        <v>22</v>
      </c>
      <c r="I115" s="64" t="s">
        <v>56</v>
      </c>
      <c r="J115" s="65">
        <v>46042.0</v>
      </c>
      <c r="K115" s="66"/>
      <c r="L115" s="67"/>
      <c r="M115" s="68" t="s">
        <v>574</v>
      </c>
    </row>
    <row r="116">
      <c r="A116" s="56" t="s">
        <v>76</v>
      </c>
      <c r="B116" s="58">
        <v>46039.0</v>
      </c>
      <c r="C116" s="35" t="s">
        <v>51</v>
      </c>
      <c r="D116" s="9" t="s">
        <v>575</v>
      </c>
      <c r="E116" s="11" t="s">
        <v>576</v>
      </c>
      <c r="F116" s="61" t="s">
        <v>89</v>
      </c>
      <c r="G116" s="62" t="s">
        <v>577</v>
      </c>
      <c r="H116" s="67"/>
      <c r="I116" s="64" t="s">
        <v>56</v>
      </c>
      <c r="J116" s="65">
        <v>46042.0</v>
      </c>
      <c r="K116" s="66"/>
      <c r="L116" s="67"/>
      <c r="M116" s="68" t="s">
        <v>578</v>
      </c>
    </row>
    <row r="117">
      <c r="A117" s="56" t="s">
        <v>39</v>
      </c>
      <c r="B117" s="58">
        <v>46039.0</v>
      </c>
      <c r="C117" s="35" t="s">
        <v>51</v>
      </c>
      <c r="D117" s="9" t="s">
        <v>579</v>
      </c>
      <c r="E117" s="11" t="s">
        <v>580</v>
      </c>
      <c r="F117" s="61" t="s">
        <v>56</v>
      </c>
      <c r="G117" s="108" t="s">
        <v>264</v>
      </c>
      <c r="H117" s="63" t="s">
        <v>22</v>
      </c>
      <c r="I117" s="64" t="s">
        <v>56</v>
      </c>
      <c r="J117" s="65">
        <v>46042.0</v>
      </c>
      <c r="K117" s="66"/>
      <c r="L117" s="67"/>
      <c r="M117" s="68" t="s">
        <v>581</v>
      </c>
    </row>
    <row r="118">
      <c r="A118" s="56" t="s">
        <v>39</v>
      </c>
      <c r="B118" s="58">
        <v>46039.0</v>
      </c>
      <c r="C118" s="35" t="s">
        <v>51</v>
      </c>
      <c r="D118" s="9" t="s">
        <v>582</v>
      </c>
      <c r="E118" s="11" t="s">
        <v>583</v>
      </c>
      <c r="F118" s="61" t="s">
        <v>56</v>
      </c>
      <c r="G118" s="62" t="s">
        <v>584</v>
      </c>
      <c r="H118" s="67"/>
      <c r="I118" s="64" t="s">
        <v>89</v>
      </c>
      <c r="J118" s="65">
        <v>46039.0</v>
      </c>
      <c r="K118" s="65">
        <v>46039.0</v>
      </c>
      <c r="L118" s="63">
        <v>2.0</v>
      </c>
      <c r="M118" s="68" t="s">
        <v>585</v>
      </c>
    </row>
    <row r="119">
      <c r="A119" s="56" t="s">
        <v>39</v>
      </c>
      <c r="B119" s="136">
        <v>46039.0</v>
      </c>
      <c r="C119" s="35" t="s">
        <v>51</v>
      </c>
      <c r="D119" s="9" t="s">
        <v>586</v>
      </c>
      <c r="E119" s="11" t="s">
        <v>587</v>
      </c>
      <c r="F119" s="137" t="s">
        <v>89</v>
      </c>
      <c r="G119" s="138" t="s">
        <v>588</v>
      </c>
      <c r="H119" s="67"/>
      <c r="I119" s="139" t="s">
        <v>56</v>
      </c>
      <c r="J119" s="140">
        <v>46039.0</v>
      </c>
      <c r="K119" s="140">
        <v>46053.0</v>
      </c>
      <c r="L119" s="141">
        <v>1.0</v>
      </c>
      <c r="M119" s="142" t="s">
        <v>589</v>
      </c>
    </row>
    <row r="120">
      <c r="A120" s="81" t="s">
        <v>145</v>
      </c>
      <c r="B120" s="58">
        <v>46040.0</v>
      </c>
      <c r="C120" s="35" t="s">
        <v>51</v>
      </c>
      <c r="D120" s="9" t="s">
        <v>590</v>
      </c>
      <c r="E120" s="11" t="s">
        <v>591</v>
      </c>
      <c r="F120" s="61" t="s">
        <v>56</v>
      </c>
      <c r="G120" s="87" t="s">
        <v>197</v>
      </c>
      <c r="H120" s="63" t="s">
        <v>22</v>
      </c>
      <c r="I120" s="64" t="s">
        <v>56</v>
      </c>
      <c r="J120" s="65">
        <v>46042.0</v>
      </c>
      <c r="K120" s="66"/>
      <c r="L120" s="67"/>
      <c r="M120" s="68" t="s">
        <v>173</v>
      </c>
    </row>
    <row r="121">
      <c r="A121" s="81" t="s">
        <v>145</v>
      </c>
      <c r="B121" s="58">
        <v>46040.0</v>
      </c>
      <c r="C121" s="35" t="s">
        <v>51</v>
      </c>
      <c r="D121" s="9" t="s">
        <v>592</v>
      </c>
      <c r="E121" s="11" t="s">
        <v>593</v>
      </c>
      <c r="F121" s="61" t="s">
        <v>56</v>
      </c>
      <c r="G121" s="87" t="s">
        <v>197</v>
      </c>
      <c r="H121" s="63" t="s">
        <v>22</v>
      </c>
      <c r="I121" s="64" t="s">
        <v>56</v>
      </c>
      <c r="J121" s="65">
        <v>46043.0</v>
      </c>
      <c r="K121" s="66"/>
      <c r="L121" s="67"/>
      <c r="M121" s="68" t="s">
        <v>173</v>
      </c>
    </row>
    <row r="122">
      <c r="A122" s="81" t="s">
        <v>145</v>
      </c>
      <c r="B122" s="58">
        <v>46040.0</v>
      </c>
      <c r="C122" s="35" t="s">
        <v>51</v>
      </c>
      <c r="D122" s="9" t="s">
        <v>594</v>
      </c>
      <c r="E122" s="11" t="s">
        <v>595</v>
      </c>
      <c r="F122" s="61" t="s">
        <v>56</v>
      </c>
      <c r="G122" s="89" t="s">
        <v>189</v>
      </c>
      <c r="H122" s="63" t="s">
        <v>22</v>
      </c>
      <c r="I122" s="71" t="s">
        <v>89</v>
      </c>
      <c r="J122" s="72">
        <v>46046.0</v>
      </c>
      <c r="K122" s="66"/>
      <c r="L122" s="67"/>
      <c r="M122" s="53" t="s">
        <v>597</v>
      </c>
    </row>
    <row r="123">
      <c r="A123" s="56" t="s">
        <v>120</v>
      </c>
      <c r="B123" s="58">
        <v>46040.0</v>
      </c>
      <c r="C123" s="35" t="s">
        <v>51</v>
      </c>
      <c r="D123" s="9" t="s">
        <v>598</v>
      </c>
      <c r="E123" s="11" t="s">
        <v>599</v>
      </c>
      <c r="F123" s="61" t="s">
        <v>56</v>
      </c>
      <c r="G123" s="87" t="s">
        <v>197</v>
      </c>
      <c r="H123" s="63" t="s">
        <v>22</v>
      </c>
      <c r="I123" s="64" t="s">
        <v>56</v>
      </c>
      <c r="J123" s="65">
        <v>46042.0</v>
      </c>
      <c r="K123" s="66"/>
      <c r="L123" s="67"/>
      <c r="M123" s="68" t="s">
        <v>601</v>
      </c>
    </row>
    <row r="124">
      <c r="A124" s="56" t="s">
        <v>120</v>
      </c>
      <c r="B124" s="58">
        <v>46040.0</v>
      </c>
      <c r="C124" s="35" t="s">
        <v>51</v>
      </c>
      <c r="D124" s="9" t="s">
        <v>602</v>
      </c>
      <c r="E124" s="11" t="s">
        <v>603</v>
      </c>
      <c r="F124" s="61" t="s">
        <v>56</v>
      </c>
      <c r="G124" s="83" t="s">
        <v>157</v>
      </c>
      <c r="H124" s="63" t="s">
        <v>22</v>
      </c>
      <c r="I124" s="64" t="s">
        <v>89</v>
      </c>
      <c r="J124" s="65">
        <v>46044.0</v>
      </c>
      <c r="K124" s="66"/>
      <c r="L124" s="67"/>
      <c r="M124" s="68" t="s">
        <v>604</v>
      </c>
    </row>
    <row r="125">
      <c r="A125" s="81" t="s">
        <v>120</v>
      </c>
      <c r="B125" s="58">
        <v>46040.0</v>
      </c>
      <c r="C125" s="35" t="s">
        <v>51</v>
      </c>
      <c r="D125" s="9" t="s">
        <v>605</v>
      </c>
      <c r="E125" s="11" t="s">
        <v>606</v>
      </c>
      <c r="F125" s="61" t="s">
        <v>56</v>
      </c>
      <c r="G125" s="87" t="s">
        <v>197</v>
      </c>
      <c r="H125" s="63" t="s">
        <v>22</v>
      </c>
      <c r="I125" s="71" t="s">
        <v>89</v>
      </c>
      <c r="J125" s="72">
        <v>46046.0</v>
      </c>
      <c r="K125" s="66"/>
      <c r="L125" s="67"/>
      <c r="M125" s="53" t="s">
        <v>608</v>
      </c>
    </row>
    <row r="126">
      <c r="A126" s="56" t="s">
        <v>120</v>
      </c>
      <c r="B126" s="58">
        <v>46040.0</v>
      </c>
      <c r="C126" s="35" t="s">
        <v>51</v>
      </c>
      <c r="D126" s="9" t="s">
        <v>609</v>
      </c>
      <c r="E126" s="11"/>
      <c r="F126" s="61" t="s">
        <v>56</v>
      </c>
      <c r="G126" s="62" t="s">
        <v>610</v>
      </c>
      <c r="H126" s="67"/>
      <c r="I126" s="64"/>
      <c r="J126" s="65"/>
      <c r="K126" s="66"/>
      <c r="L126" s="67"/>
      <c r="M126" s="53" t="s">
        <v>612</v>
      </c>
    </row>
    <row r="127">
      <c r="A127" s="81" t="s">
        <v>76</v>
      </c>
      <c r="B127" s="58">
        <v>46040.0</v>
      </c>
      <c r="C127" s="35" t="s">
        <v>51</v>
      </c>
      <c r="D127" s="9" t="s">
        <v>616</v>
      </c>
      <c r="E127" s="11" t="s">
        <v>618</v>
      </c>
      <c r="F127" s="61" t="s">
        <v>56</v>
      </c>
      <c r="G127" s="87" t="s">
        <v>197</v>
      </c>
      <c r="H127" s="63" t="s">
        <v>22</v>
      </c>
      <c r="I127" s="71" t="s">
        <v>83</v>
      </c>
      <c r="J127" s="72">
        <v>46045.0</v>
      </c>
      <c r="K127" s="66"/>
      <c r="L127" s="67"/>
      <c r="M127" s="53" t="s">
        <v>623</v>
      </c>
    </row>
    <row r="128">
      <c r="A128" s="56" t="s">
        <v>76</v>
      </c>
      <c r="B128" s="58">
        <v>46040.0</v>
      </c>
      <c r="C128" s="35" t="s">
        <v>51</v>
      </c>
      <c r="D128" s="9" t="s">
        <v>624</v>
      </c>
      <c r="E128" s="11" t="s">
        <v>625</v>
      </c>
      <c r="F128" s="61" t="s">
        <v>56</v>
      </c>
      <c r="G128" s="62" t="s">
        <v>626</v>
      </c>
      <c r="H128" s="67"/>
      <c r="I128" s="64" t="s">
        <v>56</v>
      </c>
      <c r="J128" s="65">
        <v>46042.0</v>
      </c>
      <c r="K128" s="66"/>
      <c r="L128" s="67"/>
      <c r="M128" s="68" t="s">
        <v>627</v>
      </c>
    </row>
    <row r="129">
      <c r="A129" s="56" t="s">
        <v>39</v>
      </c>
      <c r="B129" s="58">
        <v>46040.0</v>
      </c>
      <c r="C129" s="35" t="s">
        <v>51</v>
      </c>
      <c r="D129" s="9" t="s">
        <v>628</v>
      </c>
      <c r="E129" s="11" t="s">
        <v>629</v>
      </c>
      <c r="F129" s="61" t="s">
        <v>56</v>
      </c>
      <c r="G129" s="89" t="s">
        <v>189</v>
      </c>
      <c r="H129" s="63" t="s">
        <v>22</v>
      </c>
      <c r="I129" s="64" t="s">
        <v>56</v>
      </c>
      <c r="J129" s="65">
        <v>46042.0</v>
      </c>
      <c r="K129" s="66"/>
      <c r="L129" s="67"/>
      <c r="M129" s="68" t="s">
        <v>630</v>
      </c>
    </row>
    <row r="130">
      <c r="A130" s="56" t="s">
        <v>39</v>
      </c>
      <c r="B130" s="58">
        <v>46040.0</v>
      </c>
      <c r="C130" s="35" t="s">
        <v>51</v>
      </c>
      <c r="D130" s="9" t="s">
        <v>631</v>
      </c>
      <c r="E130" s="11" t="s">
        <v>632</v>
      </c>
      <c r="F130" s="61" t="s">
        <v>56</v>
      </c>
      <c r="G130" s="87" t="s">
        <v>197</v>
      </c>
      <c r="H130" s="63" t="s">
        <v>22</v>
      </c>
      <c r="I130" s="64" t="s">
        <v>56</v>
      </c>
      <c r="J130" s="65">
        <v>46042.0</v>
      </c>
      <c r="K130" s="66"/>
      <c r="L130" s="67"/>
      <c r="M130" s="68" t="s">
        <v>633</v>
      </c>
    </row>
    <row r="131">
      <c r="A131" s="81" t="s">
        <v>39</v>
      </c>
      <c r="B131" s="58">
        <v>46040.0</v>
      </c>
      <c r="C131" s="35" t="s">
        <v>51</v>
      </c>
      <c r="D131" s="9" t="s">
        <v>634</v>
      </c>
      <c r="E131" s="11" t="s">
        <v>635</v>
      </c>
      <c r="F131" s="61" t="s">
        <v>56</v>
      </c>
      <c r="G131" s="89" t="s">
        <v>189</v>
      </c>
      <c r="H131" s="63" t="s">
        <v>22</v>
      </c>
      <c r="I131" s="71" t="s">
        <v>89</v>
      </c>
      <c r="J131" s="72">
        <v>46046.0</v>
      </c>
      <c r="K131" s="66"/>
      <c r="L131" s="67"/>
      <c r="M131" s="53" t="s">
        <v>636</v>
      </c>
    </row>
    <row r="132">
      <c r="A132" s="81" t="s">
        <v>145</v>
      </c>
      <c r="B132" s="58">
        <v>46041.0</v>
      </c>
      <c r="C132" s="35" t="s">
        <v>51</v>
      </c>
      <c r="D132" s="9" t="s">
        <v>638</v>
      </c>
      <c r="E132" s="11" t="s">
        <v>639</v>
      </c>
      <c r="F132" s="61" t="s">
        <v>56</v>
      </c>
      <c r="G132" s="108" t="s">
        <v>264</v>
      </c>
      <c r="H132" s="63" t="s">
        <v>22</v>
      </c>
      <c r="I132" s="71" t="s">
        <v>89</v>
      </c>
      <c r="J132" s="72">
        <v>46046.0</v>
      </c>
      <c r="K132" s="66"/>
      <c r="L132" s="67"/>
      <c r="M132" s="53" t="s">
        <v>183</v>
      </c>
    </row>
    <row r="133">
      <c r="A133" s="81" t="s">
        <v>145</v>
      </c>
      <c r="B133" s="58">
        <v>46041.0</v>
      </c>
      <c r="C133" s="35" t="s">
        <v>51</v>
      </c>
      <c r="D133" s="9" t="s">
        <v>640</v>
      </c>
      <c r="E133" s="11" t="s">
        <v>641</v>
      </c>
      <c r="F133" s="61" t="s">
        <v>56</v>
      </c>
      <c r="G133" s="87" t="s">
        <v>197</v>
      </c>
      <c r="H133" s="63" t="s">
        <v>22</v>
      </c>
      <c r="I133" s="64" t="s">
        <v>83</v>
      </c>
      <c r="J133" s="65">
        <v>46042.0</v>
      </c>
      <c r="K133" s="66"/>
      <c r="L133" s="67"/>
      <c r="M133" s="68" t="s">
        <v>183</v>
      </c>
    </row>
    <row r="134">
      <c r="A134" s="81" t="s">
        <v>145</v>
      </c>
      <c r="B134" s="58">
        <v>46041.0</v>
      </c>
      <c r="C134" s="35" t="s">
        <v>51</v>
      </c>
      <c r="D134" s="9" t="s">
        <v>642</v>
      </c>
      <c r="E134" s="11" t="s">
        <v>643</v>
      </c>
      <c r="F134" s="61" t="s">
        <v>56</v>
      </c>
      <c r="G134" s="108" t="s">
        <v>264</v>
      </c>
      <c r="H134" s="63" t="s">
        <v>22</v>
      </c>
      <c r="I134" s="71" t="s">
        <v>83</v>
      </c>
      <c r="J134" s="72">
        <v>46046.0</v>
      </c>
      <c r="K134" s="66"/>
      <c r="L134" s="67"/>
      <c r="M134" s="53" t="s">
        <v>183</v>
      </c>
    </row>
    <row r="135">
      <c r="A135" s="81" t="s">
        <v>120</v>
      </c>
      <c r="B135" s="58">
        <v>46041.0</v>
      </c>
      <c r="C135" s="35" t="s">
        <v>51</v>
      </c>
      <c r="D135" s="9" t="s">
        <v>644</v>
      </c>
      <c r="E135" s="11" t="s">
        <v>645</v>
      </c>
      <c r="F135" s="61" t="s">
        <v>56</v>
      </c>
      <c r="G135" s="108" t="s">
        <v>264</v>
      </c>
      <c r="H135" s="63" t="s">
        <v>22</v>
      </c>
      <c r="I135" s="71" t="s">
        <v>89</v>
      </c>
      <c r="J135" s="72">
        <v>46046.0</v>
      </c>
      <c r="K135" s="66"/>
      <c r="L135" s="67"/>
      <c r="M135" s="53" t="s">
        <v>646</v>
      </c>
    </row>
    <row r="136">
      <c r="A136" s="56" t="s">
        <v>120</v>
      </c>
      <c r="B136" s="58">
        <v>46041.0</v>
      </c>
      <c r="C136" s="35" t="s">
        <v>51</v>
      </c>
      <c r="D136" s="9" t="s">
        <v>647</v>
      </c>
      <c r="E136" s="11" t="s">
        <v>648</v>
      </c>
      <c r="F136" s="61" t="s">
        <v>89</v>
      </c>
      <c r="G136" s="62" t="s">
        <v>649</v>
      </c>
      <c r="H136" s="63" t="s">
        <v>22</v>
      </c>
      <c r="I136" s="64" t="s">
        <v>83</v>
      </c>
      <c r="J136" s="65">
        <v>46043.0</v>
      </c>
      <c r="K136" s="66"/>
      <c r="L136" s="67"/>
      <c r="M136" s="68" t="s">
        <v>650</v>
      </c>
    </row>
    <row r="137">
      <c r="A137" s="81" t="s">
        <v>39</v>
      </c>
      <c r="B137" s="58">
        <v>46041.0</v>
      </c>
      <c r="C137" s="35" t="s">
        <v>51</v>
      </c>
      <c r="D137" s="9" t="s">
        <v>651</v>
      </c>
      <c r="E137" s="11" t="s">
        <v>652</v>
      </c>
      <c r="F137" s="61" t="s">
        <v>56</v>
      </c>
      <c r="G137" s="87" t="s">
        <v>197</v>
      </c>
      <c r="H137" s="63" t="s">
        <v>22</v>
      </c>
      <c r="I137" s="71" t="s">
        <v>89</v>
      </c>
      <c r="J137" s="72">
        <v>46046.0</v>
      </c>
      <c r="K137" s="66"/>
      <c r="L137" s="67"/>
      <c r="M137" s="53" t="s">
        <v>653</v>
      </c>
    </row>
    <row r="138">
      <c r="A138" s="81" t="s">
        <v>39</v>
      </c>
      <c r="B138" s="58">
        <v>46041.0</v>
      </c>
      <c r="C138" s="35" t="s">
        <v>51</v>
      </c>
      <c r="D138" s="9" t="s">
        <v>654</v>
      </c>
      <c r="E138" s="11" t="s">
        <v>655</v>
      </c>
      <c r="F138" s="61" t="s">
        <v>56</v>
      </c>
      <c r="G138" s="87" t="s">
        <v>197</v>
      </c>
      <c r="H138" s="63" t="s">
        <v>22</v>
      </c>
      <c r="I138" s="64" t="s">
        <v>83</v>
      </c>
      <c r="J138" s="65">
        <v>46042.0</v>
      </c>
      <c r="K138" s="114">
        <v>46060.0</v>
      </c>
      <c r="L138" s="31">
        <v>4.0</v>
      </c>
      <c r="M138" s="53" t="s">
        <v>656</v>
      </c>
    </row>
    <row r="139">
      <c r="A139" s="56" t="s">
        <v>39</v>
      </c>
      <c r="B139" s="58">
        <v>46041.0</v>
      </c>
      <c r="C139" s="35" t="s">
        <v>51</v>
      </c>
      <c r="D139" s="9" t="s">
        <v>657</v>
      </c>
      <c r="E139" s="11" t="s">
        <v>658</v>
      </c>
      <c r="F139" s="61" t="s">
        <v>56</v>
      </c>
      <c r="G139" s="87" t="s">
        <v>197</v>
      </c>
      <c r="H139" s="63" t="s">
        <v>22</v>
      </c>
      <c r="I139" s="64" t="s">
        <v>83</v>
      </c>
      <c r="J139" s="65">
        <v>46042.0</v>
      </c>
      <c r="K139" s="65">
        <v>46053.0</v>
      </c>
      <c r="L139" s="63">
        <v>2.0</v>
      </c>
      <c r="M139" s="68" t="s">
        <v>659</v>
      </c>
    </row>
    <row r="140">
      <c r="A140" s="81" t="s">
        <v>39</v>
      </c>
      <c r="B140" s="58">
        <v>46041.0</v>
      </c>
      <c r="C140" s="35" t="s">
        <v>51</v>
      </c>
      <c r="D140" s="9" t="s">
        <v>660</v>
      </c>
      <c r="E140" s="11" t="s">
        <v>661</v>
      </c>
      <c r="F140" s="61" t="s">
        <v>56</v>
      </c>
      <c r="G140" s="87" t="s">
        <v>197</v>
      </c>
      <c r="H140" s="63" t="s">
        <v>22</v>
      </c>
      <c r="I140" s="64" t="s">
        <v>83</v>
      </c>
      <c r="J140" s="72">
        <v>46045.0</v>
      </c>
      <c r="K140" s="66"/>
      <c r="L140" s="63">
        <v>2.0</v>
      </c>
      <c r="M140" s="53" t="s">
        <v>662</v>
      </c>
    </row>
    <row r="141">
      <c r="A141" s="81" t="s">
        <v>39</v>
      </c>
      <c r="B141" s="58">
        <v>46041.0</v>
      </c>
      <c r="C141" s="35" t="s">
        <v>51</v>
      </c>
      <c r="D141" s="9" t="s">
        <v>663</v>
      </c>
      <c r="E141" s="11" t="s">
        <v>664</v>
      </c>
      <c r="F141" s="61" t="s">
        <v>56</v>
      </c>
      <c r="G141" s="83" t="s">
        <v>157</v>
      </c>
      <c r="H141" s="63" t="s">
        <v>22</v>
      </c>
      <c r="I141" s="71" t="s">
        <v>83</v>
      </c>
      <c r="J141" s="72">
        <v>46045.0</v>
      </c>
      <c r="K141" s="66"/>
      <c r="L141" s="67"/>
      <c r="M141" s="53" t="s">
        <v>665</v>
      </c>
    </row>
    <row r="142">
      <c r="A142" s="56" t="s">
        <v>39</v>
      </c>
      <c r="B142" s="58">
        <v>46041.0</v>
      </c>
      <c r="C142" s="35" t="s">
        <v>51</v>
      </c>
      <c r="D142" s="9" t="s">
        <v>666</v>
      </c>
      <c r="E142" s="11" t="s">
        <v>667</v>
      </c>
      <c r="F142" s="61" t="s">
        <v>56</v>
      </c>
      <c r="G142" s="62" t="s">
        <v>668</v>
      </c>
      <c r="H142" s="67"/>
      <c r="I142" s="64" t="s">
        <v>83</v>
      </c>
      <c r="J142" s="65">
        <v>46042.0</v>
      </c>
      <c r="K142" s="65">
        <v>46045.0</v>
      </c>
      <c r="L142" s="63">
        <v>2.0</v>
      </c>
      <c r="M142" s="68" t="s">
        <v>669</v>
      </c>
    </row>
    <row r="143">
      <c r="A143" s="81" t="s">
        <v>145</v>
      </c>
      <c r="B143" s="58">
        <v>46042.0</v>
      </c>
      <c r="C143" s="35" t="s">
        <v>51</v>
      </c>
      <c r="D143" s="9" t="s">
        <v>670</v>
      </c>
      <c r="E143" s="11" t="s">
        <v>671</v>
      </c>
      <c r="F143" s="61" t="s">
        <v>56</v>
      </c>
      <c r="G143" s="83" t="s">
        <v>157</v>
      </c>
      <c r="H143" s="63" t="s">
        <v>22</v>
      </c>
      <c r="I143" s="71" t="s">
        <v>83</v>
      </c>
      <c r="J143" s="72">
        <v>46045.0</v>
      </c>
      <c r="K143" s="66"/>
      <c r="L143" s="67"/>
      <c r="M143" s="53" t="s">
        <v>183</v>
      </c>
    </row>
    <row r="144">
      <c r="A144" s="81" t="s">
        <v>145</v>
      </c>
      <c r="B144" s="58">
        <v>46042.0</v>
      </c>
      <c r="C144" s="35" t="s">
        <v>51</v>
      </c>
      <c r="D144" s="9" t="s">
        <v>672</v>
      </c>
      <c r="E144" s="11" t="s">
        <v>673</v>
      </c>
      <c r="F144" s="61" t="s">
        <v>56</v>
      </c>
      <c r="G144" s="87" t="s">
        <v>197</v>
      </c>
      <c r="H144" s="63" t="s">
        <v>22</v>
      </c>
      <c r="I144" s="71" t="s">
        <v>83</v>
      </c>
      <c r="J144" s="72">
        <v>46049.0</v>
      </c>
      <c r="K144" s="66"/>
      <c r="L144" s="67"/>
      <c r="M144" s="53" t="s">
        <v>183</v>
      </c>
    </row>
    <row r="145">
      <c r="A145" s="81" t="s">
        <v>120</v>
      </c>
      <c r="B145" s="58">
        <v>46042.0</v>
      </c>
      <c r="C145" s="35" t="s">
        <v>51</v>
      </c>
      <c r="D145" s="9" t="s">
        <v>674</v>
      </c>
      <c r="E145" s="11" t="s">
        <v>675</v>
      </c>
      <c r="F145" s="61" t="s">
        <v>56</v>
      </c>
      <c r="G145" s="157" t="s">
        <v>157</v>
      </c>
      <c r="H145" s="63" t="s">
        <v>22</v>
      </c>
      <c r="I145" s="71" t="s">
        <v>83</v>
      </c>
      <c r="J145" s="72">
        <v>46046.0</v>
      </c>
      <c r="K145" s="66"/>
      <c r="L145" s="67"/>
      <c r="M145" s="53" t="s">
        <v>677</v>
      </c>
    </row>
    <row r="146">
      <c r="A146" s="56" t="s">
        <v>76</v>
      </c>
      <c r="B146" s="58">
        <v>46042.0</v>
      </c>
      <c r="C146" s="35" t="s">
        <v>51</v>
      </c>
      <c r="D146" s="9" t="s">
        <v>678</v>
      </c>
      <c r="E146" s="11" t="s">
        <v>679</v>
      </c>
      <c r="F146" s="61" t="s">
        <v>56</v>
      </c>
      <c r="G146" s="87" t="s">
        <v>197</v>
      </c>
      <c r="H146" s="63" t="s">
        <v>22</v>
      </c>
      <c r="I146" s="64" t="s">
        <v>83</v>
      </c>
      <c r="J146" s="65">
        <v>46042.0</v>
      </c>
      <c r="K146" s="66"/>
      <c r="L146" s="67"/>
      <c r="M146" s="68" t="s">
        <v>680</v>
      </c>
    </row>
    <row r="147">
      <c r="A147" s="56" t="s">
        <v>39</v>
      </c>
      <c r="B147" s="58">
        <v>46042.0</v>
      </c>
      <c r="C147" s="35" t="s">
        <v>51</v>
      </c>
      <c r="D147" s="9" t="s">
        <v>681</v>
      </c>
      <c r="E147" s="11" t="s">
        <v>682</v>
      </c>
      <c r="F147" s="61" t="s">
        <v>83</v>
      </c>
      <c r="G147" s="62" t="s">
        <v>683</v>
      </c>
      <c r="H147" s="63" t="s">
        <v>22</v>
      </c>
      <c r="I147" s="64" t="s">
        <v>56</v>
      </c>
      <c r="J147" s="65">
        <v>46042.0</v>
      </c>
      <c r="K147" s="72">
        <v>46058.0</v>
      </c>
      <c r="L147" s="63">
        <v>2.0</v>
      </c>
      <c r="M147" s="68" t="s">
        <v>684</v>
      </c>
    </row>
    <row r="148">
      <c r="A148" s="81" t="s">
        <v>39</v>
      </c>
      <c r="B148" s="58">
        <v>46042.0</v>
      </c>
      <c r="C148" s="35" t="s">
        <v>51</v>
      </c>
      <c r="D148" s="9" t="s">
        <v>685</v>
      </c>
      <c r="E148" s="11" t="s">
        <v>686</v>
      </c>
      <c r="F148" s="61" t="s">
        <v>56</v>
      </c>
      <c r="G148" s="87" t="s">
        <v>197</v>
      </c>
      <c r="H148" s="63" t="s">
        <v>22</v>
      </c>
      <c r="I148" s="71" t="s">
        <v>83</v>
      </c>
      <c r="J148" s="72">
        <v>46049.0</v>
      </c>
      <c r="K148" s="66"/>
      <c r="L148" s="67"/>
      <c r="M148" s="53" t="s">
        <v>687</v>
      </c>
    </row>
    <row r="149">
      <c r="A149" s="56" t="s">
        <v>39</v>
      </c>
      <c r="B149" s="58">
        <v>46042.0</v>
      </c>
      <c r="C149" s="35" t="s">
        <v>51</v>
      </c>
      <c r="D149" s="9" t="s">
        <v>688</v>
      </c>
      <c r="E149" s="11" t="s">
        <v>689</v>
      </c>
      <c r="F149" s="61" t="s">
        <v>56</v>
      </c>
      <c r="G149" s="87" t="s">
        <v>197</v>
      </c>
      <c r="H149" s="63" t="s">
        <v>22</v>
      </c>
      <c r="I149" s="64" t="s">
        <v>89</v>
      </c>
      <c r="J149" s="65">
        <v>46044.0</v>
      </c>
      <c r="K149" s="66"/>
      <c r="L149" s="67"/>
      <c r="M149" s="68" t="s">
        <v>690</v>
      </c>
    </row>
    <row r="150">
      <c r="A150" s="81" t="s">
        <v>39</v>
      </c>
      <c r="B150" s="58">
        <v>46042.0</v>
      </c>
      <c r="C150" s="35" t="s">
        <v>51</v>
      </c>
      <c r="D150" s="9" t="s">
        <v>691</v>
      </c>
      <c r="E150" s="11" t="s">
        <v>692</v>
      </c>
      <c r="F150" s="61" t="s">
        <v>56</v>
      </c>
      <c r="G150" s="87" t="s">
        <v>197</v>
      </c>
      <c r="H150" s="63" t="s">
        <v>22</v>
      </c>
      <c r="I150" s="71" t="s">
        <v>83</v>
      </c>
      <c r="J150" s="72">
        <v>46045.0</v>
      </c>
      <c r="K150" s="66"/>
      <c r="L150" s="67"/>
      <c r="M150" s="53" t="s">
        <v>693</v>
      </c>
    </row>
    <row r="151">
      <c r="A151" s="56" t="s">
        <v>39</v>
      </c>
      <c r="B151" s="58">
        <v>46042.0</v>
      </c>
      <c r="C151" s="35" t="s">
        <v>51</v>
      </c>
      <c r="D151" s="9" t="s">
        <v>694</v>
      </c>
      <c r="E151" s="11" t="s">
        <v>695</v>
      </c>
      <c r="F151" s="61" t="s">
        <v>83</v>
      </c>
      <c r="G151" s="62"/>
      <c r="H151" s="67"/>
      <c r="I151" s="64" t="s">
        <v>83</v>
      </c>
      <c r="J151" s="65">
        <v>46043.0</v>
      </c>
      <c r="K151" s="66"/>
      <c r="L151" s="67"/>
      <c r="M151" s="68" t="s">
        <v>696</v>
      </c>
    </row>
    <row r="152">
      <c r="A152" s="81" t="s">
        <v>145</v>
      </c>
      <c r="B152" s="58">
        <v>46043.0</v>
      </c>
      <c r="C152" s="35" t="s">
        <v>51</v>
      </c>
      <c r="D152" s="9" t="s">
        <v>697</v>
      </c>
      <c r="E152" s="11" t="s">
        <v>698</v>
      </c>
      <c r="F152" s="61" t="s">
        <v>56</v>
      </c>
      <c r="G152" s="87" t="s">
        <v>197</v>
      </c>
      <c r="H152" s="63" t="s">
        <v>22</v>
      </c>
      <c r="I152" s="71" t="s">
        <v>89</v>
      </c>
      <c r="J152" s="72">
        <v>46046.0</v>
      </c>
      <c r="K152" s="66"/>
      <c r="L152" s="67"/>
      <c r="M152" s="53" t="s">
        <v>183</v>
      </c>
    </row>
    <row r="153">
      <c r="A153" s="81" t="s">
        <v>120</v>
      </c>
      <c r="B153" s="58">
        <v>46043.0</v>
      </c>
      <c r="C153" s="35" t="s">
        <v>51</v>
      </c>
      <c r="D153" s="9" t="s">
        <v>699</v>
      </c>
      <c r="E153" s="11" t="s">
        <v>700</v>
      </c>
      <c r="F153" s="61" t="s">
        <v>56</v>
      </c>
      <c r="G153" s="83" t="s">
        <v>157</v>
      </c>
      <c r="H153" s="63" t="s">
        <v>22</v>
      </c>
      <c r="I153" s="64" t="s">
        <v>89</v>
      </c>
      <c r="J153" s="65">
        <v>46044.0</v>
      </c>
      <c r="K153" s="66"/>
      <c r="L153" s="67"/>
      <c r="M153" s="53" t="s">
        <v>702</v>
      </c>
    </row>
    <row r="154">
      <c r="A154" s="56" t="s">
        <v>120</v>
      </c>
      <c r="B154" s="58">
        <v>46043.0</v>
      </c>
      <c r="C154" s="35" t="s">
        <v>51</v>
      </c>
      <c r="D154" s="9" t="s">
        <v>703</v>
      </c>
      <c r="E154" s="11" t="s">
        <v>704</v>
      </c>
      <c r="F154" s="61" t="s">
        <v>56</v>
      </c>
      <c r="G154" s="83" t="s">
        <v>157</v>
      </c>
      <c r="H154" s="63" t="s">
        <v>22</v>
      </c>
      <c r="I154" s="64" t="s">
        <v>83</v>
      </c>
      <c r="J154" s="65">
        <v>46045.0</v>
      </c>
      <c r="K154" s="66"/>
      <c r="L154" s="67"/>
      <c r="M154" s="68" t="s">
        <v>705</v>
      </c>
    </row>
    <row r="155">
      <c r="A155" s="56" t="s">
        <v>76</v>
      </c>
      <c r="B155" s="58">
        <v>46043.0</v>
      </c>
      <c r="C155" s="35" t="s">
        <v>51</v>
      </c>
      <c r="D155" s="9" t="s">
        <v>706</v>
      </c>
      <c r="E155" s="11" t="s">
        <v>707</v>
      </c>
      <c r="F155" s="61" t="s">
        <v>83</v>
      </c>
      <c r="G155" s="62" t="s">
        <v>708</v>
      </c>
      <c r="H155" s="63" t="s">
        <v>22</v>
      </c>
      <c r="I155" s="64" t="s">
        <v>89</v>
      </c>
      <c r="J155" s="65">
        <v>46043.0</v>
      </c>
      <c r="K155" s="114">
        <v>46095.0</v>
      </c>
      <c r="L155" s="67"/>
      <c r="M155" s="53" t="s">
        <v>709</v>
      </c>
    </row>
    <row r="156">
      <c r="A156" s="81" t="s">
        <v>39</v>
      </c>
      <c r="B156" s="58">
        <v>46043.0</v>
      </c>
      <c r="C156" s="35" t="s">
        <v>51</v>
      </c>
      <c r="D156" s="9" t="s">
        <v>710</v>
      </c>
      <c r="E156" s="11" t="s">
        <v>711</v>
      </c>
      <c r="F156" s="61" t="s">
        <v>56</v>
      </c>
      <c r="G156" s="89" t="s">
        <v>189</v>
      </c>
      <c r="H156" s="63" t="s">
        <v>22</v>
      </c>
      <c r="I156" s="71" t="s">
        <v>89</v>
      </c>
      <c r="J156" s="72">
        <v>46046.0</v>
      </c>
      <c r="K156" s="66"/>
      <c r="L156" s="67"/>
      <c r="M156" s="53" t="s">
        <v>712</v>
      </c>
    </row>
    <row r="157">
      <c r="A157" s="81" t="s">
        <v>39</v>
      </c>
      <c r="B157" s="58">
        <v>46043.0</v>
      </c>
      <c r="C157" s="35" t="s">
        <v>51</v>
      </c>
      <c r="D157" s="9" t="s">
        <v>713</v>
      </c>
      <c r="E157" s="11" t="s">
        <v>714</v>
      </c>
      <c r="F157" s="61" t="s">
        <v>56</v>
      </c>
      <c r="G157" s="89" t="s">
        <v>189</v>
      </c>
      <c r="H157" s="63" t="s">
        <v>22</v>
      </c>
      <c r="I157" s="71" t="s">
        <v>89</v>
      </c>
      <c r="J157" s="72">
        <v>46046.0</v>
      </c>
      <c r="K157" s="66"/>
      <c r="L157" s="67"/>
      <c r="M157" s="53" t="s">
        <v>715</v>
      </c>
    </row>
    <row r="158">
      <c r="A158" s="81" t="s">
        <v>39</v>
      </c>
      <c r="B158" s="58">
        <v>46043.0</v>
      </c>
      <c r="C158" s="35" t="s">
        <v>51</v>
      </c>
      <c r="D158" s="9" t="s">
        <v>716</v>
      </c>
      <c r="E158" s="11" t="s">
        <v>717</v>
      </c>
      <c r="F158" s="61" t="s">
        <v>89</v>
      </c>
      <c r="G158" s="62" t="s">
        <v>718</v>
      </c>
      <c r="H158" s="67"/>
      <c r="I158" s="64" t="s">
        <v>89</v>
      </c>
      <c r="J158" s="65">
        <v>46043.0</v>
      </c>
      <c r="K158" s="114">
        <v>46053.0</v>
      </c>
      <c r="L158" s="31">
        <v>2.0</v>
      </c>
      <c r="M158" s="53" t="s">
        <v>719</v>
      </c>
    </row>
    <row r="159">
      <c r="A159" s="56" t="s">
        <v>39</v>
      </c>
      <c r="B159" s="58">
        <v>46043.0</v>
      </c>
      <c r="C159" s="35" t="s">
        <v>51</v>
      </c>
      <c r="D159" s="9" t="s">
        <v>720</v>
      </c>
      <c r="E159" s="11" t="s">
        <v>721</v>
      </c>
      <c r="F159" s="61" t="s">
        <v>56</v>
      </c>
      <c r="G159" s="62" t="s">
        <v>722</v>
      </c>
      <c r="H159" s="63" t="s">
        <v>22</v>
      </c>
      <c r="I159" s="64" t="s">
        <v>56</v>
      </c>
      <c r="J159" s="65">
        <v>46043.0</v>
      </c>
      <c r="K159" s="65">
        <v>46053.0</v>
      </c>
      <c r="L159" s="63">
        <v>2.0</v>
      </c>
      <c r="M159" s="68" t="s">
        <v>723</v>
      </c>
    </row>
    <row r="160">
      <c r="A160" s="81" t="s">
        <v>145</v>
      </c>
      <c r="B160" s="58">
        <v>46044.0</v>
      </c>
      <c r="C160" s="35" t="s">
        <v>51</v>
      </c>
      <c r="D160" s="9" t="s">
        <v>724</v>
      </c>
      <c r="E160" s="11" t="s">
        <v>725</v>
      </c>
      <c r="F160" s="61" t="s">
        <v>56</v>
      </c>
      <c r="G160" s="87" t="s">
        <v>197</v>
      </c>
      <c r="H160" s="63" t="s">
        <v>22</v>
      </c>
      <c r="I160" s="71" t="s">
        <v>83</v>
      </c>
      <c r="J160" s="72">
        <v>46045.0</v>
      </c>
      <c r="K160" s="66"/>
      <c r="L160" s="67"/>
      <c r="M160" s="53" t="s">
        <v>726</v>
      </c>
    </row>
    <row r="161">
      <c r="A161" s="81" t="s">
        <v>145</v>
      </c>
      <c r="B161" s="58">
        <v>46044.0</v>
      </c>
      <c r="C161" s="35" t="s">
        <v>51</v>
      </c>
      <c r="D161" s="9" t="s">
        <v>727</v>
      </c>
      <c r="E161" s="11" t="s">
        <v>728</v>
      </c>
      <c r="F161" s="61" t="s">
        <v>56</v>
      </c>
      <c r="G161" s="108" t="s">
        <v>264</v>
      </c>
      <c r="H161" s="63" t="s">
        <v>22</v>
      </c>
      <c r="I161" s="71" t="s">
        <v>83</v>
      </c>
      <c r="J161" s="72">
        <v>46046.0</v>
      </c>
      <c r="K161" s="66"/>
      <c r="L161" s="67"/>
      <c r="M161" s="53" t="s">
        <v>183</v>
      </c>
    </row>
    <row r="162">
      <c r="A162" s="81" t="s">
        <v>120</v>
      </c>
      <c r="B162" s="58">
        <v>46044.0</v>
      </c>
      <c r="C162" s="35" t="s">
        <v>51</v>
      </c>
      <c r="D162" s="9" t="s">
        <v>729</v>
      </c>
      <c r="E162" s="11" t="s">
        <v>730</v>
      </c>
      <c r="F162" s="61" t="s">
        <v>89</v>
      </c>
      <c r="G162" s="62" t="s">
        <v>731</v>
      </c>
      <c r="H162" s="63" t="s">
        <v>22</v>
      </c>
      <c r="I162" s="71" t="s">
        <v>83</v>
      </c>
      <c r="J162" s="72">
        <v>46045.0</v>
      </c>
      <c r="K162" s="66"/>
      <c r="L162" s="67"/>
      <c r="M162" s="53" t="s">
        <v>732</v>
      </c>
    </row>
    <row r="163">
      <c r="A163" s="81" t="s">
        <v>76</v>
      </c>
      <c r="B163" s="58">
        <v>46044.0</v>
      </c>
      <c r="C163" s="35" t="s">
        <v>51</v>
      </c>
      <c r="D163" s="9" t="s">
        <v>733</v>
      </c>
      <c r="E163" s="11" t="s">
        <v>734</v>
      </c>
      <c r="F163" s="61" t="s">
        <v>56</v>
      </c>
      <c r="G163" s="83" t="s">
        <v>157</v>
      </c>
      <c r="H163" s="63" t="s">
        <v>22</v>
      </c>
      <c r="I163" s="71" t="s">
        <v>83</v>
      </c>
      <c r="J163" s="72">
        <v>46049.0</v>
      </c>
      <c r="K163" s="66"/>
      <c r="L163" s="67"/>
      <c r="M163" s="53" t="s">
        <v>736</v>
      </c>
    </row>
    <row r="164">
      <c r="A164" s="56" t="s">
        <v>76</v>
      </c>
      <c r="B164" s="58">
        <v>46044.0</v>
      </c>
      <c r="C164" s="35" t="s">
        <v>51</v>
      </c>
      <c r="D164" s="9" t="s">
        <v>279</v>
      </c>
      <c r="E164" s="11" t="s">
        <v>737</v>
      </c>
      <c r="F164" s="61" t="s">
        <v>56</v>
      </c>
      <c r="G164" s="62" t="s">
        <v>738</v>
      </c>
      <c r="H164" s="63" t="s">
        <v>22</v>
      </c>
      <c r="I164" s="64" t="s">
        <v>56</v>
      </c>
      <c r="J164" s="65">
        <v>46044.0</v>
      </c>
      <c r="K164" s="66"/>
      <c r="L164" s="67"/>
      <c r="M164" s="167" t="s">
        <v>739</v>
      </c>
    </row>
    <row r="165">
      <c r="A165" s="56" t="s">
        <v>39</v>
      </c>
      <c r="B165" s="58">
        <v>46044.0</v>
      </c>
      <c r="C165" s="35" t="s">
        <v>51</v>
      </c>
      <c r="D165" s="9" t="s">
        <v>741</v>
      </c>
      <c r="E165" s="11" t="s">
        <v>742</v>
      </c>
      <c r="F165" s="61" t="s">
        <v>89</v>
      </c>
      <c r="G165" s="62"/>
      <c r="H165" s="63" t="s">
        <v>22</v>
      </c>
      <c r="I165" s="64" t="s">
        <v>89</v>
      </c>
      <c r="J165" s="65">
        <v>46044.0</v>
      </c>
      <c r="K165" s="65">
        <v>46045.0</v>
      </c>
      <c r="L165" s="63">
        <v>1.0</v>
      </c>
      <c r="M165" s="68" t="s">
        <v>743</v>
      </c>
    </row>
    <row r="166">
      <c r="A166" s="31" t="s">
        <v>145</v>
      </c>
      <c r="B166" s="168">
        <v>46046.0</v>
      </c>
      <c r="C166" s="35" t="s">
        <v>51</v>
      </c>
      <c r="D166" s="9" t="s">
        <v>744</v>
      </c>
      <c r="E166" s="11" t="s">
        <v>745</v>
      </c>
      <c r="F166" s="61" t="s">
        <v>89</v>
      </c>
      <c r="G166" s="89" t="s">
        <v>189</v>
      </c>
      <c r="H166" s="63" t="s">
        <v>22</v>
      </c>
      <c r="I166" s="71" t="s">
        <v>89</v>
      </c>
      <c r="J166" s="72">
        <v>46046.0</v>
      </c>
      <c r="K166" s="66"/>
      <c r="L166" s="67"/>
      <c r="M166" s="53" t="s">
        <v>183</v>
      </c>
    </row>
    <row r="167">
      <c r="A167" s="31" t="s">
        <v>145</v>
      </c>
      <c r="B167" s="168">
        <v>46046.0</v>
      </c>
      <c r="C167" s="35" t="s">
        <v>51</v>
      </c>
      <c r="D167" s="9" t="s">
        <v>746</v>
      </c>
      <c r="E167" s="11" t="s">
        <v>747</v>
      </c>
      <c r="F167" s="61" t="s">
        <v>89</v>
      </c>
      <c r="G167" s="83" t="s">
        <v>157</v>
      </c>
      <c r="H167" s="63" t="s">
        <v>22</v>
      </c>
      <c r="I167" s="71" t="s">
        <v>89</v>
      </c>
      <c r="J167" s="72">
        <v>46050.0</v>
      </c>
      <c r="K167" s="66"/>
      <c r="L167" s="67"/>
      <c r="M167" s="53" t="s">
        <v>183</v>
      </c>
    </row>
    <row r="168">
      <c r="A168" s="31" t="s">
        <v>145</v>
      </c>
      <c r="B168" s="168">
        <v>46046.0</v>
      </c>
      <c r="C168" s="35" t="s">
        <v>51</v>
      </c>
      <c r="D168" s="9" t="s">
        <v>748</v>
      </c>
      <c r="E168" s="11" t="s">
        <v>749</v>
      </c>
      <c r="F168" s="61" t="s">
        <v>89</v>
      </c>
      <c r="G168" s="83" t="s">
        <v>157</v>
      </c>
      <c r="H168" s="63" t="s">
        <v>22</v>
      </c>
      <c r="I168" s="71" t="s">
        <v>89</v>
      </c>
      <c r="J168" s="72">
        <v>46050.0</v>
      </c>
      <c r="K168" s="66"/>
      <c r="L168" s="67"/>
      <c r="M168" s="53" t="s">
        <v>183</v>
      </c>
    </row>
    <row r="169">
      <c r="A169" s="31" t="s">
        <v>145</v>
      </c>
      <c r="B169" s="168">
        <v>46046.0</v>
      </c>
      <c r="C169" s="35" t="s">
        <v>51</v>
      </c>
      <c r="D169" s="9" t="s">
        <v>750</v>
      </c>
      <c r="E169" s="11" t="s">
        <v>751</v>
      </c>
      <c r="F169" s="61" t="s">
        <v>89</v>
      </c>
      <c r="G169" s="83" t="s">
        <v>157</v>
      </c>
      <c r="H169" s="63" t="s">
        <v>22</v>
      </c>
      <c r="I169" s="71" t="s">
        <v>83</v>
      </c>
      <c r="J169" s="72">
        <v>46049.0</v>
      </c>
      <c r="K169" s="66"/>
      <c r="L169" s="67"/>
      <c r="M169" s="53" t="s">
        <v>752</v>
      </c>
    </row>
    <row r="170">
      <c r="A170" s="31" t="s">
        <v>145</v>
      </c>
      <c r="B170" s="168">
        <v>46046.0</v>
      </c>
      <c r="C170" s="35" t="s">
        <v>51</v>
      </c>
      <c r="D170" s="9" t="s">
        <v>753</v>
      </c>
      <c r="E170" s="11" t="s">
        <v>754</v>
      </c>
      <c r="F170" s="169" t="s">
        <v>56</v>
      </c>
      <c r="G170" s="83" t="s">
        <v>157</v>
      </c>
      <c r="H170" s="31" t="s">
        <v>22</v>
      </c>
      <c r="I170" s="71" t="s">
        <v>89</v>
      </c>
      <c r="J170" s="170">
        <v>46050.0</v>
      </c>
      <c r="K170" s="171"/>
      <c r="L170" s="171"/>
      <c r="M170" s="172" t="s">
        <v>183</v>
      </c>
    </row>
    <row r="171">
      <c r="A171" s="31" t="s">
        <v>145</v>
      </c>
      <c r="B171" s="168">
        <v>46046.0</v>
      </c>
      <c r="C171" s="35" t="s">
        <v>51</v>
      </c>
      <c r="D171" s="9" t="s">
        <v>756</v>
      </c>
      <c r="E171" s="11" t="s">
        <v>757</v>
      </c>
      <c r="F171" s="169" t="s">
        <v>56</v>
      </c>
      <c r="G171" s="87" t="s">
        <v>197</v>
      </c>
      <c r="H171" s="31" t="s">
        <v>22</v>
      </c>
      <c r="I171" s="71" t="s">
        <v>83</v>
      </c>
      <c r="J171" s="170">
        <v>46049.0</v>
      </c>
      <c r="K171" s="171"/>
      <c r="L171" s="171"/>
      <c r="M171" s="172" t="s">
        <v>183</v>
      </c>
    </row>
    <row r="172">
      <c r="A172" s="31" t="s">
        <v>120</v>
      </c>
      <c r="B172" s="168">
        <v>46046.0</v>
      </c>
      <c r="C172" s="35" t="s">
        <v>51</v>
      </c>
      <c r="D172" s="9" t="s">
        <v>759</v>
      </c>
      <c r="E172" s="11" t="s">
        <v>760</v>
      </c>
      <c r="F172" s="61" t="s">
        <v>89</v>
      </c>
      <c r="G172" s="108" t="s">
        <v>264</v>
      </c>
      <c r="H172" s="63" t="s">
        <v>22</v>
      </c>
      <c r="I172" s="71" t="s">
        <v>83</v>
      </c>
      <c r="J172" s="72">
        <v>46046.0</v>
      </c>
      <c r="K172" s="66"/>
      <c r="L172" s="67"/>
      <c r="M172" s="53" t="s">
        <v>761</v>
      </c>
    </row>
    <row r="173">
      <c r="A173" s="31" t="s">
        <v>621</v>
      </c>
      <c r="B173" s="168">
        <v>46046.0</v>
      </c>
      <c r="C173" s="35" t="s">
        <v>51</v>
      </c>
      <c r="D173" s="9" t="s">
        <v>762</v>
      </c>
      <c r="E173" s="11" t="s">
        <v>763</v>
      </c>
      <c r="F173" s="169" t="s">
        <v>56</v>
      </c>
      <c r="G173" s="176" t="s">
        <v>764</v>
      </c>
      <c r="H173" s="67"/>
      <c r="I173" s="71" t="s">
        <v>89</v>
      </c>
      <c r="J173" s="72">
        <v>46050.0</v>
      </c>
      <c r="K173" s="66"/>
      <c r="L173" s="67"/>
      <c r="M173" s="53" t="s">
        <v>765</v>
      </c>
    </row>
    <row r="174">
      <c r="A174" s="31" t="s">
        <v>76</v>
      </c>
      <c r="B174" s="168">
        <v>46046.0</v>
      </c>
      <c r="C174" s="35" t="s">
        <v>51</v>
      </c>
      <c r="D174" s="9" t="s">
        <v>766</v>
      </c>
      <c r="E174" s="11" t="s">
        <v>767</v>
      </c>
      <c r="F174" s="61" t="s">
        <v>89</v>
      </c>
      <c r="G174" s="177" t="s">
        <v>189</v>
      </c>
      <c r="H174" s="63" t="s">
        <v>22</v>
      </c>
      <c r="I174" s="71" t="s">
        <v>89</v>
      </c>
      <c r="J174" s="72">
        <v>46046.0</v>
      </c>
      <c r="K174" s="66"/>
      <c r="L174" s="67"/>
      <c r="M174" s="53" t="s">
        <v>768</v>
      </c>
    </row>
    <row r="175">
      <c r="A175" s="179" t="s">
        <v>76</v>
      </c>
      <c r="B175" s="180">
        <v>46046.0</v>
      </c>
      <c r="C175" s="35" t="s">
        <v>51</v>
      </c>
      <c r="D175" s="9" t="s">
        <v>770</v>
      </c>
      <c r="E175" s="11" t="s">
        <v>771</v>
      </c>
      <c r="F175" s="181" t="s">
        <v>56</v>
      </c>
      <c r="G175" s="182" t="s">
        <v>189</v>
      </c>
      <c r="H175" s="179" t="s">
        <v>22</v>
      </c>
      <c r="I175" s="183" t="s">
        <v>89</v>
      </c>
      <c r="J175" s="184">
        <v>46050.0</v>
      </c>
      <c r="K175" s="185"/>
      <c r="L175" s="185"/>
      <c r="M175" s="187" t="s">
        <v>773</v>
      </c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31" t="s">
        <v>76</v>
      </c>
      <c r="B176" s="168">
        <v>46046.0</v>
      </c>
      <c r="C176" s="35" t="s">
        <v>51</v>
      </c>
      <c r="D176" s="9" t="s">
        <v>774</v>
      </c>
      <c r="E176" s="11" t="s">
        <v>775</v>
      </c>
      <c r="F176" s="169" t="s">
        <v>89</v>
      </c>
      <c r="G176" s="62"/>
      <c r="H176" s="31" t="s">
        <v>22</v>
      </c>
      <c r="I176" s="71" t="s">
        <v>89</v>
      </c>
      <c r="J176" s="72">
        <v>46046.0</v>
      </c>
      <c r="K176" s="66"/>
      <c r="L176" s="67"/>
      <c r="M176" s="188" t="s">
        <v>776</v>
      </c>
    </row>
    <row r="177">
      <c r="A177" s="31" t="s">
        <v>39</v>
      </c>
      <c r="B177" s="168">
        <v>46046.0</v>
      </c>
      <c r="C177" s="35" t="s">
        <v>51</v>
      </c>
      <c r="D177" s="9" t="s">
        <v>777</v>
      </c>
      <c r="E177" s="11" t="s">
        <v>778</v>
      </c>
      <c r="F177" s="61" t="s">
        <v>89</v>
      </c>
      <c r="G177" s="83" t="s">
        <v>157</v>
      </c>
      <c r="H177" s="63" t="s">
        <v>22</v>
      </c>
      <c r="I177" s="71" t="s">
        <v>89</v>
      </c>
      <c r="J177" s="72">
        <v>46046.0</v>
      </c>
      <c r="K177" s="66"/>
      <c r="L177" s="67"/>
      <c r="M177" s="53" t="s">
        <v>779</v>
      </c>
    </row>
    <row r="178">
      <c r="A178" s="31" t="s">
        <v>39</v>
      </c>
      <c r="B178" s="168">
        <v>46046.0</v>
      </c>
      <c r="C178" s="35" t="s">
        <v>51</v>
      </c>
      <c r="D178" s="9" t="s">
        <v>780</v>
      </c>
      <c r="E178" s="11" t="s">
        <v>781</v>
      </c>
      <c r="F178" s="169" t="s">
        <v>56</v>
      </c>
      <c r="G178" s="87" t="s">
        <v>197</v>
      </c>
      <c r="H178" s="31" t="s">
        <v>22</v>
      </c>
      <c r="I178" s="71" t="s">
        <v>83</v>
      </c>
      <c r="J178" s="170">
        <v>46049.0</v>
      </c>
      <c r="K178" s="171"/>
      <c r="L178" s="171"/>
      <c r="M178" s="172" t="s">
        <v>782</v>
      </c>
    </row>
    <row r="179">
      <c r="A179" s="31" t="s">
        <v>120</v>
      </c>
      <c r="B179" s="191">
        <v>46047.0</v>
      </c>
      <c r="C179" s="35" t="s">
        <v>51</v>
      </c>
      <c r="D179" s="9" t="s">
        <v>783</v>
      </c>
      <c r="E179" s="11" t="s">
        <v>784</v>
      </c>
      <c r="F179" s="169" t="s">
        <v>56</v>
      </c>
      <c r="G179" s="89" t="s">
        <v>189</v>
      </c>
      <c r="H179" s="31" t="s">
        <v>22</v>
      </c>
      <c r="I179" s="71" t="s">
        <v>89</v>
      </c>
      <c r="J179" s="170">
        <v>46050.0</v>
      </c>
      <c r="K179" s="171"/>
      <c r="L179" s="171"/>
      <c r="M179" s="172" t="s">
        <v>785</v>
      </c>
    </row>
    <row r="180">
      <c r="A180" s="31" t="s">
        <v>39</v>
      </c>
      <c r="B180" s="191">
        <v>46047.0</v>
      </c>
      <c r="C180" s="35" t="s">
        <v>51</v>
      </c>
      <c r="D180" s="9" t="s">
        <v>786</v>
      </c>
      <c r="E180" s="11" t="s">
        <v>787</v>
      </c>
      <c r="F180" s="169" t="s">
        <v>56</v>
      </c>
      <c r="G180" s="83" t="s">
        <v>157</v>
      </c>
      <c r="H180" s="31" t="s">
        <v>22</v>
      </c>
      <c r="I180" s="71" t="s">
        <v>83</v>
      </c>
      <c r="J180" s="170">
        <v>46051.0</v>
      </c>
      <c r="K180" s="171"/>
      <c r="L180" s="171"/>
      <c r="M180" s="172" t="s">
        <v>788</v>
      </c>
    </row>
    <row r="181">
      <c r="A181" s="31" t="s">
        <v>39</v>
      </c>
      <c r="B181" s="191">
        <v>46047.0</v>
      </c>
      <c r="C181" s="35" t="s">
        <v>51</v>
      </c>
      <c r="D181" s="9" t="s">
        <v>789</v>
      </c>
      <c r="E181" s="11" t="s">
        <v>790</v>
      </c>
      <c r="F181" s="169" t="s">
        <v>56</v>
      </c>
      <c r="G181" s="83" t="s">
        <v>157</v>
      </c>
      <c r="H181" s="31" t="s">
        <v>22</v>
      </c>
      <c r="I181" s="71" t="s">
        <v>89</v>
      </c>
      <c r="J181" s="170">
        <v>46050.0</v>
      </c>
      <c r="K181" s="171"/>
      <c r="L181" s="171"/>
      <c r="M181" s="172" t="s">
        <v>791</v>
      </c>
    </row>
    <row r="182">
      <c r="A182" s="31" t="s">
        <v>39</v>
      </c>
      <c r="B182" s="191">
        <v>46047.0</v>
      </c>
      <c r="C182" s="35" t="s">
        <v>51</v>
      </c>
      <c r="D182" s="9" t="s">
        <v>792</v>
      </c>
      <c r="E182" s="11" t="s">
        <v>793</v>
      </c>
      <c r="F182" s="169" t="s">
        <v>56</v>
      </c>
      <c r="G182" s="83" t="s">
        <v>157</v>
      </c>
      <c r="H182" s="31" t="s">
        <v>22</v>
      </c>
      <c r="I182" s="71" t="s">
        <v>89</v>
      </c>
      <c r="J182" s="170">
        <v>46050.0</v>
      </c>
      <c r="K182" s="171"/>
      <c r="L182" s="171"/>
      <c r="M182" s="172" t="s">
        <v>794</v>
      </c>
    </row>
    <row r="183">
      <c r="A183" s="31" t="s">
        <v>39</v>
      </c>
      <c r="B183" s="191">
        <v>46047.0</v>
      </c>
      <c r="C183" s="35" t="s">
        <v>51</v>
      </c>
      <c r="D183" s="9" t="s">
        <v>795</v>
      </c>
      <c r="E183" s="11" t="s">
        <v>796</v>
      </c>
      <c r="F183" s="169" t="s">
        <v>56</v>
      </c>
      <c r="G183" s="83" t="s">
        <v>157</v>
      </c>
      <c r="H183" s="31" t="s">
        <v>22</v>
      </c>
      <c r="I183" s="71" t="s">
        <v>83</v>
      </c>
      <c r="J183" s="170">
        <v>46057.0</v>
      </c>
      <c r="K183" s="191">
        <v>46064.0</v>
      </c>
      <c r="L183" s="192">
        <v>1.0</v>
      </c>
      <c r="M183" s="172" t="s">
        <v>797</v>
      </c>
    </row>
    <row r="184">
      <c r="A184" s="31" t="s">
        <v>145</v>
      </c>
      <c r="B184" s="191">
        <v>46048.0</v>
      </c>
      <c r="C184" s="35" t="s">
        <v>51</v>
      </c>
      <c r="D184" s="9" t="s">
        <v>798</v>
      </c>
      <c r="E184" s="11" t="s">
        <v>799</v>
      </c>
      <c r="F184" s="169" t="s">
        <v>56</v>
      </c>
      <c r="G184" s="89" t="s">
        <v>189</v>
      </c>
      <c r="H184" s="31" t="s">
        <v>22</v>
      </c>
      <c r="I184" s="71" t="s">
        <v>89</v>
      </c>
      <c r="J184" s="170">
        <v>46050.0</v>
      </c>
      <c r="K184" s="171"/>
      <c r="L184" s="171"/>
      <c r="M184" s="172" t="s">
        <v>173</v>
      </c>
    </row>
    <row r="185">
      <c r="A185" s="31" t="s">
        <v>120</v>
      </c>
      <c r="B185" s="191">
        <v>46048.0</v>
      </c>
      <c r="C185" s="35" t="s">
        <v>51</v>
      </c>
      <c r="D185" s="9" t="s">
        <v>800</v>
      </c>
      <c r="E185" s="11" t="s">
        <v>801</v>
      </c>
      <c r="F185" s="169" t="s">
        <v>56</v>
      </c>
      <c r="G185" s="87" t="s">
        <v>197</v>
      </c>
      <c r="H185" s="31" t="s">
        <v>22</v>
      </c>
      <c r="I185" s="71" t="s">
        <v>83</v>
      </c>
      <c r="J185" s="170">
        <v>46049.0</v>
      </c>
      <c r="K185" s="171"/>
      <c r="L185" s="171"/>
      <c r="M185" s="172" t="s">
        <v>803</v>
      </c>
    </row>
    <row r="186">
      <c r="A186" s="31" t="s">
        <v>39</v>
      </c>
      <c r="B186" s="191">
        <v>46048.0</v>
      </c>
      <c r="C186" s="35" t="s">
        <v>51</v>
      </c>
      <c r="D186" s="9" t="s">
        <v>804</v>
      </c>
      <c r="E186" s="11" t="s">
        <v>805</v>
      </c>
      <c r="F186" s="169" t="s">
        <v>56</v>
      </c>
      <c r="G186" s="87" t="s">
        <v>197</v>
      </c>
      <c r="H186" s="31" t="s">
        <v>22</v>
      </c>
      <c r="I186" s="71" t="s">
        <v>83</v>
      </c>
      <c r="J186" s="170">
        <v>46049.0</v>
      </c>
      <c r="K186" s="191">
        <v>46108.0</v>
      </c>
      <c r="L186" s="192">
        <v>1.0</v>
      </c>
      <c r="M186" s="172" t="s">
        <v>806</v>
      </c>
    </row>
    <row r="187">
      <c r="A187" s="31" t="s">
        <v>39</v>
      </c>
      <c r="B187" s="168">
        <v>46048.0</v>
      </c>
      <c r="C187" s="35" t="s">
        <v>51</v>
      </c>
      <c r="D187" s="9" t="s">
        <v>807</v>
      </c>
      <c r="E187" s="11" t="s">
        <v>808</v>
      </c>
      <c r="F187" s="169" t="s">
        <v>56</v>
      </c>
      <c r="G187" s="176" t="s">
        <v>809</v>
      </c>
      <c r="H187" s="67"/>
      <c r="I187" s="71" t="s">
        <v>89</v>
      </c>
      <c r="J187" s="72">
        <v>46046.0</v>
      </c>
      <c r="K187" s="114">
        <v>46058.0</v>
      </c>
      <c r="L187" s="31">
        <v>2.0</v>
      </c>
      <c r="M187" s="53" t="s">
        <v>810</v>
      </c>
    </row>
    <row r="188">
      <c r="A188" s="31" t="s">
        <v>811</v>
      </c>
      <c r="B188" s="191">
        <v>46049.0</v>
      </c>
      <c r="C188" s="35" t="s">
        <v>51</v>
      </c>
      <c r="D188" s="9" t="s">
        <v>812</v>
      </c>
      <c r="E188" s="11" t="s">
        <v>813</v>
      </c>
      <c r="F188" s="169" t="s">
        <v>83</v>
      </c>
      <c r="G188" s="176" t="s">
        <v>814</v>
      </c>
      <c r="H188" s="31" t="s">
        <v>22</v>
      </c>
      <c r="I188" s="71" t="s">
        <v>83</v>
      </c>
      <c r="J188" s="170">
        <v>46114.0</v>
      </c>
      <c r="K188" s="171"/>
      <c r="L188" s="171"/>
      <c r="M188" s="172" t="s">
        <v>173</v>
      </c>
    </row>
    <row r="189">
      <c r="A189" s="31" t="s">
        <v>39</v>
      </c>
      <c r="B189" s="191">
        <v>46049.0</v>
      </c>
      <c r="C189" s="35" t="s">
        <v>51</v>
      </c>
      <c r="D189" s="9" t="s">
        <v>815</v>
      </c>
      <c r="E189" s="11" t="s">
        <v>816</v>
      </c>
      <c r="F189" s="169" t="s">
        <v>83</v>
      </c>
      <c r="G189" s="176" t="s">
        <v>817</v>
      </c>
      <c r="H189" s="31" t="s">
        <v>22</v>
      </c>
      <c r="I189" s="71" t="s">
        <v>83</v>
      </c>
      <c r="J189" s="170">
        <v>46049.0</v>
      </c>
      <c r="K189" s="191">
        <v>46095.0</v>
      </c>
      <c r="L189" s="192">
        <v>2.0</v>
      </c>
      <c r="M189" s="172" t="s">
        <v>818</v>
      </c>
    </row>
    <row r="190">
      <c r="A190" s="31" t="s">
        <v>145</v>
      </c>
      <c r="B190" s="191">
        <v>46050.0</v>
      </c>
      <c r="C190" s="35" t="s">
        <v>51</v>
      </c>
      <c r="D190" s="9" t="s">
        <v>819</v>
      </c>
      <c r="E190" s="11" t="s">
        <v>820</v>
      </c>
      <c r="F190" s="169" t="s">
        <v>89</v>
      </c>
      <c r="G190" s="87" t="s">
        <v>821</v>
      </c>
      <c r="H190" s="31" t="s">
        <v>22</v>
      </c>
      <c r="I190" s="71" t="s">
        <v>89</v>
      </c>
      <c r="J190" s="170">
        <v>46050.0</v>
      </c>
      <c r="K190" s="171"/>
      <c r="L190" s="171"/>
      <c r="M190" s="53" t="s">
        <v>822</v>
      </c>
    </row>
    <row r="191">
      <c r="A191" s="31" t="s">
        <v>145</v>
      </c>
      <c r="B191" s="191">
        <v>46050.0</v>
      </c>
      <c r="C191" s="35" t="s">
        <v>51</v>
      </c>
      <c r="D191" s="9" t="s">
        <v>823</v>
      </c>
      <c r="E191" s="11" t="s">
        <v>824</v>
      </c>
      <c r="F191" s="169" t="s">
        <v>56</v>
      </c>
      <c r="G191" s="122" t="s">
        <v>825</v>
      </c>
      <c r="H191" s="31" t="s">
        <v>22</v>
      </c>
      <c r="I191" s="71" t="s">
        <v>56</v>
      </c>
      <c r="J191" s="170">
        <v>46052.0</v>
      </c>
      <c r="K191" s="171"/>
      <c r="L191" s="171"/>
      <c r="M191" s="172" t="s">
        <v>826</v>
      </c>
    </row>
    <row r="192">
      <c r="A192" s="31" t="s">
        <v>120</v>
      </c>
      <c r="B192" s="191">
        <v>46050.0</v>
      </c>
      <c r="C192" s="35" t="s">
        <v>51</v>
      </c>
      <c r="D192" s="9" t="s">
        <v>827</v>
      </c>
      <c r="E192" s="11" t="s">
        <v>828</v>
      </c>
      <c r="F192" s="169" t="s">
        <v>89</v>
      </c>
      <c r="G192" s="87" t="s">
        <v>197</v>
      </c>
      <c r="H192" s="31" t="s">
        <v>22</v>
      </c>
      <c r="I192" s="71" t="s">
        <v>89</v>
      </c>
      <c r="J192" s="170">
        <v>46050.0</v>
      </c>
      <c r="K192" s="171"/>
      <c r="L192" s="171"/>
      <c r="M192" s="53" t="s">
        <v>829</v>
      </c>
    </row>
    <row r="193">
      <c r="A193" s="31" t="s">
        <v>120</v>
      </c>
      <c r="B193" s="191">
        <v>46050.0</v>
      </c>
      <c r="C193" s="35" t="s">
        <v>51</v>
      </c>
      <c r="D193" s="9" t="s">
        <v>830</v>
      </c>
      <c r="E193" s="11" t="s">
        <v>831</v>
      </c>
      <c r="F193" s="169" t="s">
        <v>89</v>
      </c>
      <c r="G193" s="83" t="s">
        <v>157</v>
      </c>
      <c r="H193" s="31" t="s">
        <v>22</v>
      </c>
      <c r="I193" s="71" t="s">
        <v>89</v>
      </c>
      <c r="J193" s="170">
        <v>46051.0</v>
      </c>
      <c r="K193" s="171"/>
      <c r="L193" s="171"/>
      <c r="M193" s="53" t="s">
        <v>832</v>
      </c>
    </row>
    <row r="194">
      <c r="A194" s="31" t="s">
        <v>120</v>
      </c>
      <c r="B194" s="191">
        <v>46050.0</v>
      </c>
      <c r="C194" s="35" t="s">
        <v>51</v>
      </c>
      <c r="D194" s="9" t="s">
        <v>833</v>
      </c>
      <c r="E194" s="11" t="s">
        <v>834</v>
      </c>
      <c r="F194" s="169" t="s">
        <v>89</v>
      </c>
      <c r="G194" s="83" t="s">
        <v>157</v>
      </c>
      <c r="H194" s="31" t="s">
        <v>22</v>
      </c>
      <c r="I194" s="71" t="s">
        <v>89</v>
      </c>
      <c r="J194" s="170">
        <v>46051.0</v>
      </c>
      <c r="K194" s="171"/>
      <c r="L194" s="171"/>
      <c r="M194" s="53" t="s">
        <v>835</v>
      </c>
    </row>
    <row r="195">
      <c r="A195" s="31" t="s">
        <v>120</v>
      </c>
      <c r="B195" s="191">
        <v>46050.0</v>
      </c>
      <c r="C195" s="35" t="s">
        <v>51</v>
      </c>
      <c r="D195" s="9" t="s">
        <v>836</v>
      </c>
      <c r="E195" s="11" t="s">
        <v>837</v>
      </c>
      <c r="F195" s="169" t="s">
        <v>89</v>
      </c>
      <c r="G195" s="83" t="s">
        <v>157</v>
      </c>
      <c r="H195" s="31" t="s">
        <v>22</v>
      </c>
      <c r="I195" s="71" t="s">
        <v>89</v>
      </c>
      <c r="J195" s="170">
        <v>46051.0</v>
      </c>
      <c r="K195" s="171"/>
      <c r="L195" s="171"/>
      <c r="M195" s="53" t="s">
        <v>838</v>
      </c>
    </row>
    <row r="196">
      <c r="A196" s="31" t="s">
        <v>120</v>
      </c>
      <c r="B196" s="191">
        <v>46050.0</v>
      </c>
      <c r="C196" s="35" t="s">
        <v>51</v>
      </c>
      <c r="D196" s="9" t="s">
        <v>839</v>
      </c>
      <c r="E196" s="11" t="s">
        <v>840</v>
      </c>
      <c r="F196" s="169" t="s">
        <v>56</v>
      </c>
      <c r="G196" s="87" t="s">
        <v>197</v>
      </c>
      <c r="H196" s="31" t="s">
        <v>22</v>
      </c>
      <c r="I196" s="71" t="s">
        <v>83</v>
      </c>
      <c r="J196" s="170">
        <v>46053.0</v>
      </c>
      <c r="K196" s="171"/>
      <c r="L196" s="171"/>
      <c r="M196" s="172" t="s">
        <v>841</v>
      </c>
    </row>
    <row r="197">
      <c r="A197" s="31" t="s">
        <v>76</v>
      </c>
      <c r="B197" s="191">
        <v>46050.0</v>
      </c>
      <c r="C197" s="35" t="s">
        <v>51</v>
      </c>
      <c r="D197" s="9" t="s">
        <v>842</v>
      </c>
      <c r="E197" s="11" t="s">
        <v>843</v>
      </c>
      <c r="F197" s="169" t="s">
        <v>56</v>
      </c>
      <c r="G197" s="83" t="s">
        <v>157</v>
      </c>
      <c r="H197" s="31" t="s">
        <v>22</v>
      </c>
      <c r="I197" s="71" t="s">
        <v>89</v>
      </c>
      <c r="J197" s="170">
        <v>46052.0</v>
      </c>
      <c r="K197" s="171"/>
      <c r="L197" s="171"/>
      <c r="M197" s="172" t="s">
        <v>844</v>
      </c>
    </row>
    <row r="198">
      <c r="A198" s="31" t="s">
        <v>76</v>
      </c>
      <c r="B198" s="191">
        <v>46050.0</v>
      </c>
      <c r="C198" s="35" t="s">
        <v>51</v>
      </c>
      <c r="D198" s="9" t="s">
        <v>571</v>
      </c>
      <c r="E198" s="11" t="s">
        <v>845</v>
      </c>
      <c r="F198" s="169" t="s">
        <v>83</v>
      </c>
      <c r="G198" s="176" t="s">
        <v>846</v>
      </c>
      <c r="H198" s="31" t="s">
        <v>22</v>
      </c>
      <c r="I198" s="71" t="s">
        <v>83</v>
      </c>
      <c r="J198" s="170">
        <v>46051.0</v>
      </c>
      <c r="K198" s="171"/>
      <c r="L198" s="171"/>
      <c r="M198" s="172" t="s">
        <v>847</v>
      </c>
    </row>
    <row r="199">
      <c r="A199" s="31" t="s">
        <v>39</v>
      </c>
      <c r="B199" s="191">
        <v>46050.0</v>
      </c>
      <c r="C199" s="35" t="s">
        <v>51</v>
      </c>
      <c r="D199" s="9" t="s">
        <v>849</v>
      </c>
      <c r="E199" s="11" t="s">
        <v>850</v>
      </c>
      <c r="F199" s="169" t="s">
        <v>89</v>
      </c>
      <c r="G199" s="89" t="s">
        <v>189</v>
      </c>
      <c r="H199" s="31" t="s">
        <v>22</v>
      </c>
      <c r="I199" s="71" t="s">
        <v>89</v>
      </c>
      <c r="J199" s="170">
        <v>46051.0</v>
      </c>
      <c r="K199" s="171"/>
      <c r="L199" s="171"/>
      <c r="M199" s="53" t="s">
        <v>851</v>
      </c>
    </row>
    <row r="200">
      <c r="A200" s="31" t="s">
        <v>39</v>
      </c>
      <c r="B200" s="191">
        <v>46050.0</v>
      </c>
      <c r="C200" s="35" t="s">
        <v>51</v>
      </c>
      <c r="D200" s="9" t="s">
        <v>852</v>
      </c>
      <c r="E200" s="11" t="s">
        <v>853</v>
      </c>
      <c r="F200" s="169" t="s">
        <v>89</v>
      </c>
      <c r="G200" s="83" t="s">
        <v>157</v>
      </c>
      <c r="H200" s="31" t="s">
        <v>22</v>
      </c>
      <c r="I200" s="71" t="s">
        <v>83</v>
      </c>
      <c r="J200" s="170">
        <v>46051.0</v>
      </c>
      <c r="K200" s="171"/>
      <c r="L200" s="171"/>
      <c r="M200" s="53" t="s">
        <v>855</v>
      </c>
    </row>
    <row r="201">
      <c r="A201" s="31" t="s">
        <v>39</v>
      </c>
      <c r="B201" s="191">
        <v>46050.0</v>
      </c>
      <c r="C201" s="35" t="s">
        <v>51</v>
      </c>
      <c r="D201" s="9" t="s">
        <v>856</v>
      </c>
      <c r="E201" s="11" t="s">
        <v>857</v>
      </c>
      <c r="F201" s="169" t="s">
        <v>56</v>
      </c>
      <c r="G201" s="83" t="s">
        <v>157</v>
      </c>
      <c r="H201" s="31" t="s">
        <v>22</v>
      </c>
      <c r="I201" s="71" t="s">
        <v>89</v>
      </c>
      <c r="J201" s="170">
        <v>46052.0</v>
      </c>
      <c r="K201" s="191">
        <v>46056.0</v>
      </c>
      <c r="L201" s="192">
        <v>2.0</v>
      </c>
      <c r="M201" s="172" t="s">
        <v>858</v>
      </c>
    </row>
    <row r="202">
      <c r="A202" s="31" t="s">
        <v>39</v>
      </c>
      <c r="B202" s="191">
        <v>46050.0</v>
      </c>
      <c r="C202" s="35" t="s">
        <v>51</v>
      </c>
      <c r="D202" s="9" t="s">
        <v>859</v>
      </c>
      <c r="E202" s="11" t="s">
        <v>860</v>
      </c>
      <c r="F202" s="169" t="s">
        <v>56</v>
      </c>
      <c r="G202" s="87" t="s">
        <v>197</v>
      </c>
      <c r="H202" s="31" t="s">
        <v>22</v>
      </c>
      <c r="I202" s="71" t="s">
        <v>89</v>
      </c>
      <c r="J202" s="170">
        <v>46053.0</v>
      </c>
      <c r="K202" s="171"/>
      <c r="L202" s="171"/>
      <c r="M202" s="172" t="s">
        <v>861</v>
      </c>
    </row>
    <row r="203">
      <c r="A203" s="31" t="s">
        <v>39</v>
      </c>
      <c r="B203" s="191">
        <v>46050.0</v>
      </c>
      <c r="C203" s="35" t="s">
        <v>51</v>
      </c>
      <c r="D203" s="9" t="s">
        <v>862</v>
      </c>
      <c r="E203" s="11" t="s">
        <v>863</v>
      </c>
      <c r="F203" s="169" t="s">
        <v>56</v>
      </c>
      <c r="G203" s="83" t="s">
        <v>157</v>
      </c>
      <c r="H203" s="31" t="s">
        <v>22</v>
      </c>
      <c r="I203" s="71" t="s">
        <v>83</v>
      </c>
      <c r="J203" s="170">
        <v>46056.0</v>
      </c>
      <c r="K203" s="171"/>
      <c r="L203" s="171"/>
      <c r="M203" s="172" t="s">
        <v>864</v>
      </c>
    </row>
    <row r="204">
      <c r="A204" s="31" t="s">
        <v>39</v>
      </c>
      <c r="B204" s="191">
        <v>46050.0</v>
      </c>
      <c r="C204" s="35" t="s">
        <v>51</v>
      </c>
      <c r="D204" s="9" t="s">
        <v>865</v>
      </c>
      <c r="E204" s="11" t="s">
        <v>866</v>
      </c>
      <c r="F204" s="169" t="s">
        <v>89</v>
      </c>
      <c r="G204" s="176" t="s">
        <v>867</v>
      </c>
      <c r="H204" s="67"/>
      <c r="I204" s="71" t="s">
        <v>89</v>
      </c>
      <c r="J204" s="170">
        <v>46050.0</v>
      </c>
      <c r="K204" s="191">
        <v>46058.0</v>
      </c>
      <c r="L204" s="192">
        <v>4.0</v>
      </c>
      <c r="M204" s="172" t="s">
        <v>868</v>
      </c>
    </row>
    <row r="205">
      <c r="A205" s="31" t="s">
        <v>39</v>
      </c>
      <c r="B205" s="191">
        <v>46050.0</v>
      </c>
      <c r="C205" s="35" t="s">
        <v>51</v>
      </c>
      <c r="D205" s="9" t="s">
        <v>869</v>
      </c>
      <c r="E205" s="11" t="s">
        <v>870</v>
      </c>
      <c r="F205" s="169" t="s">
        <v>83</v>
      </c>
      <c r="G205" s="176" t="s">
        <v>871</v>
      </c>
      <c r="H205" s="31" t="s">
        <v>22</v>
      </c>
      <c r="I205" s="71" t="s">
        <v>83</v>
      </c>
      <c r="J205" s="170">
        <v>46050.0</v>
      </c>
      <c r="K205" s="191">
        <v>46058.0</v>
      </c>
      <c r="L205" s="192">
        <v>2.0</v>
      </c>
      <c r="M205" s="172" t="s">
        <v>872</v>
      </c>
    </row>
    <row r="206">
      <c r="A206" s="31" t="s">
        <v>120</v>
      </c>
      <c r="B206" s="191">
        <v>46051.0</v>
      </c>
      <c r="C206" s="35" t="s">
        <v>51</v>
      </c>
      <c r="D206" s="9" t="s">
        <v>873</v>
      </c>
      <c r="E206" s="11" t="s">
        <v>874</v>
      </c>
      <c r="F206" s="169" t="s">
        <v>89</v>
      </c>
      <c r="G206" s="83" t="s">
        <v>875</v>
      </c>
      <c r="H206" s="31" t="s">
        <v>22</v>
      </c>
      <c r="I206" s="71" t="s">
        <v>83</v>
      </c>
      <c r="J206" s="170">
        <v>46053.0</v>
      </c>
      <c r="K206" s="171"/>
      <c r="L206" s="171"/>
      <c r="M206" s="53" t="s">
        <v>183</v>
      </c>
    </row>
    <row r="207">
      <c r="A207" s="31" t="s">
        <v>120</v>
      </c>
      <c r="B207" s="191">
        <v>46051.0</v>
      </c>
      <c r="C207" s="35" t="s">
        <v>51</v>
      </c>
      <c r="D207" s="9" t="s">
        <v>876</v>
      </c>
      <c r="E207" s="11" t="s">
        <v>877</v>
      </c>
      <c r="F207" s="169" t="s">
        <v>89</v>
      </c>
      <c r="G207" s="87" t="s">
        <v>821</v>
      </c>
      <c r="H207" s="31" t="s">
        <v>22</v>
      </c>
      <c r="I207" s="71" t="s">
        <v>83</v>
      </c>
      <c r="J207" s="170">
        <v>46053.0</v>
      </c>
      <c r="K207" s="171"/>
      <c r="L207" s="171"/>
      <c r="M207" s="53" t="s">
        <v>878</v>
      </c>
    </row>
    <row r="208">
      <c r="A208" s="31" t="s">
        <v>120</v>
      </c>
      <c r="B208" s="191">
        <v>46051.0</v>
      </c>
      <c r="C208" s="35" t="s">
        <v>51</v>
      </c>
      <c r="D208" s="9" t="s">
        <v>279</v>
      </c>
      <c r="E208" s="11" t="s">
        <v>880</v>
      </c>
      <c r="F208" s="169" t="s">
        <v>89</v>
      </c>
      <c r="G208" s="87" t="s">
        <v>197</v>
      </c>
      <c r="H208" s="31" t="s">
        <v>22</v>
      </c>
      <c r="I208" s="71" t="s">
        <v>89</v>
      </c>
      <c r="J208" s="170">
        <v>46053.0</v>
      </c>
      <c r="K208" s="171"/>
      <c r="L208" s="171"/>
      <c r="M208" s="53" t="s">
        <v>881</v>
      </c>
    </row>
    <row r="209">
      <c r="A209" s="31" t="s">
        <v>76</v>
      </c>
      <c r="B209" s="191">
        <v>46051.0</v>
      </c>
      <c r="C209" s="35" t="s">
        <v>51</v>
      </c>
      <c r="D209" s="9" t="s">
        <v>882</v>
      </c>
      <c r="E209" s="11" t="s">
        <v>883</v>
      </c>
      <c r="F209" s="169" t="s">
        <v>89</v>
      </c>
      <c r="G209" s="83" t="s">
        <v>157</v>
      </c>
      <c r="H209" s="31" t="s">
        <v>22</v>
      </c>
      <c r="I209" s="71" t="s">
        <v>89</v>
      </c>
      <c r="J209" s="170">
        <v>46053.0</v>
      </c>
      <c r="K209" s="171"/>
      <c r="L209" s="171"/>
      <c r="M209" s="53" t="s">
        <v>884</v>
      </c>
    </row>
    <row r="210">
      <c r="A210" s="31" t="s">
        <v>39</v>
      </c>
      <c r="B210" s="191">
        <v>46051.0</v>
      </c>
      <c r="C210" s="35" t="s">
        <v>51</v>
      </c>
      <c r="D210" s="9" t="s">
        <v>885</v>
      </c>
      <c r="E210" s="11" t="s">
        <v>886</v>
      </c>
      <c r="F210" s="169" t="s">
        <v>89</v>
      </c>
      <c r="G210" s="83" t="s">
        <v>157</v>
      </c>
      <c r="H210" s="31" t="s">
        <v>22</v>
      </c>
      <c r="I210" s="71" t="s">
        <v>83</v>
      </c>
      <c r="J210" s="170">
        <v>46053.0</v>
      </c>
      <c r="K210" s="191">
        <v>46100.0</v>
      </c>
      <c r="L210" s="192">
        <v>2.0</v>
      </c>
      <c r="M210" s="115" t="s">
        <v>887</v>
      </c>
    </row>
    <row r="211">
      <c r="A211" s="31" t="s">
        <v>145</v>
      </c>
      <c r="B211" s="191">
        <v>46053.0</v>
      </c>
      <c r="C211" s="35" t="s">
        <v>51</v>
      </c>
      <c r="D211" s="9" t="s">
        <v>888</v>
      </c>
      <c r="E211" s="11" t="s">
        <v>889</v>
      </c>
      <c r="F211" s="169" t="s">
        <v>89</v>
      </c>
      <c r="G211" s="196" t="s">
        <v>875</v>
      </c>
      <c r="H211" s="31" t="s">
        <v>22</v>
      </c>
      <c r="I211" s="64"/>
      <c r="J211" s="197"/>
      <c r="K211" s="171"/>
      <c r="L211" s="171"/>
      <c r="M211" s="53" t="s">
        <v>890</v>
      </c>
    </row>
    <row r="212">
      <c r="A212" s="31" t="s">
        <v>120</v>
      </c>
      <c r="B212" s="191">
        <v>46053.0</v>
      </c>
      <c r="C212" s="35" t="s">
        <v>51</v>
      </c>
      <c r="D212" s="9" t="s">
        <v>891</v>
      </c>
      <c r="E212" s="11" t="s">
        <v>892</v>
      </c>
      <c r="F212" s="169" t="s">
        <v>89</v>
      </c>
      <c r="G212" s="122" t="s">
        <v>821</v>
      </c>
      <c r="H212" s="31" t="s">
        <v>22</v>
      </c>
      <c r="I212" s="71" t="s">
        <v>56</v>
      </c>
      <c r="J212" s="170">
        <v>46057.0</v>
      </c>
      <c r="K212" s="171"/>
      <c r="L212" s="171"/>
      <c r="M212" s="53" t="s">
        <v>893</v>
      </c>
    </row>
    <row r="213">
      <c r="A213" s="31" t="s">
        <v>120</v>
      </c>
      <c r="B213" s="191">
        <v>46053.0</v>
      </c>
      <c r="C213" s="35" t="s">
        <v>51</v>
      </c>
      <c r="D213" s="9" t="s">
        <v>894</v>
      </c>
      <c r="E213" s="11" t="s">
        <v>895</v>
      </c>
      <c r="F213" s="169" t="s">
        <v>89</v>
      </c>
      <c r="G213" s="89" t="s">
        <v>189</v>
      </c>
      <c r="H213" s="31" t="s">
        <v>22</v>
      </c>
      <c r="I213" s="71" t="s">
        <v>83</v>
      </c>
      <c r="J213" s="170">
        <v>46056.0</v>
      </c>
      <c r="K213" s="171"/>
      <c r="L213" s="171"/>
      <c r="M213" s="53" t="s">
        <v>896</v>
      </c>
    </row>
    <row r="214">
      <c r="A214" s="31" t="s">
        <v>120</v>
      </c>
      <c r="B214" s="191">
        <v>46053.0</v>
      </c>
      <c r="C214" s="35" t="s">
        <v>51</v>
      </c>
      <c r="D214" s="9" t="s">
        <v>897</v>
      </c>
      <c r="E214" s="11" t="s">
        <v>898</v>
      </c>
      <c r="F214" s="169" t="s">
        <v>89</v>
      </c>
      <c r="G214" s="89" t="s">
        <v>189</v>
      </c>
      <c r="H214" s="31" t="s">
        <v>22</v>
      </c>
      <c r="I214" s="71" t="s">
        <v>83</v>
      </c>
      <c r="J214" s="170">
        <v>46053.0</v>
      </c>
      <c r="K214" s="171"/>
      <c r="L214" s="171"/>
      <c r="M214" s="53" t="s">
        <v>899</v>
      </c>
    </row>
    <row r="215">
      <c r="A215" s="31" t="s">
        <v>120</v>
      </c>
      <c r="B215" s="191">
        <v>46053.0</v>
      </c>
      <c r="C215" s="35" t="s">
        <v>51</v>
      </c>
      <c r="D215" s="9" t="s">
        <v>900</v>
      </c>
      <c r="E215" s="11" t="s">
        <v>901</v>
      </c>
      <c r="F215" s="169" t="s">
        <v>89</v>
      </c>
      <c r="G215" s="87" t="s">
        <v>197</v>
      </c>
      <c r="H215" s="31" t="s">
        <v>22</v>
      </c>
      <c r="I215" s="71" t="s">
        <v>83</v>
      </c>
      <c r="J215" s="170">
        <v>46053.0</v>
      </c>
      <c r="K215" s="171"/>
      <c r="L215" s="171"/>
      <c r="M215" s="53" t="s">
        <v>902</v>
      </c>
    </row>
    <row r="216">
      <c r="A216" s="31" t="s">
        <v>120</v>
      </c>
      <c r="B216" s="191">
        <v>46053.0</v>
      </c>
      <c r="C216" s="35" t="s">
        <v>51</v>
      </c>
      <c r="D216" s="9" t="s">
        <v>903</v>
      </c>
      <c r="E216" s="11" t="s">
        <v>904</v>
      </c>
      <c r="F216" s="169" t="s">
        <v>89</v>
      </c>
      <c r="G216" s="176" t="s">
        <v>905</v>
      </c>
      <c r="H216" s="67"/>
      <c r="I216" s="71" t="s">
        <v>83</v>
      </c>
      <c r="J216" s="170">
        <v>46056.0</v>
      </c>
      <c r="K216" s="171"/>
      <c r="L216" s="171"/>
      <c r="M216" s="172" t="s">
        <v>906</v>
      </c>
    </row>
    <row r="217">
      <c r="A217" s="31" t="s">
        <v>907</v>
      </c>
      <c r="B217" s="191">
        <v>46053.0</v>
      </c>
      <c r="C217" s="35" t="s">
        <v>51</v>
      </c>
      <c r="D217" s="9" t="s">
        <v>908</v>
      </c>
      <c r="E217" s="11" t="s">
        <v>909</v>
      </c>
      <c r="F217" s="169" t="s">
        <v>89</v>
      </c>
      <c r="G217" s="122" t="s">
        <v>910</v>
      </c>
      <c r="H217" s="31" t="s">
        <v>22</v>
      </c>
      <c r="I217" s="71" t="s">
        <v>83</v>
      </c>
      <c r="J217" s="170">
        <v>46056.0</v>
      </c>
      <c r="K217" s="171"/>
      <c r="L217" s="171"/>
      <c r="M217" s="53" t="s">
        <v>911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</row>
    <row r="218">
      <c r="A218" s="31" t="s">
        <v>76</v>
      </c>
      <c r="B218" s="191">
        <v>46053.0</v>
      </c>
      <c r="C218" s="35" t="s">
        <v>51</v>
      </c>
      <c r="D218" s="9" t="s">
        <v>912</v>
      </c>
      <c r="E218" s="11" t="s">
        <v>913</v>
      </c>
      <c r="F218" s="169" t="s">
        <v>89</v>
      </c>
      <c r="G218" s="83" t="s">
        <v>157</v>
      </c>
      <c r="H218" s="31" t="s">
        <v>22</v>
      </c>
      <c r="I218" s="71" t="s">
        <v>83</v>
      </c>
      <c r="J218" s="170">
        <v>46067.0</v>
      </c>
      <c r="K218" s="171"/>
      <c r="L218" s="171"/>
      <c r="M218" s="53" t="s">
        <v>914</v>
      </c>
    </row>
    <row r="219">
      <c r="A219" s="31" t="s">
        <v>120</v>
      </c>
      <c r="B219" s="198">
        <v>46056.0</v>
      </c>
      <c r="C219" s="35" t="s">
        <v>51</v>
      </c>
      <c r="D219" s="199" t="s">
        <v>915</v>
      </c>
      <c r="E219" s="200" t="s">
        <v>916</v>
      </c>
      <c r="F219" s="201" t="s">
        <v>83</v>
      </c>
      <c r="G219" s="202" t="s">
        <v>917</v>
      </c>
      <c r="H219" s="203" t="s">
        <v>22</v>
      </c>
      <c r="I219" s="204" t="s">
        <v>83</v>
      </c>
      <c r="J219" s="198">
        <v>46056.0</v>
      </c>
      <c r="K219" s="205"/>
      <c r="L219" s="205"/>
      <c r="M219" s="206"/>
    </row>
    <row r="220">
      <c r="A220" s="31" t="s">
        <v>120</v>
      </c>
      <c r="B220" s="170">
        <v>46056.0</v>
      </c>
      <c r="C220" s="35" t="s">
        <v>51</v>
      </c>
      <c r="D220" s="9" t="s">
        <v>918</v>
      </c>
      <c r="E220" s="11" t="s">
        <v>919</v>
      </c>
      <c r="F220" s="208" t="s">
        <v>83</v>
      </c>
      <c r="G220" s="196" t="s">
        <v>875</v>
      </c>
      <c r="H220" s="31" t="s">
        <v>22</v>
      </c>
      <c r="I220" s="71" t="s">
        <v>83</v>
      </c>
      <c r="J220" s="170">
        <v>46056.0</v>
      </c>
      <c r="K220" s="171"/>
      <c r="L220" s="171"/>
      <c r="M220" s="53" t="s">
        <v>920</v>
      </c>
    </row>
    <row r="221">
      <c r="A221" s="31" t="s">
        <v>120</v>
      </c>
      <c r="B221" s="170">
        <v>46056.0</v>
      </c>
      <c r="C221" s="35" t="s">
        <v>51</v>
      </c>
      <c r="D221" s="9" t="s">
        <v>921</v>
      </c>
      <c r="E221" s="11" t="s">
        <v>922</v>
      </c>
      <c r="F221" s="208" t="s">
        <v>56</v>
      </c>
      <c r="G221" s="176" t="s">
        <v>923</v>
      </c>
      <c r="H221" s="31" t="s">
        <v>22</v>
      </c>
      <c r="I221" s="71" t="s">
        <v>83</v>
      </c>
      <c r="J221" s="170">
        <v>46060.0</v>
      </c>
      <c r="K221" s="171"/>
      <c r="L221" s="171"/>
      <c r="M221" s="172" t="s">
        <v>924</v>
      </c>
    </row>
    <row r="222">
      <c r="A222" s="31" t="s">
        <v>120</v>
      </c>
      <c r="B222" s="170">
        <v>46056.0</v>
      </c>
      <c r="C222" s="35" t="s">
        <v>51</v>
      </c>
      <c r="D222" s="9" t="s">
        <v>925</v>
      </c>
      <c r="E222" s="11" t="s">
        <v>926</v>
      </c>
      <c r="F222" s="208" t="s">
        <v>56</v>
      </c>
      <c r="G222" s="176" t="s">
        <v>923</v>
      </c>
      <c r="H222" s="31" t="s">
        <v>22</v>
      </c>
      <c r="I222" s="71" t="s">
        <v>83</v>
      </c>
      <c r="J222" s="170">
        <v>46060.0</v>
      </c>
      <c r="K222" s="171"/>
      <c r="L222" s="171"/>
      <c r="M222" s="172" t="s">
        <v>927</v>
      </c>
    </row>
    <row r="223">
      <c r="A223" s="31" t="s">
        <v>907</v>
      </c>
      <c r="B223" s="170">
        <v>46056.0</v>
      </c>
      <c r="C223" s="35" t="s">
        <v>51</v>
      </c>
      <c r="D223" s="9" t="s">
        <v>928</v>
      </c>
      <c r="E223" s="11" t="s">
        <v>929</v>
      </c>
      <c r="F223" s="208" t="s">
        <v>83</v>
      </c>
      <c r="G223" s="89" t="s">
        <v>189</v>
      </c>
      <c r="H223" s="31" t="s">
        <v>22</v>
      </c>
      <c r="I223" s="71" t="s">
        <v>83</v>
      </c>
      <c r="J223" s="170">
        <v>46056.0</v>
      </c>
      <c r="K223" s="171"/>
      <c r="L223" s="171"/>
      <c r="M223" s="53" t="s">
        <v>930</v>
      </c>
    </row>
    <row r="224">
      <c r="A224" s="31" t="s">
        <v>76</v>
      </c>
      <c r="B224" s="170">
        <v>46056.0</v>
      </c>
      <c r="C224" s="35" t="s">
        <v>51</v>
      </c>
      <c r="D224" s="9" t="s">
        <v>931</v>
      </c>
      <c r="E224" s="11" t="s">
        <v>932</v>
      </c>
      <c r="F224" s="208" t="s">
        <v>83</v>
      </c>
      <c r="G224" s="122" t="s">
        <v>910</v>
      </c>
      <c r="H224" s="31" t="s">
        <v>22</v>
      </c>
      <c r="I224" s="71" t="s">
        <v>83</v>
      </c>
      <c r="J224" s="170">
        <v>46056.0</v>
      </c>
      <c r="K224" s="171"/>
      <c r="L224" s="171"/>
      <c r="M224" s="53" t="s">
        <v>933</v>
      </c>
    </row>
    <row r="225">
      <c r="A225" s="31" t="s">
        <v>76</v>
      </c>
      <c r="B225" s="170">
        <v>46056.0</v>
      </c>
      <c r="C225" s="35" t="s">
        <v>51</v>
      </c>
      <c r="D225" s="9" t="s">
        <v>934</v>
      </c>
      <c r="E225" s="11" t="s">
        <v>935</v>
      </c>
      <c r="F225" s="208" t="s">
        <v>56</v>
      </c>
      <c r="G225" s="176" t="s">
        <v>936</v>
      </c>
      <c r="H225" s="31" t="s">
        <v>22</v>
      </c>
      <c r="I225" s="71" t="s">
        <v>56</v>
      </c>
      <c r="J225" s="170">
        <v>46057.0</v>
      </c>
      <c r="K225" s="171"/>
      <c r="L225" s="171"/>
      <c r="M225" s="172" t="s">
        <v>937</v>
      </c>
    </row>
    <row r="226">
      <c r="A226" s="31" t="s">
        <v>76</v>
      </c>
      <c r="B226" s="170">
        <v>46056.0</v>
      </c>
      <c r="C226" s="35" t="s">
        <v>51</v>
      </c>
      <c r="D226" s="9" t="s">
        <v>938</v>
      </c>
      <c r="E226" s="11" t="s">
        <v>939</v>
      </c>
      <c r="F226" s="208" t="s">
        <v>83</v>
      </c>
      <c r="G226" s="176" t="s">
        <v>940</v>
      </c>
      <c r="H226" s="67"/>
      <c r="I226" s="71" t="s">
        <v>83</v>
      </c>
      <c r="J226" s="170">
        <v>46056.0</v>
      </c>
      <c r="K226" s="171"/>
      <c r="L226" s="171"/>
      <c r="M226" s="172" t="s">
        <v>941</v>
      </c>
    </row>
    <row r="227">
      <c r="A227" s="31" t="s">
        <v>39</v>
      </c>
      <c r="B227" s="170">
        <v>46056.0</v>
      </c>
      <c r="C227" s="35" t="s">
        <v>51</v>
      </c>
      <c r="D227" s="9" t="s">
        <v>942</v>
      </c>
      <c r="E227" s="11"/>
      <c r="F227" s="208" t="s">
        <v>83</v>
      </c>
      <c r="G227" s="87" t="s">
        <v>197</v>
      </c>
      <c r="H227" s="31" t="s">
        <v>22</v>
      </c>
      <c r="I227" s="71" t="s">
        <v>83</v>
      </c>
      <c r="J227" s="170">
        <v>46056.0</v>
      </c>
      <c r="K227" s="171"/>
      <c r="L227" s="171"/>
      <c r="M227" s="53" t="s">
        <v>943</v>
      </c>
    </row>
    <row r="228">
      <c r="A228" s="31" t="s">
        <v>39</v>
      </c>
      <c r="B228" s="170">
        <v>46056.0</v>
      </c>
      <c r="C228" s="35" t="s">
        <v>51</v>
      </c>
      <c r="D228" s="210" t="s">
        <v>944</v>
      </c>
      <c r="E228" s="11" t="s">
        <v>945</v>
      </c>
      <c r="F228" s="208" t="s">
        <v>83</v>
      </c>
      <c r="G228" s="87" t="s">
        <v>197</v>
      </c>
      <c r="H228" s="31" t="s">
        <v>22</v>
      </c>
      <c r="I228" s="71" t="s">
        <v>83</v>
      </c>
      <c r="J228" s="170">
        <v>46056.0</v>
      </c>
      <c r="K228" s="171"/>
      <c r="L228" s="171"/>
      <c r="M228" s="53" t="s">
        <v>946</v>
      </c>
    </row>
    <row r="229">
      <c r="A229" s="31" t="s">
        <v>39</v>
      </c>
      <c r="B229" s="170">
        <v>46056.0</v>
      </c>
      <c r="C229" s="35" t="s">
        <v>51</v>
      </c>
      <c r="D229" s="9" t="s">
        <v>947</v>
      </c>
      <c r="E229" s="11" t="s">
        <v>948</v>
      </c>
      <c r="F229" s="208" t="s">
        <v>83</v>
      </c>
      <c r="G229" s="122" t="s">
        <v>949</v>
      </c>
      <c r="H229" s="31" t="s">
        <v>22</v>
      </c>
      <c r="I229" s="71" t="s">
        <v>83</v>
      </c>
      <c r="J229" s="170">
        <v>46060.0</v>
      </c>
      <c r="K229" s="171"/>
      <c r="L229" s="171"/>
      <c r="M229" s="211" t="s">
        <v>950</v>
      </c>
    </row>
    <row r="230">
      <c r="A230" s="31" t="s">
        <v>39</v>
      </c>
      <c r="B230" s="170">
        <v>46056.0</v>
      </c>
      <c r="C230" s="35" t="s">
        <v>51</v>
      </c>
      <c r="D230" s="9" t="s">
        <v>951</v>
      </c>
      <c r="E230" s="11" t="s">
        <v>952</v>
      </c>
      <c r="F230" s="208" t="s">
        <v>56</v>
      </c>
      <c r="G230" s="176" t="s">
        <v>910</v>
      </c>
      <c r="H230" s="31" t="s">
        <v>22</v>
      </c>
      <c r="I230" s="71" t="s">
        <v>56</v>
      </c>
      <c r="J230" s="170">
        <v>46057.0</v>
      </c>
      <c r="K230" s="171"/>
      <c r="L230" s="171"/>
      <c r="M230" s="172" t="s">
        <v>953</v>
      </c>
    </row>
    <row r="231">
      <c r="A231" s="31" t="s">
        <v>39</v>
      </c>
      <c r="B231" s="170">
        <v>46056.0</v>
      </c>
      <c r="C231" s="35" t="s">
        <v>51</v>
      </c>
      <c r="D231" s="9" t="s">
        <v>954</v>
      </c>
      <c r="E231" s="11" t="s">
        <v>955</v>
      </c>
      <c r="F231" s="208" t="s">
        <v>83</v>
      </c>
      <c r="G231" s="176" t="s">
        <v>956</v>
      </c>
      <c r="H231" s="67"/>
      <c r="I231" s="71" t="s">
        <v>89</v>
      </c>
      <c r="J231" s="170">
        <v>46057.0</v>
      </c>
      <c r="K231" s="191">
        <v>46064.0</v>
      </c>
      <c r="L231" s="192">
        <v>6.0</v>
      </c>
      <c r="M231" s="212" t="s">
        <v>957</v>
      </c>
    </row>
    <row r="232">
      <c r="A232" s="31" t="s">
        <v>39</v>
      </c>
      <c r="B232" s="170">
        <v>46056.0</v>
      </c>
      <c r="C232" s="35" t="s">
        <v>51</v>
      </c>
      <c r="D232" s="9" t="s">
        <v>958</v>
      </c>
      <c r="E232" s="11" t="s">
        <v>959</v>
      </c>
      <c r="F232" s="213" t="s">
        <v>89</v>
      </c>
      <c r="G232" s="214"/>
      <c r="H232" s="67"/>
      <c r="I232" s="215" t="s">
        <v>89</v>
      </c>
      <c r="J232" s="170">
        <v>46056.0</v>
      </c>
      <c r="K232" s="191">
        <v>46085.0</v>
      </c>
      <c r="L232" s="192">
        <v>1.0</v>
      </c>
      <c r="M232" s="172" t="s">
        <v>960</v>
      </c>
    </row>
    <row r="233">
      <c r="A233" s="31" t="s">
        <v>39</v>
      </c>
      <c r="B233" s="170">
        <v>46056.0</v>
      </c>
      <c r="C233" s="35" t="s">
        <v>51</v>
      </c>
      <c r="D233" s="9" t="s">
        <v>961</v>
      </c>
      <c r="E233" s="11" t="s">
        <v>962</v>
      </c>
      <c r="F233" s="208" t="s">
        <v>83</v>
      </c>
      <c r="G233" s="176" t="s">
        <v>963</v>
      </c>
      <c r="H233" s="31" t="s">
        <v>22</v>
      </c>
      <c r="I233" s="71" t="s">
        <v>56</v>
      </c>
      <c r="J233" s="170">
        <v>46057.0</v>
      </c>
      <c r="K233" s="171"/>
      <c r="L233" s="171"/>
      <c r="M233" s="172" t="s">
        <v>964</v>
      </c>
    </row>
    <row r="234">
      <c r="A234" s="31" t="s">
        <v>39</v>
      </c>
      <c r="B234" s="170">
        <v>46057.0</v>
      </c>
      <c r="C234" s="35" t="s">
        <v>51</v>
      </c>
      <c r="D234" s="9" t="s">
        <v>965</v>
      </c>
      <c r="E234" s="11" t="s">
        <v>966</v>
      </c>
      <c r="F234" s="208" t="s">
        <v>89</v>
      </c>
      <c r="G234" s="176" t="s">
        <v>923</v>
      </c>
      <c r="H234" s="31" t="s">
        <v>22</v>
      </c>
      <c r="I234" s="71" t="s">
        <v>56</v>
      </c>
      <c r="J234" s="170">
        <v>46057.0</v>
      </c>
      <c r="K234" s="171"/>
      <c r="L234" s="171"/>
      <c r="M234" s="172" t="s">
        <v>967</v>
      </c>
    </row>
    <row r="235">
      <c r="A235" s="31" t="s">
        <v>39</v>
      </c>
      <c r="B235" s="170">
        <v>46057.0</v>
      </c>
      <c r="C235" s="35" t="s">
        <v>51</v>
      </c>
      <c r="D235" s="9" t="s">
        <v>968</v>
      </c>
      <c r="E235" s="11" t="s">
        <v>969</v>
      </c>
      <c r="F235" s="208" t="s">
        <v>56</v>
      </c>
      <c r="G235" s="216" t="s">
        <v>197</v>
      </c>
      <c r="H235" s="31" t="s">
        <v>22</v>
      </c>
      <c r="I235" s="71" t="s">
        <v>89</v>
      </c>
      <c r="J235" s="170">
        <v>46059.0</v>
      </c>
      <c r="K235" s="171"/>
      <c r="L235" s="171"/>
      <c r="M235" s="172" t="s">
        <v>970</v>
      </c>
    </row>
    <row r="236">
      <c r="A236" s="31" t="s">
        <v>145</v>
      </c>
      <c r="B236" s="170">
        <v>46058.0</v>
      </c>
      <c r="C236" s="35" t="s">
        <v>51</v>
      </c>
      <c r="D236" s="9" t="s">
        <v>971</v>
      </c>
      <c r="E236" s="11" t="s">
        <v>972</v>
      </c>
      <c r="F236" s="208" t="s">
        <v>89</v>
      </c>
      <c r="G236" s="31" t="s">
        <v>923</v>
      </c>
      <c r="H236" s="31" t="s">
        <v>22</v>
      </c>
      <c r="I236" s="71" t="s">
        <v>89</v>
      </c>
      <c r="J236" s="170">
        <v>46059.0</v>
      </c>
      <c r="K236" s="171"/>
      <c r="L236" s="171"/>
      <c r="M236" s="53" t="s">
        <v>183</v>
      </c>
    </row>
    <row r="237">
      <c r="A237" s="31" t="s">
        <v>145</v>
      </c>
      <c r="B237" s="170">
        <v>46058.0</v>
      </c>
      <c r="C237" s="35" t="s">
        <v>51</v>
      </c>
      <c r="D237" s="9" t="s">
        <v>973</v>
      </c>
      <c r="E237" s="11" t="s">
        <v>974</v>
      </c>
      <c r="F237" s="208" t="s">
        <v>89</v>
      </c>
      <c r="G237" s="196" t="s">
        <v>936</v>
      </c>
      <c r="H237" s="31" t="s">
        <v>22</v>
      </c>
      <c r="I237" s="71" t="s">
        <v>89</v>
      </c>
      <c r="J237" s="170">
        <v>46059.0</v>
      </c>
      <c r="K237" s="171"/>
      <c r="L237" s="171"/>
      <c r="M237" s="53" t="s">
        <v>183</v>
      </c>
    </row>
    <row r="238">
      <c r="A238" s="31" t="s">
        <v>145</v>
      </c>
      <c r="B238" s="170">
        <v>46058.0</v>
      </c>
      <c r="C238" s="35" t="s">
        <v>51</v>
      </c>
      <c r="D238" s="9" t="s">
        <v>975</v>
      </c>
      <c r="E238" s="11" t="s">
        <v>976</v>
      </c>
      <c r="F238" s="208" t="s">
        <v>56</v>
      </c>
      <c r="G238" s="216" t="s">
        <v>821</v>
      </c>
      <c r="H238" s="31" t="s">
        <v>22</v>
      </c>
      <c r="I238" s="217" t="s">
        <v>83</v>
      </c>
      <c r="J238" s="218">
        <v>46060.0</v>
      </c>
      <c r="K238" s="219"/>
      <c r="L238" s="219"/>
      <c r="M238" s="172" t="s">
        <v>183</v>
      </c>
    </row>
    <row r="239">
      <c r="A239" s="31" t="s">
        <v>120</v>
      </c>
      <c r="B239" s="170">
        <v>46058.0</v>
      </c>
      <c r="C239" s="35" t="s">
        <v>51</v>
      </c>
      <c r="D239" s="9" t="s">
        <v>977</v>
      </c>
      <c r="E239" s="11" t="s">
        <v>978</v>
      </c>
      <c r="F239" s="208" t="s">
        <v>89</v>
      </c>
      <c r="G239" s="67" t="s">
        <v>189</v>
      </c>
      <c r="H239" s="31" t="s">
        <v>22</v>
      </c>
      <c r="I239" s="71" t="s">
        <v>89</v>
      </c>
      <c r="J239" s="170">
        <v>46059.0</v>
      </c>
      <c r="K239" s="171"/>
      <c r="L239" s="171"/>
      <c r="M239" s="53" t="s">
        <v>979</v>
      </c>
    </row>
    <row r="240">
      <c r="A240" s="31" t="s">
        <v>120</v>
      </c>
      <c r="B240" s="170">
        <v>46058.0</v>
      </c>
      <c r="C240" s="35" t="s">
        <v>51</v>
      </c>
      <c r="D240" s="9" t="s">
        <v>980</v>
      </c>
      <c r="E240" s="11" t="s">
        <v>981</v>
      </c>
      <c r="F240" s="208" t="s">
        <v>89</v>
      </c>
      <c r="G240" s="216" t="s">
        <v>821</v>
      </c>
      <c r="H240" s="31" t="s">
        <v>22</v>
      </c>
      <c r="I240" s="71" t="s">
        <v>83</v>
      </c>
      <c r="J240" s="170">
        <v>46060.0</v>
      </c>
      <c r="K240" s="171"/>
      <c r="L240" s="171"/>
      <c r="M240" s="53" t="s">
        <v>982</v>
      </c>
    </row>
    <row r="241">
      <c r="A241" s="31" t="s">
        <v>120</v>
      </c>
      <c r="B241" s="170">
        <v>46058.0</v>
      </c>
      <c r="C241" s="35" t="s">
        <v>51</v>
      </c>
      <c r="D241" s="9" t="s">
        <v>983</v>
      </c>
      <c r="E241" s="11" t="s">
        <v>984</v>
      </c>
      <c r="F241" s="208" t="s">
        <v>56</v>
      </c>
      <c r="G241" s="216" t="s">
        <v>821</v>
      </c>
      <c r="H241" s="31" t="s">
        <v>22</v>
      </c>
      <c r="I241" s="71" t="s">
        <v>83</v>
      </c>
      <c r="J241" s="170">
        <v>46060.0</v>
      </c>
      <c r="K241" s="171"/>
      <c r="L241" s="171"/>
      <c r="M241" s="172" t="s">
        <v>985</v>
      </c>
    </row>
    <row r="242">
      <c r="A242" s="31" t="s">
        <v>120</v>
      </c>
      <c r="B242" s="170">
        <v>46058.0</v>
      </c>
      <c r="C242" s="35" t="s">
        <v>51</v>
      </c>
      <c r="D242" s="9" t="s">
        <v>986</v>
      </c>
      <c r="E242" s="11"/>
      <c r="F242" s="208" t="s">
        <v>89</v>
      </c>
      <c r="G242" s="214"/>
      <c r="H242" s="67"/>
      <c r="I242" s="71" t="s">
        <v>89</v>
      </c>
      <c r="J242" s="170">
        <v>46058.0</v>
      </c>
      <c r="K242" s="171"/>
      <c r="L242" s="171"/>
      <c r="M242" s="172" t="s">
        <v>987</v>
      </c>
    </row>
    <row r="243">
      <c r="A243" s="31" t="s">
        <v>76</v>
      </c>
      <c r="B243" s="170">
        <v>46058.0</v>
      </c>
      <c r="C243" s="35" t="s">
        <v>51</v>
      </c>
      <c r="D243" s="9" t="s">
        <v>988</v>
      </c>
      <c r="E243" s="11" t="s">
        <v>989</v>
      </c>
      <c r="F243" s="208" t="s">
        <v>56</v>
      </c>
      <c r="G243" s="196" t="s">
        <v>157</v>
      </c>
      <c r="H243" s="31" t="s">
        <v>22</v>
      </c>
      <c r="I243" s="217" t="s">
        <v>89</v>
      </c>
      <c r="J243" s="218">
        <v>46059.0</v>
      </c>
      <c r="K243" s="219"/>
      <c r="L243" s="219"/>
      <c r="M243" s="187" t="s">
        <v>990</v>
      </c>
    </row>
    <row r="244">
      <c r="A244" s="31" t="s">
        <v>39</v>
      </c>
      <c r="B244" s="170">
        <v>46058.0</v>
      </c>
      <c r="C244" s="35" t="s">
        <v>51</v>
      </c>
      <c r="D244" s="9" t="s">
        <v>991</v>
      </c>
      <c r="E244" s="11" t="s">
        <v>992</v>
      </c>
      <c r="F244" s="208" t="s">
        <v>56</v>
      </c>
      <c r="G244" s="216" t="s">
        <v>821</v>
      </c>
      <c r="H244" s="31" t="s">
        <v>22</v>
      </c>
      <c r="I244" s="71" t="s">
        <v>83</v>
      </c>
      <c r="J244" s="170">
        <v>46059.0</v>
      </c>
      <c r="K244" s="171"/>
      <c r="L244" s="171"/>
      <c r="M244" s="172" t="s">
        <v>993</v>
      </c>
    </row>
    <row r="245">
      <c r="A245" s="31" t="s">
        <v>39</v>
      </c>
      <c r="B245" s="170">
        <v>46058.0</v>
      </c>
      <c r="C245" s="35" t="s">
        <v>51</v>
      </c>
      <c r="D245" s="9" t="s">
        <v>994</v>
      </c>
      <c r="E245" s="11" t="s">
        <v>995</v>
      </c>
      <c r="F245" s="208" t="s">
        <v>83</v>
      </c>
      <c r="G245" s="176" t="s">
        <v>996</v>
      </c>
      <c r="H245" s="67"/>
      <c r="I245" s="71" t="s">
        <v>83</v>
      </c>
      <c r="J245" s="170">
        <v>46059.0</v>
      </c>
      <c r="K245" s="171"/>
      <c r="L245" s="171"/>
      <c r="M245" s="172" t="s">
        <v>997</v>
      </c>
    </row>
    <row r="246">
      <c r="A246" s="31" t="s">
        <v>39</v>
      </c>
      <c r="B246" s="220">
        <v>46059.0</v>
      </c>
      <c r="C246" s="35" t="s">
        <v>51</v>
      </c>
      <c r="D246" s="9" t="s">
        <v>998</v>
      </c>
      <c r="E246" s="11" t="s">
        <v>999</v>
      </c>
      <c r="F246" s="221" t="s">
        <v>89</v>
      </c>
      <c r="G246" s="222" t="s">
        <v>1000</v>
      </c>
      <c r="H246" s="41"/>
      <c r="I246" s="217" t="s">
        <v>89</v>
      </c>
      <c r="J246" s="218">
        <v>46059.0</v>
      </c>
      <c r="K246" s="220">
        <v>46060.0</v>
      </c>
      <c r="L246" s="223">
        <v>2.0</v>
      </c>
      <c r="M246" s="172" t="s">
        <v>1001</v>
      </c>
    </row>
    <row r="247">
      <c r="A247" s="31" t="s">
        <v>145</v>
      </c>
      <c r="B247" s="220">
        <v>46060.0</v>
      </c>
      <c r="C247" s="35" t="s">
        <v>51</v>
      </c>
      <c r="D247" s="9" t="s">
        <v>1002</v>
      </c>
      <c r="E247" s="11" t="s">
        <v>1003</v>
      </c>
      <c r="F247" s="221" t="s">
        <v>89</v>
      </c>
      <c r="G247" s="31" t="s">
        <v>1004</v>
      </c>
      <c r="H247" s="50" t="s">
        <v>22</v>
      </c>
      <c r="I247" s="217" t="s">
        <v>83</v>
      </c>
      <c r="J247" s="218">
        <v>46060.0</v>
      </c>
      <c r="K247" s="219"/>
      <c r="L247" s="219"/>
      <c r="M247" s="53" t="s">
        <v>173</v>
      </c>
    </row>
    <row r="248">
      <c r="A248" s="31" t="s">
        <v>120</v>
      </c>
      <c r="B248" s="220">
        <v>46060.0</v>
      </c>
      <c r="C248" s="35" t="s">
        <v>51</v>
      </c>
      <c r="D248" s="9" t="s">
        <v>1005</v>
      </c>
      <c r="E248" s="11" t="s">
        <v>1006</v>
      </c>
      <c r="F248" s="221" t="s">
        <v>89</v>
      </c>
      <c r="G248" s="67" t="s">
        <v>157</v>
      </c>
      <c r="H248" s="50" t="s">
        <v>22</v>
      </c>
      <c r="I248" s="45"/>
      <c r="J248" s="74"/>
      <c r="K248" s="219"/>
      <c r="L248" s="219"/>
      <c r="M248" s="68" t="s">
        <v>1007</v>
      </c>
    </row>
    <row r="249">
      <c r="A249" s="31" t="s">
        <v>120</v>
      </c>
      <c r="B249" s="220">
        <v>46060.0</v>
      </c>
      <c r="C249" s="35" t="s">
        <v>51</v>
      </c>
      <c r="D249" s="9" t="s">
        <v>1008</v>
      </c>
      <c r="E249" s="11" t="s">
        <v>1009</v>
      </c>
      <c r="F249" s="221" t="s">
        <v>89</v>
      </c>
      <c r="G249" s="31" t="s">
        <v>936</v>
      </c>
      <c r="H249" s="50" t="s">
        <v>22</v>
      </c>
      <c r="I249" s="217" t="s">
        <v>83</v>
      </c>
      <c r="J249" s="218">
        <v>46060.0</v>
      </c>
      <c r="K249" s="219"/>
      <c r="L249" s="219"/>
      <c r="M249" s="53" t="s">
        <v>1010</v>
      </c>
    </row>
    <row r="250">
      <c r="A250" s="31" t="s">
        <v>120</v>
      </c>
      <c r="B250" s="220">
        <v>46060.0</v>
      </c>
      <c r="C250" s="35" t="s">
        <v>51</v>
      </c>
      <c r="D250" s="9" t="s">
        <v>1011</v>
      </c>
      <c r="E250" s="11" t="s">
        <v>1012</v>
      </c>
      <c r="F250" s="221" t="s">
        <v>89</v>
      </c>
      <c r="G250" s="31" t="s">
        <v>875</v>
      </c>
      <c r="H250" s="50" t="s">
        <v>22</v>
      </c>
      <c r="I250" s="217" t="s">
        <v>83</v>
      </c>
      <c r="J250" s="218">
        <v>46060.0</v>
      </c>
      <c r="K250" s="219"/>
      <c r="L250" s="219"/>
      <c r="M250" s="53" t="s">
        <v>1013</v>
      </c>
    </row>
    <row r="251">
      <c r="A251" s="31" t="s">
        <v>1014</v>
      </c>
      <c r="B251" s="220">
        <v>46060.0</v>
      </c>
      <c r="C251" s="35" t="s">
        <v>51</v>
      </c>
      <c r="D251" s="9" t="s">
        <v>1015</v>
      </c>
      <c r="E251" s="11" t="s">
        <v>1016</v>
      </c>
      <c r="F251" s="221" t="s">
        <v>89</v>
      </c>
      <c r="G251" s="31" t="s">
        <v>910</v>
      </c>
      <c r="H251" s="50" t="s">
        <v>22</v>
      </c>
      <c r="I251" s="217" t="s">
        <v>89</v>
      </c>
      <c r="J251" s="218">
        <v>46084.0</v>
      </c>
      <c r="K251" s="219"/>
      <c r="L251" s="219"/>
      <c r="M251" s="53"/>
    </row>
    <row r="252">
      <c r="A252" s="31" t="s">
        <v>76</v>
      </c>
      <c r="B252" s="220">
        <v>46060.0</v>
      </c>
      <c r="C252" s="35" t="s">
        <v>51</v>
      </c>
      <c r="D252" s="9" t="s">
        <v>1017</v>
      </c>
      <c r="E252" s="11" t="s">
        <v>1018</v>
      </c>
      <c r="F252" s="221" t="s">
        <v>89</v>
      </c>
      <c r="G252" s="31" t="s">
        <v>936</v>
      </c>
      <c r="H252" s="50" t="s">
        <v>22</v>
      </c>
      <c r="I252" s="217" t="s">
        <v>83</v>
      </c>
      <c r="J252" s="218">
        <v>46060.0</v>
      </c>
      <c r="K252" s="219"/>
      <c r="L252" s="219"/>
      <c r="M252" s="115" t="s">
        <v>1019</v>
      </c>
    </row>
    <row r="253">
      <c r="A253" s="31" t="s">
        <v>39</v>
      </c>
      <c r="B253" s="220">
        <v>46060.0</v>
      </c>
      <c r="C253" s="35" t="s">
        <v>51</v>
      </c>
      <c r="D253" s="9" t="s">
        <v>1020</v>
      </c>
      <c r="E253" s="11" t="s">
        <v>1021</v>
      </c>
      <c r="F253" s="221" t="s">
        <v>89</v>
      </c>
      <c r="G253" s="214"/>
      <c r="H253" s="41"/>
      <c r="I253" s="217" t="s">
        <v>89</v>
      </c>
      <c r="J253" s="218">
        <v>46060.0</v>
      </c>
      <c r="K253" s="220">
        <v>46060.0</v>
      </c>
      <c r="L253" s="223">
        <v>3.0</v>
      </c>
      <c r="M253" s="172" t="s">
        <v>1022</v>
      </c>
    </row>
    <row r="254">
      <c r="A254" s="31" t="s">
        <v>39</v>
      </c>
      <c r="B254" s="220">
        <v>46060.0</v>
      </c>
      <c r="C254" s="35" t="s">
        <v>51</v>
      </c>
      <c r="D254" s="9" t="s">
        <v>1023</v>
      </c>
      <c r="E254" s="11" t="s">
        <v>1024</v>
      </c>
      <c r="F254" s="221" t="s">
        <v>83</v>
      </c>
      <c r="G254" s="176" t="s">
        <v>1025</v>
      </c>
      <c r="H254" s="50"/>
      <c r="I254" s="217" t="s">
        <v>83</v>
      </c>
      <c r="J254" s="218">
        <v>46060.0</v>
      </c>
      <c r="K254" s="220">
        <v>46120.0</v>
      </c>
      <c r="L254" s="223">
        <v>2.0</v>
      </c>
      <c r="M254" s="172" t="s">
        <v>1026</v>
      </c>
    </row>
    <row r="255">
      <c r="A255" s="31" t="s">
        <v>145</v>
      </c>
      <c r="B255" s="220">
        <v>46063.0</v>
      </c>
      <c r="C255" s="35" t="s">
        <v>51</v>
      </c>
      <c r="D255" s="9" t="s">
        <v>1027</v>
      </c>
      <c r="E255" s="11" t="s">
        <v>1028</v>
      </c>
      <c r="F255" s="221"/>
      <c r="G255" s="31" t="s">
        <v>1029</v>
      </c>
      <c r="H255" s="50" t="s">
        <v>22</v>
      </c>
      <c r="I255" s="217" t="s">
        <v>83</v>
      </c>
      <c r="J255" s="218">
        <v>46065.0</v>
      </c>
      <c r="K255" s="219"/>
      <c r="L255" s="219"/>
      <c r="M255" s="53" t="s">
        <v>183</v>
      </c>
    </row>
    <row r="256">
      <c r="A256" s="31" t="s">
        <v>145</v>
      </c>
      <c r="B256" s="220">
        <v>46063.0</v>
      </c>
      <c r="C256" s="35" t="s">
        <v>51</v>
      </c>
      <c r="D256" s="9" t="s">
        <v>1030</v>
      </c>
      <c r="E256" s="11" t="s">
        <v>1031</v>
      </c>
      <c r="F256" s="221"/>
      <c r="G256" s="31" t="s">
        <v>1032</v>
      </c>
      <c r="H256" s="50" t="s">
        <v>22</v>
      </c>
      <c r="I256" s="217" t="s">
        <v>83</v>
      </c>
      <c r="J256" s="218">
        <v>46064.0</v>
      </c>
      <c r="K256" s="219"/>
      <c r="L256" s="219"/>
      <c r="M256" s="53" t="s">
        <v>183</v>
      </c>
    </row>
    <row r="257">
      <c r="A257" s="31" t="s">
        <v>120</v>
      </c>
      <c r="B257" s="220">
        <v>46063.0</v>
      </c>
      <c r="C257" s="35" t="s">
        <v>51</v>
      </c>
      <c r="D257" s="9" t="s">
        <v>1033</v>
      </c>
      <c r="E257" s="11" t="s">
        <v>1034</v>
      </c>
      <c r="F257" s="221"/>
      <c r="G257" s="31" t="s">
        <v>875</v>
      </c>
      <c r="H257" s="50" t="s">
        <v>22</v>
      </c>
      <c r="I257" s="217" t="s">
        <v>83</v>
      </c>
      <c r="J257" s="218">
        <v>46063.0</v>
      </c>
      <c r="K257" s="219"/>
      <c r="L257" s="219"/>
      <c r="M257" s="53" t="s">
        <v>1035</v>
      </c>
    </row>
    <row r="258">
      <c r="A258" s="31" t="s">
        <v>120</v>
      </c>
      <c r="B258" s="220">
        <v>46063.0</v>
      </c>
      <c r="C258" s="35" t="s">
        <v>51</v>
      </c>
      <c r="D258" s="9" t="s">
        <v>1036</v>
      </c>
      <c r="E258" s="11" t="s">
        <v>1037</v>
      </c>
      <c r="F258" s="221"/>
      <c r="G258" s="31" t="s">
        <v>923</v>
      </c>
      <c r="H258" s="50" t="s">
        <v>22</v>
      </c>
      <c r="I258" s="217" t="s">
        <v>83</v>
      </c>
      <c r="J258" s="218">
        <v>46067.0</v>
      </c>
      <c r="K258" s="219"/>
      <c r="L258" s="219"/>
      <c r="M258" s="115" t="s">
        <v>1038</v>
      </c>
      <c r="N258" s="21">
        <v>9.81528028E8</v>
      </c>
    </row>
    <row r="259">
      <c r="A259" s="31" t="s">
        <v>120</v>
      </c>
      <c r="B259" s="220">
        <v>46063.0</v>
      </c>
      <c r="C259" s="35" t="s">
        <v>51</v>
      </c>
      <c r="D259" s="9" t="s">
        <v>1039</v>
      </c>
      <c r="E259" s="11" t="s">
        <v>1040</v>
      </c>
      <c r="F259" s="221"/>
      <c r="G259" s="31" t="s">
        <v>923</v>
      </c>
      <c r="H259" s="50" t="s">
        <v>22</v>
      </c>
      <c r="I259" s="217" t="s">
        <v>83</v>
      </c>
      <c r="J259" s="218">
        <v>46067.0</v>
      </c>
      <c r="K259" s="219"/>
      <c r="L259" s="219"/>
      <c r="M259" s="53" t="s">
        <v>1041</v>
      </c>
    </row>
    <row r="260">
      <c r="A260" s="31" t="s">
        <v>120</v>
      </c>
      <c r="B260" s="220">
        <v>46063.0</v>
      </c>
      <c r="C260" s="35" t="s">
        <v>51</v>
      </c>
      <c r="D260" s="9" t="s">
        <v>1042</v>
      </c>
      <c r="E260" s="11" t="s">
        <v>1043</v>
      </c>
      <c r="F260" s="221"/>
      <c r="G260" s="176" t="s">
        <v>1044</v>
      </c>
      <c r="H260" s="41"/>
      <c r="I260" s="217" t="s">
        <v>83</v>
      </c>
      <c r="J260" s="218">
        <v>46064.0</v>
      </c>
      <c r="K260" s="219"/>
      <c r="L260" s="219"/>
      <c r="M260" s="224" t="s">
        <v>1045</v>
      </c>
    </row>
    <row r="261">
      <c r="A261" s="31" t="s">
        <v>1014</v>
      </c>
      <c r="B261" s="220">
        <v>46063.0</v>
      </c>
      <c r="C261" s="35" t="s">
        <v>51</v>
      </c>
      <c r="D261" s="9" t="s">
        <v>1046</v>
      </c>
      <c r="E261" s="11" t="s">
        <v>1047</v>
      </c>
      <c r="F261" s="221"/>
      <c r="G261" s="67" t="s">
        <v>264</v>
      </c>
      <c r="H261" s="50" t="s">
        <v>22</v>
      </c>
      <c r="I261" s="217" t="s">
        <v>89</v>
      </c>
      <c r="J261" s="218">
        <v>46084.0</v>
      </c>
      <c r="K261" s="219"/>
      <c r="L261" s="219"/>
      <c r="M261" s="68" t="s">
        <v>1007</v>
      </c>
    </row>
    <row r="262">
      <c r="A262" s="31" t="s">
        <v>1014</v>
      </c>
      <c r="B262" s="220">
        <v>46063.0</v>
      </c>
      <c r="C262" s="35" t="s">
        <v>51</v>
      </c>
      <c r="D262" s="9" t="s">
        <v>1048</v>
      </c>
      <c r="E262" s="11" t="s">
        <v>1049</v>
      </c>
      <c r="F262" s="221"/>
      <c r="G262" s="67" t="s">
        <v>197</v>
      </c>
      <c r="H262" s="50" t="s">
        <v>22</v>
      </c>
      <c r="I262" s="217" t="s">
        <v>89</v>
      </c>
      <c r="J262" s="218">
        <v>46084.0</v>
      </c>
      <c r="K262" s="219"/>
      <c r="L262" s="219"/>
      <c r="M262" s="68" t="s">
        <v>1007</v>
      </c>
    </row>
    <row r="263">
      <c r="A263" s="31" t="s">
        <v>76</v>
      </c>
      <c r="B263" s="220">
        <v>46063.0</v>
      </c>
      <c r="C263" s="35" t="s">
        <v>51</v>
      </c>
      <c r="D263" s="9" t="s">
        <v>1050</v>
      </c>
      <c r="E263" s="11" t="s">
        <v>1051</v>
      </c>
      <c r="F263" s="221" t="s">
        <v>89</v>
      </c>
      <c r="G263" s="176" t="s">
        <v>1052</v>
      </c>
      <c r="H263" s="41"/>
      <c r="I263" s="217" t="s">
        <v>83</v>
      </c>
      <c r="J263" s="218">
        <v>46114.0</v>
      </c>
      <c r="K263" s="219"/>
      <c r="L263" s="219"/>
      <c r="M263" s="172" t="s">
        <v>1053</v>
      </c>
    </row>
    <row r="264">
      <c r="A264" s="31" t="s">
        <v>76</v>
      </c>
      <c r="B264" s="220">
        <v>46063.0</v>
      </c>
      <c r="C264" s="35" t="s">
        <v>51</v>
      </c>
      <c r="D264" s="9" t="s">
        <v>1054</v>
      </c>
      <c r="E264" s="11" t="s">
        <v>1055</v>
      </c>
      <c r="F264" s="221"/>
      <c r="G264" s="31" t="s">
        <v>875</v>
      </c>
      <c r="H264" s="50" t="s">
        <v>22</v>
      </c>
      <c r="I264" s="217" t="s">
        <v>83</v>
      </c>
      <c r="J264" s="218">
        <v>46063.0</v>
      </c>
      <c r="K264" s="219"/>
      <c r="L264" s="219"/>
      <c r="M264" s="115" t="s">
        <v>1056</v>
      </c>
    </row>
    <row r="265">
      <c r="A265" s="31" t="s">
        <v>811</v>
      </c>
      <c r="B265" s="220">
        <v>46063.0</v>
      </c>
      <c r="C265" s="35" t="s">
        <v>51</v>
      </c>
      <c r="D265" s="9" t="s">
        <v>1057</v>
      </c>
      <c r="E265" s="11" t="s">
        <v>1058</v>
      </c>
      <c r="F265" s="221" t="s">
        <v>89</v>
      </c>
      <c r="G265" s="176" t="s">
        <v>1059</v>
      </c>
      <c r="H265" s="50" t="s">
        <v>22</v>
      </c>
      <c r="I265" s="217" t="s">
        <v>83</v>
      </c>
      <c r="J265" s="218">
        <v>46067.0</v>
      </c>
      <c r="K265" s="219"/>
      <c r="L265" s="219"/>
      <c r="M265" s="172" t="s">
        <v>183</v>
      </c>
    </row>
    <row r="266">
      <c r="A266" s="31" t="s">
        <v>39</v>
      </c>
      <c r="B266" s="220">
        <v>46063.0</v>
      </c>
      <c r="C266" s="35" t="s">
        <v>51</v>
      </c>
      <c r="D266" s="9" t="s">
        <v>1060</v>
      </c>
      <c r="E266" s="11" t="s">
        <v>1061</v>
      </c>
      <c r="F266" s="221"/>
      <c r="G266" s="31" t="s">
        <v>923</v>
      </c>
      <c r="H266" s="50" t="s">
        <v>22</v>
      </c>
      <c r="I266" s="217" t="s">
        <v>83</v>
      </c>
      <c r="J266" s="218">
        <v>46063.0</v>
      </c>
      <c r="K266" s="219"/>
      <c r="L266" s="219"/>
      <c r="M266" s="53" t="s">
        <v>1062</v>
      </c>
    </row>
    <row r="267">
      <c r="A267" s="31" t="s">
        <v>39</v>
      </c>
      <c r="B267" s="220">
        <v>46063.0</v>
      </c>
      <c r="C267" s="35" t="s">
        <v>51</v>
      </c>
      <c r="D267" s="9" t="s">
        <v>1063</v>
      </c>
      <c r="E267" s="11" t="s">
        <v>1064</v>
      </c>
      <c r="F267" s="221"/>
      <c r="G267" s="31" t="s">
        <v>1004</v>
      </c>
      <c r="H267" s="50" t="s">
        <v>22</v>
      </c>
      <c r="I267" s="217" t="s">
        <v>83</v>
      </c>
      <c r="J267" s="218">
        <v>46064.0</v>
      </c>
      <c r="K267" s="219"/>
      <c r="L267" s="219"/>
      <c r="M267" s="53" t="s">
        <v>1065</v>
      </c>
    </row>
    <row r="268">
      <c r="A268" s="31" t="s">
        <v>145</v>
      </c>
      <c r="B268" s="220">
        <v>46064.0</v>
      </c>
      <c r="C268" s="35" t="s">
        <v>51</v>
      </c>
      <c r="D268" s="9" t="s">
        <v>1066</v>
      </c>
      <c r="E268" s="11" t="s">
        <v>1067</v>
      </c>
      <c r="F268" s="221"/>
      <c r="G268" s="226" t="s">
        <v>875</v>
      </c>
      <c r="H268" s="50" t="s">
        <v>22</v>
      </c>
      <c r="I268" s="217" t="s">
        <v>83</v>
      </c>
      <c r="J268" s="218">
        <v>46067.0</v>
      </c>
      <c r="K268" s="219"/>
      <c r="L268" s="219"/>
      <c r="M268" s="53" t="s">
        <v>183</v>
      </c>
    </row>
    <row r="269">
      <c r="A269" s="31" t="s">
        <v>145</v>
      </c>
      <c r="B269" s="220">
        <v>46064.0</v>
      </c>
      <c r="C269" s="35" t="s">
        <v>51</v>
      </c>
      <c r="D269" s="9" t="s">
        <v>1068</v>
      </c>
      <c r="E269" s="11" t="s">
        <v>1069</v>
      </c>
      <c r="F269" s="221"/>
      <c r="G269" s="226" t="s">
        <v>875</v>
      </c>
      <c r="H269" s="50" t="s">
        <v>22</v>
      </c>
      <c r="I269" s="217" t="s">
        <v>83</v>
      </c>
      <c r="J269" s="218">
        <v>46064.0</v>
      </c>
      <c r="K269" s="219"/>
      <c r="L269" s="219"/>
      <c r="M269" s="53" t="s">
        <v>183</v>
      </c>
    </row>
    <row r="270">
      <c r="A270" s="31" t="s">
        <v>145</v>
      </c>
      <c r="B270" s="220">
        <v>46064.0</v>
      </c>
      <c r="C270" s="35" t="s">
        <v>51</v>
      </c>
      <c r="D270" s="9" t="s">
        <v>1070</v>
      </c>
      <c r="E270" s="11" t="s">
        <v>1071</v>
      </c>
      <c r="F270" s="221"/>
      <c r="G270" s="31" t="s">
        <v>1004</v>
      </c>
      <c r="H270" s="50" t="s">
        <v>22</v>
      </c>
      <c r="I270" s="217" t="s">
        <v>83</v>
      </c>
      <c r="J270" s="218">
        <v>46067.0</v>
      </c>
      <c r="K270" s="219"/>
      <c r="L270" s="219"/>
      <c r="M270" s="53" t="s">
        <v>183</v>
      </c>
    </row>
    <row r="271">
      <c r="A271" s="31" t="s">
        <v>145</v>
      </c>
      <c r="B271" s="220">
        <v>46064.0</v>
      </c>
      <c r="C271" s="35" t="s">
        <v>51</v>
      </c>
      <c r="D271" s="9" t="s">
        <v>1072</v>
      </c>
      <c r="E271" s="11" t="s">
        <v>1073</v>
      </c>
      <c r="F271" s="221"/>
      <c r="G271" s="226" t="s">
        <v>936</v>
      </c>
      <c r="H271" s="50" t="s">
        <v>22</v>
      </c>
      <c r="I271" s="217" t="s">
        <v>83</v>
      </c>
      <c r="J271" s="218">
        <v>46064.0</v>
      </c>
      <c r="K271" s="219"/>
      <c r="L271" s="219"/>
      <c r="M271" s="53" t="s">
        <v>183</v>
      </c>
    </row>
    <row r="272">
      <c r="A272" s="31" t="s">
        <v>145</v>
      </c>
      <c r="B272" s="220">
        <v>46064.0</v>
      </c>
      <c r="C272" s="35" t="s">
        <v>51</v>
      </c>
      <c r="D272" s="9" t="s">
        <v>1074</v>
      </c>
      <c r="E272" s="11" t="s">
        <v>1075</v>
      </c>
      <c r="F272" s="221"/>
      <c r="G272" s="226" t="s">
        <v>875</v>
      </c>
      <c r="H272" s="50" t="s">
        <v>22</v>
      </c>
      <c r="I272" s="217" t="s">
        <v>83</v>
      </c>
      <c r="J272" s="218">
        <v>46064.0</v>
      </c>
      <c r="K272" s="219"/>
      <c r="L272" s="219"/>
      <c r="M272" s="53" t="s">
        <v>1076</v>
      </c>
    </row>
    <row r="273">
      <c r="A273" s="31" t="s">
        <v>120</v>
      </c>
      <c r="B273" s="220">
        <v>46064.0</v>
      </c>
      <c r="C273" s="35" t="s">
        <v>51</v>
      </c>
      <c r="D273" s="9" t="s">
        <v>1077</v>
      </c>
      <c r="E273" s="227" t="s">
        <v>1078</v>
      </c>
      <c r="F273" s="221"/>
      <c r="G273" s="203" t="s">
        <v>821</v>
      </c>
      <c r="H273" s="50" t="s">
        <v>22</v>
      </c>
      <c r="I273" s="217" t="s">
        <v>83</v>
      </c>
      <c r="J273" s="218">
        <v>46064.0</v>
      </c>
      <c r="K273" s="219"/>
      <c r="L273" s="219"/>
      <c r="M273" s="115" t="s">
        <v>1079</v>
      </c>
    </row>
    <row r="274">
      <c r="A274" s="31" t="s">
        <v>120</v>
      </c>
      <c r="B274" s="220">
        <v>46064.0</v>
      </c>
      <c r="C274" s="35" t="s">
        <v>51</v>
      </c>
      <c r="D274" s="9" t="s">
        <v>1080</v>
      </c>
      <c r="E274" s="11" t="s">
        <v>1081</v>
      </c>
      <c r="F274" s="221"/>
      <c r="G274" s="203" t="s">
        <v>821</v>
      </c>
      <c r="H274" s="50" t="s">
        <v>22</v>
      </c>
      <c r="I274" s="217" t="s">
        <v>83</v>
      </c>
      <c r="J274" s="218">
        <v>46067.0</v>
      </c>
      <c r="K274" s="219"/>
      <c r="L274" s="219"/>
      <c r="M274" s="53" t="s">
        <v>1082</v>
      </c>
    </row>
    <row r="275">
      <c r="A275" s="31" t="s">
        <v>120</v>
      </c>
      <c r="B275" s="220">
        <v>46064.0</v>
      </c>
      <c r="C275" s="35" t="s">
        <v>51</v>
      </c>
      <c r="D275" s="9" t="s">
        <v>1083</v>
      </c>
      <c r="E275" s="11" t="s">
        <v>1084</v>
      </c>
      <c r="F275" s="221" t="s">
        <v>56</v>
      </c>
      <c r="G275" s="228" t="s">
        <v>875</v>
      </c>
      <c r="H275" s="50" t="s">
        <v>22</v>
      </c>
      <c r="I275" s="217" t="s">
        <v>83</v>
      </c>
      <c r="J275" s="218">
        <v>46067.0</v>
      </c>
      <c r="K275" s="219"/>
      <c r="L275" s="219"/>
      <c r="M275" s="53" t="s">
        <v>1085</v>
      </c>
    </row>
    <row r="276">
      <c r="A276" s="31" t="s">
        <v>120</v>
      </c>
      <c r="B276" s="220">
        <v>46064.0</v>
      </c>
      <c r="C276" s="35" t="s">
        <v>51</v>
      </c>
      <c r="D276" s="9" t="s">
        <v>1086</v>
      </c>
      <c r="E276" s="11" t="s">
        <v>1087</v>
      </c>
      <c r="F276" s="221" t="s">
        <v>56</v>
      </c>
      <c r="G276" s="203" t="s">
        <v>910</v>
      </c>
      <c r="H276" s="50" t="s">
        <v>22</v>
      </c>
      <c r="I276" s="217" t="s">
        <v>83</v>
      </c>
      <c r="J276" s="218">
        <v>46067.0</v>
      </c>
      <c r="K276" s="219"/>
      <c r="L276" s="219"/>
      <c r="M276" s="53" t="s">
        <v>1088</v>
      </c>
    </row>
    <row r="277">
      <c r="A277" s="31" t="s">
        <v>120</v>
      </c>
      <c r="B277" s="220">
        <v>46064.0</v>
      </c>
      <c r="C277" s="35" t="s">
        <v>51</v>
      </c>
      <c r="D277" s="9" t="s">
        <v>1089</v>
      </c>
      <c r="E277" s="11" t="s">
        <v>1090</v>
      </c>
      <c r="F277" s="221" t="s">
        <v>56</v>
      </c>
      <c r="G277" s="203" t="s">
        <v>821</v>
      </c>
      <c r="H277" s="50" t="s">
        <v>22</v>
      </c>
      <c r="I277" s="217" t="s">
        <v>56</v>
      </c>
      <c r="J277" s="218">
        <v>46079.0</v>
      </c>
      <c r="K277" s="219"/>
      <c r="L277" s="219"/>
      <c r="M277" s="53" t="s">
        <v>1091</v>
      </c>
    </row>
    <row r="278">
      <c r="A278" s="31" t="s">
        <v>76</v>
      </c>
      <c r="B278" s="220">
        <v>46064.0</v>
      </c>
      <c r="C278" s="35" t="s">
        <v>51</v>
      </c>
      <c r="D278" s="9" t="s">
        <v>1092</v>
      </c>
      <c r="E278" s="11" t="s">
        <v>1093</v>
      </c>
      <c r="F278" s="221"/>
      <c r="G278" s="228" t="s">
        <v>936</v>
      </c>
      <c r="H278" s="50" t="s">
        <v>22</v>
      </c>
      <c r="I278" s="217" t="s">
        <v>83</v>
      </c>
      <c r="J278" s="218">
        <v>46067.0</v>
      </c>
      <c r="K278" s="219"/>
      <c r="L278" s="219"/>
      <c r="M278" s="115" t="s">
        <v>1094</v>
      </c>
    </row>
    <row r="279">
      <c r="A279" s="31" t="s">
        <v>76</v>
      </c>
      <c r="B279" s="220">
        <v>46064.0</v>
      </c>
      <c r="C279" s="35" t="s">
        <v>51</v>
      </c>
      <c r="D279" s="9" t="s">
        <v>1095</v>
      </c>
      <c r="E279" s="11" t="s">
        <v>1096</v>
      </c>
      <c r="F279" s="221" t="s">
        <v>56</v>
      </c>
      <c r="G279" s="203" t="s">
        <v>821</v>
      </c>
      <c r="H279" s="50" t="s">
        <v>22</v>
      </c>
      <c r="I279" s="217" t="s">
        <v>83</v>
      </c>
      <c r="J279" s="218">
        <v>46067.0</v>
      </c>
      <c r="K279" s="219"/>
      <c r="L279" s="219"/>
      <c r="M279" s="53" t="s">
        <v>1097</v>
      </c>
    </row>
    <row r="280">
      <c r="A280" s="31" t="s">
        <v>76</v>
      </c>
      <c r="B280" s="220">
        <v>46064.0</v>
      </c>
      <c r="C280" s="35" t="s">
        <v>51</v>
      </c>
      <c r="D280" s="9" t="s">
        <v>1098</v>
      </c>
      <c r="E280" s="11" t="s">
        <v>1099</v>
      </c>
      <c r="F280" s="221" t="s">
        <v>56</v>
      </c>
      <c r="G280" s="31" t="s">
        <v>923</v>
      </c>
      <c r="H280" s="50" t="s">
        <v>22</v>
      </c>
      <c r="I280" s="217" t="s">
        <v>83</v>
      </c>
      <c r="J280" s="218">
        <v>46067.0</v>
      </c>
      <c r="K280" s="219"/>
      <c r="L280" s="219"/>
      <c r="M280" s="53" t="s">
        <v>1100</v>
      </c>
    </row>
    <row r="281">
      <c r="A281" s="31" t="s">
        <v>76</v>
      </c>
      <c r="B281" s="220">
        <v>46064.0</v>
      </c>
      <c r="C281" s="35" t="s">
        <v>51</v>
      </c>
      <c r="D281" s="9" t="s">
        <v>261</v>
      </c>
      <c r="E281" s="11" t="s">
        <v>1101</v>
      </c>
      <c r="F281" s="221" t="s">
        <v>56</v>
      </c>
      <c r="G281" s="226" t="s">
        <v>936</v>
      </c>
      <c r="H281" s="50" t="s">
        <v>22</v>
      </c>
      <c r="I281" s="217" t="s">
        <v>56</v>
      </c>
      <c r="J281" s="218">
        <v>46065.0</v>
      </c>
      <c r="K281" s="219"/>
      <c r="L281" s="219"/>
      <c r="M281" s="53" t="s">
        <v>1102</v>
      </c>
    </row>
    <row r="282">
      <c r="A282" s="31" t="s">
        <v>39</v>
      </c>
      <c r="B282" s="220">
        <v>46064.0</v>
      </c>
      <c r="C282" s="35" t="s">
        <v>51</v>
      </c>
      <c r="D282" s="9" t="s">
        <v>1103</v>
      </c>
      <c r="E282" s="11" t="s">
        <v>1104</v>
      </c>
      <c r="F282" s="221" t="s">
        <v>56</v>
      </c>
      <c r="G282" s="226" t="s">
        <v>875</v>
      </c>
      <c r="H282" s="50" t="s">
        <v>22</v>
      </c>
      <c r="I282" s="217" t="s">
        <v>83</v>
      </c>
      <c r="J282" s="218">
        <v>46067.0</v>
      </c>
      <c r="K282" s="219"/>
      <c r="L282" s="219"/>
      <c r="M282" s="53" t="s">
        <v>1105</v>
      </c>
    </row>
    <row r="283">
      <c r="A283" s="31" t="s">
        <v>76</v>
      </c>
      <c r="B283" s="220">
        <v>46065.0</v>
      </c>
      <c r="C283" s="35" t="s">
        <v>51</v>
      </c>
      <c r="D283" s="9" t="s">
        <v>1106</v>
      </c>
      <c r="E283" s="11" t="s">
        <v>1107</v>
      </c>
      <c r="F283" s="221" t="s">
        <v>83</v>
      </c>
      <c r="G283" s="176" t="s">
        <v>1108</v>
      </c>
      <c r="H283" s="41"/>
      <c r="I283" s="217" t="s">
        <v>56</v>
      </c>
      <c r="J283" s="218">
        <v>46065.0</v>
      </c>
      <c r="K283" s="219"/>
      <c r="L283" s="219"/>
      <c r="M283" s="172" t="s">
        <v>1109</v>
      </c>
    </row>
    <row r="284">
      <c r="A284" s="31" t="s">
        <v>39</v>
      </c>
      <c r="B284" s="220">
        <v>46066.0</v>
      </c>
      <c r="C284" s="35" t="s">
        <v>51</v>
      </c>
      <c r="D284" s="9" t="s">
        <v>571</v>
      </c>
      <c r="E284" s="11" t="s">
        <v>1110</v>
      </c>
      <c r="F284" s="221" t="s">
        <v>56</v>
      </c>
      <c r="G284" s="176" t="s">
        <v>1111</v>
      </c>
      <c r="H284" s="41"/>
      <c r="I284" s="217" t="s">
        <v>56</v>
      </c>
      <c r="J284" s="218">
        <v>46067.0</v>
      </c>
      <c r="K284" s="219"/>
      <c r="L284" s="219"/>
      <c r="M284" s="172" t="s">
        <v>1112</v>
      </c>
    </row>
    <row r="285">
      <c r="A285" s="31" t="s">
        <v>120</v>
      </c>
      <c r="B285" s="220">
        <v>46067.0</v>
      </c>
      <c r="C285" s="35" t="s">
        <v>51</v>
      </c>
      <c r="D285" s="9" t="s">
        <v>1113</v>
      </c>
      <c r="E285" s="11" t="s">
        <v>1114</v>
      </c>
      <c r="F285" s="221" t="s">
        <v>83</v>
      </c>
      <c r="G285" s="67" t="s">
        <v>197</v>
      </c>
      <c r="H285" s="50" t="s">
        <v>22</v>
      </c>
      <c r="I285" s="217" t="s">
        <v>56</v>
      </c>
      <c r="J285" s="218">
        <v>46079.0</v>
      </c>
      <c r="K285" s="219"/>
      <c r="L285" s="219"/>
      <c r="M285" s="229" t="s">
        <v>1115</v>
      </c>
    </row>
    <row r="286">
      <c r="A286" s="31" t="s">
        <v>120</v>
      </c>
      <c r="B286" s="220">
        <v>46067.0</v>
      </c>
      <c r="C286" s="35" t="s">
        <v>51</v>
      </c>
      <c r="D286" s="9" t="s">
        <v>1116</v>
      </c>
      <c r="E286" s="11" t="s">
        <v>1117</v>
      </c>
      <c r="F286" s="221" t="s">
        <v>83</v>
      </c>
      <c r="G286" s="67" t="s">
        <v>157</v>
      </c>
      <c r="H286" s="50" t="s">
        <v>22</v>
      </c>
      <c r="I286" s="217" t="s">
        <v>56</v>
      </c>
      <c r="J286" s="218">
        <v>46079.0</v>
      </c>
      <c r="K286" s="219"/>
      <c r="L286" s="219"/>
      <c r="M286" s="229" t="s">
        <v>1118</v>
      </c>
    </row>
    <row r="287">
      <c r="A287" s="31" t="s">
        <v>120</v>
      </c>
      <c r="B287" s="220">
        <v>46067.0</v>
      </c>
      <c r="C287" s="35" t="s">
        <v>51</v>
      </c>
      <c r="D287" s="9" t="s">
        <v>1119</v>
      </c>
      <c r="E287" s="11" t="s">
        <v>1120</v>
      </c>
      <c r="F287" s="221" t="s">
        <v>83</v>
      </c>
      <c r="G287" s="67" t="s">
        <v>197</v>
      </c>
      <c r="H287" s="50" t="s">
        <v>22</v>
      </c>
      <c r="I287" s="217" t="s">
        <v>56</v>
      </c>
      <c r="J287" s="218">
        <v>46079.0</v>
      </c>
      <c r="K287" s="219"/>
      <c r="L287" s="219"/>
      <c r="M287" s="229" t="s">
        <v>1121</v>
      </c>
    </row>
    <row r="288">
      <c r="A288" s="31" t="s">
        <v>120</v>
      </c>
      <c r="B288" s="220">
        <v>46067.0</v>
      </c>
      <c r="C288" s="35" t="s">
        <v>51</v>
      </c>
      <c r="D288" s="9" t="s">
        <v>1122</v>
      </c>
      <c r="E288" s="11" t="s">
        <v>1123</v>
      </c>
      <c r="F288" s="221" t="s">
        <v>83</v>
      </c>
      <c r="G288" s="67" t="s">
        <v>197</v>
      </c>
      <c r="H288" s="50" t="s">
        <v>22</v>
      </c>
      <c r="I288" s="217" t="s">
        <v>56</v>
      </c>
      <c r="J288" s="218">
        <v>46079.0</v>
      </c>
      <c r="K288" s="219"/>
      <c r="L288" s="219"/>
      <c r="M288" s="229" t="s">
        <v>1124</v>
      </c>
    </row>
    <row r="289">
      <c r="A289" s="31" t="s">
        <v>120</v>
      </c>
      <c r="B289" s="220">
        <v>46067.0</v>
      </c>
      <c r="C289" s="35" t="s">
        <v>51</v>
      </c>
      <c r="D289" s="9" t="s">
        <v>1125</v>
      </c>
      <c r="E289" s="11" t="s">
        <v>1126</v>
      </c>
      <c r="F289" s="221" t="s">
        <v>83</v>
      </c>
      <c r="G289" s="31" t="s">
        <v>1127</v>
      </c>
      <c r="H289" s="50" t="s">
        <v>22</v>
      </c>
      <c r="I289" s="217" t="s">
        <v>83</v>
      </c>
      <c r="J289" s="218">
        <v>46067.0</v>
      </c>
      <c r="K289" s="219"/>
      <c r="L289" s="219"/>
      <c r="M289" s="229" t="s">
        <v>1128</v>
      </c>
    </row>
    <row r="290">
      <c r="A290" s="31" t="s">
        <v>120</v>
      </c>
      <c r="B290" s="220">
        <v>46067.0</v>
      </c>
      <c r="C290" s="35" t="s">
        <v>51</v>
      </c>
      <c r="D290" s="9" t="s">
        <v>1129</v>
      </c>
      <c r="E290" s="11" t="s">
        <v>1130</v>
      </c>
      <c r="F290" s="221" t="s">
        <v>83</v>
      </c>
      <c r="G290" s="31" t="s">
        <v>1131</v>
      </c>
      <c r="H290" s="50" t="s">
        <v>22</v>
      </c>
      <c r="I290" s="217" t="s">
        <v>83</v>
      </c>
      <c r="J290" s="218">
        <v>46067.0</v>
      </c>
      <c r="K290" s="219"/>
      <c r="L290" s="219"/>
      <c r="M290" s="229" t="s">
        <v>1132</v>
      </c>
    </row>
    <row r="291">
      <c r="A291" s="31" t="s">
        <v>120</v>
      </c>
      <c r="B291" s="220">
        <v>46067.0</v>
      </c>
      <c r="C291" s="35" t="s">
        <v>51</v>
      </c>
      <c r="D291" s="9" t="s">
        <v>1133</v>
      </c>
      <c r="E291" s="11" t="s">
        <v>1134</v>
      </c>
      <c r="F291" s="221" t="s">
        <v>83</v>
      </c>
      <c r="G291" s="31" t="s">
        <v>936</v>
      </c>
      <c r="H291" s="50" t="s">
        <v>22</v>
      </c>
      <c r="I291" s="217" t="s">
        <v>83</v>
      </c>
      <c r="J291" s="218">
        <v>46067.0</v>
      </c>
      <c r="K291" s="219"/>
      <c r="L291" s="219"/>
      <c r="M291" s="229" t="s">
        <v>1135</v>
      </c>
    </row>
    <row r="292">
      <c r="A292" s="31" t="s">
        <v>120</v>
      </c>
      <c r="B292" s="220">
        <v>46067.0</v>
      </c>
      <c r="C292" s="35" t="s">
        <v>51</v>
      </c>
      <c r="D292" s="9" t="s">
        <v>1136</v>
      </c>
      <c r="E292" s="11" t="s">
        <v>1137</v>
      </c>
      <c r="F292" s="221" t="s">
        <v>83</v>
      </c>
      <c r="G292" s="31" t="s">
        <v>936</v>
      </c>
      <c r="H292" s="50" t="s">
        <v>22</v>
      </c>
      <c r="I292" s="217" t="s">
        <v>83</v>
      </c>
      <c r="J292" s="218">
        <v>46067.0</v>
      </c>
      <c r="K292" s="219"/>
      <c r="L292" s="219"/>
      <c r="M292" s="229" t="s">
        <v>1138</v>
      </c>
    </row>
    <row r="293">
      <c r="A293" s="31" t="s">
        <v>907</v>
      </c>
      <c r="B293" s="220">
        <v>46067.0</v>
      </c>
      <c r="C293" s="35" t="s">
        <v>51</v>
      </c>
      <c r="D293" s="9" t="s">
        <v>1139</v>
      </c>
      <c r="E293" s="11" t="s">
        <v>1140</v>
      </c>
      <c r="F293" s="221" t="s">
        <v>56</v>
      </c>
      <c r="G293" s="176" t="s">
        <v>197</v>
      </c>
      <c r="H293" s="50" t="s">
        <v>22</v>
      </c>
      <c r="I293" s="217" t="s">
        <v>89</v>
      </c>
      <c r="J293" s="218">
        <v>46084.0</v>
      </c>
      <c r="K293" s="219"/>
      <c r="L293" s="219"/>
      <c r="M293" s="172" t="s">
        <v>1141</v>
      </c>
    </row>
    <row r="294">
      <c r="A294" s="230" t="s">
        <v>907</v>
      </c>
      <c r="B294" s="231">
        <v>46067.0</v>
      </c>
      <c r="C294" s="35" t="s">
        <v>51</v>
      </c>
      <c r="D294" s="9" t="s">
        <v>1142</v>
      </c>
      <c r="E294" s="232" t="s">
        <v>1143</v>
      </c>
      <c r="F294" s="233" t="s">
        <v>56</v>
      </c>
      <c r="G294" s="234" t="s">
        <v>157</v>
      </c>
      <c r="H294" s="235" t="s">
        <v>22</v>
      </c>
      <c r="I294" s="236" t="s">
        <v>89</v>
      </c>
      <c r="J294" s="119">
        <v>46084.0</v>
      </c>
      <c r="M294" s="237" t="s">
        <v>1144</v>
      </c>
    </row>
    <row r="295">
      <c r="A295" s="31" t="s">
        <v>907</v>
      </c>
      <c r="B295" s="220">
        <v>46067.0</v>
      </c>
      <c r="C295" s="35" t="s">
        <v>51</v>
      </c>
      <c r="D295" s="9" t="s">
        <v>1145</v>
      </c>
      <c r="E295" s="11" t="s">
        <v>1146</v>
      </c>
      <c r="F295" s="221" t="s">
        <v>56</v>
      </c>
      <c r="G295" s="176" t="s">
        <v>197</v>
      </c>
      <c r="H295" s="50" t="s">
        <v>22</v>
      </c>
      <c r="I295" s="217" t="s">
        <v>89</v>
      </c>
      <c r="J295" s="218">
        <v>46084.0</v>
      </c>
      <c r="K295" s="219"/>
      <c r="L295" s="219"/>
      <c r="M295" s="172" t="s">
        <v>1144</v>
      </c>
    </row>
    <row r="296">
      <c r="A296" s="31" t="s">
        <v>39</v>
      </c>
      <c r="B296" s="220">
        <v>46067.0</v>
      </c>
      <c r="C296" s="35" t="s">
        <v>51</v>
      </c>
      <c r="D296" s="9" t="s">
        <v>1147</v>
      </c>
      <c r="E296" s="11" t="s">
        <v>1148</v>
      </c>
      <c r="F296" s="238" t="s">
        <v>56</v>
      </c>
      <c r="G296" s="176" t="s">
        <v>1149</v>
      </c>
      <c r="H296" s="41"/>
      <c r="I296" s="217" t="s">
        <v>56</v>
      </c>
      <c r="J296" s="218">
        <v>46077.0</v>
      </c>
      <c r="K296" s="220">
        <v>46095.0</v>
      </c>
      <c r="L296" s="223">
        <v>2.0</v>
      </c>
      <c r="M296" s="172" t="s">
        <v>1150</v>
      </c>
    </row>
    <row r="297">
      <c r="A297" s="31" t="s">
        <v>39</v>
      </c>
      <c r="B297" s="220">
        <v>46067.0</v>
      </c>
      <c r="C297" s="35" t="s">
        <v>51</v>
      </c>
      <c r="D297" s="9" t="s">
        <v>1151</v>
      </c>
      <c r="E297" s="11" t="s">
        <v>1152</v>
      </c>
      <c r="F297" s="221" t="s">
        <v>89</v>
      </c>
      <c r="G297" s="176" t="s">
        <v>1153</v>
      </c>
      <c r="H297" s="50" t="s">
        <v>22</v>
      </c>
      <c r="I297" s="217" t="s">
        <v>56</v>
      </c>
      <c r="J297" s="218">
        <v>46077.0</v>
      </c>
      <c r="K297" s="220">
        <v>46080.0</v>
      </c>
      <c r="L297" s="223">
        <v>3.0</v>
      </c>
      <c r="M297" s="172" t="s">
        <v>1154</v>
      </c>
    </row>
    <row r="298">
      <c r="A298" s="31" t="s">
        <v>39</v>
      </c>
      <c r="B298" s="220">
        <v>46067.0</v>
      </c>
      <c r="C298" s="35" t="s">
        <v>51</v>
      </c>
      <c r="D298" s="9" t="s">
        <v>1155</v>
      </c>
      <c r="E298" s="11" t="s">
        <v>1156</v>
      </c>
      <c r="F298" s="221" t="s">
        <v>83</v>
      </c>
      <c r="G298" s="176" t="s">
        <v>1157</v>
      </c>
      <c r="H298" s="50" t="s">
        <v>22</v>
      </c>
      <c r="I298" s="217" t="s">
        <v>83</v>
      </c>
      <c r="J298" s="218">
        <v>46175.0</v>
      </c>
      <c r="K298" s="220">
        <v>46185.0</v>
      </c>
      <c r="L298" s="223">
        <v>2.0</v>
      </c>
      <c r="M298" s="172" t="s">
        <v>1158</v>
      </c>
    </row>
    <row r="299">
      <c r="A299" s="31" t="s">
        <v>120</v>
      </c>
      <c r="B299" s="220">
        <v>46070.0</v>
      </c>
      <c r="C299" s="35" t="s">
        <v>51</v>
      </c>
      <c r="D299" s="9" t="s">
        <v>1159</v>
      </c>
      <c r="E299" s="11" t="s">
        <v>1160</v>
      </c>
      <c r="F299" s="221" t="s">
        <v>56</v>
      </c>
      <c r="G299" s="214"/>
      <c r="H299" s="41"/>
      <c r="I299" s="217" t="s">
        <v>56</v>
      </c>
      <c r="J299" s="218">
        <v>46078.0</v>
      </c>
      <c r="K299" s="219"/>
      <c r="L299" s="219"/>
      <c r="M299" s="172" t="s">
        <v>1161</v>
      </c>
    </row>
    <row r="300">
      <c r="A300" s="31" t="s">
        <v>39</v>
      </c>
      <c r="B300" s="220">
        <v>46071.0</v>
      </c>
      <c r="C300" s="35" t="s">
        <v>51</v>
      </c>
      <c r="D300" s="9" t="s">
        <v>1162</v>
      </c>
      <c r="E300" s="11" t="s">
        <v>1163</v>
      </c>
      <c r="F300" s="221" t="s">
        <v>56</v>
      </c>
      <c r="G300" s="239" t="s">
        <v>1164</v>
      </c>
      <c r="H300" s="41"/>
      <c r="I300" s="217" t="s">
        <v>89</v>
      </c>
      <c r="J300" s="218">
        <v>46077.0</v>
      </c>
      <c r="K300" s="220">
        <v>46078.0</v>
      </c>
      <c r="L300" s="223">
        <v>1.0</v>
      </c>
      <c r="M300" s="172" t="s">
        <v>1165</v>
      </c>
    </row>
    <row r="301">
      <c r="A301" s="31" t="s">
        <v>76</v>
      </c>
      <c r="B301" s="220">
        <v>46072.0</v>
      </c>
      <c r="C301" s="35" t="s">
        <v>51</v>
      </c>
      <c r="D301" s="9" t="s">
        <v>1166</v>
      </c>
      <c r="E301" s="11" t="s">
        <v>1167</v>
      </c>
      <c r="F301" s="221" t="s">
        <v>56</v>
      </c>
      <c r="G301" s="240"/>
      <c r="H301" s="41"/>
      <c r="I301" s="217" t="s">
        <v>56</v>
      </c>
      <c r="J301" s="218">
        <v>46078.0</v>
      </c>
      <c r="K301" s="219"/>
      <c r="L301" s="219"/>
      <c r="M301" s="172" t="s">
        <v>1168</v>
      </c>
    </row>
    <row r="302">
      <c r="A302" s="31" t="s">
        <v>120</v>
      </c>
      <c r="B302" s="220">
        <v>46074.0</v>
      </c>
      <c r="C302" s="35" t="s">
        <v>51</v>
      </c>
      <c r="D302" s="9" t="s">
        <v>1169</v>
      </c>
      <c r="E302" s="11" t="s">
        <v>1170</v>
      </c>
      <c r="F302" s="221" t="s">
        <v>56</v>
      </c>
      <c r="G302" s="192" t="s">
        <v>1171</v>
      </c>
      <c r="H302" s="41"/>
      <c r="I302" s="217" t="s">
        <v>56</v>
      </c>
      <c r="J302" s="218">
        <v>46078.0</v>
      </c>
      <c r="K302" s="219"/>
      <c r="L302" s="219"/>
      <c r="M302" s="172" t="s">
        <v>1172</v>
      </c>
    </row>
    <row r="303">
      <c r="A303" s="31" t="s">
        <v>120</v>
      </c>
      <c r="B303" s="220">
        <v>46075.0</v>
      </c>
      <c r="C303" s="35" t="s">
        <v>51</v>
      </c>
      <c r="D303" s="9" t="s">
        <v>1173</v>
      </c>
      <c r="E303" s="11" t="s">
        <v>1174</v>
      </c>
      <c r="F303" s="221" t="s">
        <v>56</v>
      </c>
      <c r="G303" s="176" t="s">
        <v>1175</v>
      </c>
      <c r="H303" s="41"/>
      <c r="I303" s="217" t="s">
        <v>56</v>
      </c>
      <c r="J303" s="218">
        <v>46078.0</v>
      </c>
      <c r="K303" s="219"/>
      <c r="L303" s="219"/>
      <c r="M303" s="172" t="s">
        <v>1176</v>
      </c>
    </row>
    <row r="304">
      <c r="A304" s="31" t="s">
        <v>39</v>
      </c>
      <c r="B304" s="220">
        <v>46076.0</v>
      </c>
      <c r="C304" s="35" t="s">
        <v>51</v>
      </c>
      <c r="D304" s="9" t="s">
        <v>1177</v>
      </c>
      <c r="E304" s="11" t="s">
        <v>1178</v>
      </c>
      <c r="F304" s="221" t="s">
        <v>56</v>
      </c>
      <c r="G304" s="176" t="s">
        <v>1179</v>
      </c>
      <c r="H304" s="41"/>
      <c r="I304" s="217" t="s">
        <v>56</v>
      </c>
      <c r="J304" s="218">
        <v>46077.0</v>
      </c>
      <c r="K304" s="220">
        <v>46088.0</v>
      </c>
      <c r="L304" s="223">
        <v>5.0</v>
      </c>
      <c r="M304" s="172" t="s">
        <v>1180</v>
      </c>
    </row>
    <row r="305">
      <c r="A305" s="31" t="s">
        <v>120</v>
      </c>
      <c r="B305" s="220">
        <v>46077.0</v>
      </c>
      <c r="C305" s="35" t="s">
        <v>51</v>
      </c>
      <c r="D305" s="9" t="s">
        <v>1181</v>
      </c>
      <c r="E305" s="11" t="s">
        <v>1182</v>
      </c>
      <c r="F305" s="221" t="s">
        <v>83</v>
      </c>
      <c r="G305" s="176" t="s">
        <v>1183</v>
      </c>
      <c r="H305" s="50" t="s">
        <v>22</v>
      </c>
      <c r="I305" s="217" t="s">
        <v>56</v>
      </c>
      <c r="J305" s="218">
        <v>46079.0</v>
      </c>
      <c r="K305" s="219"/>
      <c r="L305" s="219"/>
      <c r="M305" s="172" t="s">
        <v>1184</v>
      </c>
    </row>
    <row r="306">
      <c r="A306" s="31" t="s">
        <v>120</v>
      </c>
      <c r="B306" s="220">
        <v>46077.0</v>
      </c>
      <c r="C306" s="35" t="s">
        <v>51</v>
      </c>
      <c r="D306" s="9" t="s">
        <v>1185</v>
      </c>
      <c r="E306" s="11" t="s">
        <v>1186</v>
      </c>
      <c r="F306" s="221" t="s">
        <v>83</v>
      </c>
      <c r="G306" s="176" t="s">
        <v>1187</v>
      </c>
      <c r="H306" s="50" t="s">
        <v>22</v>
      </c>
      <c r="I306" s="217" t="s">
        <v>56</v>
      </c>
      <c r="J306" s="218">
        <v>46079.0</v>
      </c>
      <c r="K306" s="220">
        <v>46098.0</v>
      </c>
      <c r="L306" s="223">
        <v>1.0</v>
      </c>
      <c r="M306" s="172" t="s">
        <v>1188</v>
      </c>
    </row>
    <row r="307">
      <c r="A307" s="31" t="s">
        <v>907</v>
      </c>
      <c r="B307" s="220">
        <v>46077.0</v>
      </c>
      <c r="C307" s="35" t="s">
        <v>51</v>
      </c>
      <c r="D307" s="9" t="s">
        <v>1189</v>
      </c>
      <c r="E307" s="11" t="s">
        <v>1190</v>
      </c>
      <c r="F307" s="221" t="s">
        <v>56</v>
      </c>
      <c r="G307" s="176" t="s">
        <v>189</v>
      </c>
      <c r="H307" s="50" t="s">
        <v>22</v>
      </c>
      <c r="I307" s="217" t="s">
        <v>89</v>
      </c>
      <c r="J307" s="218">
        <v>46084.0</v>
      </c>
      <c r="K307" s="219"/>
      <c r="L307" s="219"/>
      <c r="M307" s="172" t="s">
        <v>1191</v>
      </c>
    </row>
    <row r="308">
      <c r="A308" s="31" t="s">
        <v>76</v>
      </c>
      <c r="B308" s="220">
        <v>46077.0</v>
      </c>
      <c r="C308" s="35" t="s">
        <v>51</v>
      </c>
      <c r="D308" s="9" t="s">
        <v>1192</v>
      </c>
      <c r="E308" s="11" t="s">
        <v>1028</v>
      </c>
      <c r="F308" s="221" t="s">
        <v>83</v>
      </c>
      <c r="G308" s="176" t="s">
        <v>1193</v>
      </c>
      <c r="H308" s="50" t="s">
        <v>22</v>
      </c>
      <c r="I308" s="217" t="s">
        <v>83</v>
      </c>
      <c r="J308" s="218">
        <v>46114.0</v>
      </c>
      <c r="K308" s="219"/>
      <c r="L308" s="219"/>
      <c r="M308" s="172" t="s">
        <v>1194</v>
      </c>
    </row>
    <row r="309">
      <c r="A309" s="31" t="s">
        <v>76</v>
      </c>
      <c r="B309" s="220">
        <v>46077.0</v>
      </c>
      <c r="C309" s="35" t="s">
        <v>51</v>
      </c>
      <c r="D309" s="9" t="s">
        <v>1106</v>
      </c>
      <c r="E309" s="11" t="s">
        <v>1107</v>
      </c>
      <c r="F309" s="221" t="s">
        <v>83</v>
      </c>
      <c r="G309" s="176" t="s">
        <v>1108</v>
      </c>
      <c r="H309" s="50" t="s">
        <v>22</v>
      </c>
      <c r="I309" s="217" t="s">
        <v>56</v>
      </c>
      <c r="J309" s="218">
        <v>46079.0</v>
      </c>
      <c r="K309" s="219"/>
      <c r="L309" s="219"/>
      <c r="M309" s="172" t="s">
        <v>1195</v>
      </c>
    </row>
    <row r="310">
      <c r="A310" s="31" t="s">
        <v>76</v>
      </c>
      <c r="B310" s="220">
        <v>46077.0</v>
      </c>
      <c r="C310" s="35" t="s">
        <v>51</v>
      </c>
      <c r="D310" s="9" t="s">
        <v>1196</v>
      </c>
      <c r="E310" s="11" t="s">
        <v>1197</v>
      </c>
      <c r="F310" s="221" t="s">
        <v>56</v>
      </c>
      <c r="G310" s="176" t="s">
        <v>1198</v>
      </c>
      <c r="H310" s="50" t="s">
        <v>22</v>
      </c>
      <c r="I310" s="221" t="s">
        <v>56</v>
      </c>
      <c r="J310" s="220">
        <v>46078.0</v>
      </c>
      <c r="K310" s="219"/>
      <c r="L310" s="219"/>
      <c r="M310" s="172" t="s">
        <v>1199</v>
      </c>
    </row>
    <row r="311">
      <c r="A311" s="31" t="s">
        <v>76</v>
      </c>
      <c r="B311" s="220">
        <v>46077.0</v>
      </c>
      <c r="C311" s="35" t="s">
        <v>51</v>
      </c>
      <c r="D311" s="9" t="s">
        <v>1200</v>
      </c>
      <c r="E311" s="11" t="s">
        <v>1201</v>
      </c>
      <c r="F311" s="221" t="s">
        <v>56</v>
      </c>
      <c r="G311" s="176" t="s">
        <v>1202</v>
      </c>
      <c r="H311" s="50" t="s">
        <v>22</v>
      </c>
      <c r="I311" s="217" t="s">
        <v>56</v>
      </c>
      <c r="J311" s="220">
        <v>46078.0</v>
      </c>
      <c r="K311" s="219"/>
      <c r="L311" s="219"/>
      <c r="M311" s="172" t="s">
        <v>1203</v>
      </c>
    </row>
    <row r="312">
      <c r="A312" s="31" t="s">
        <v>39</v>
      </c>
      <c r="B312" s="220">
        <v>46077.0</v>
      </c>
      <c r="C312" s="35" t="s">
        <v>51</v>
      </c>
      <c r="D312" s="9" t="s">
        <v>1204</v>
      </c>
      <c r="E312" s="11" t="s">
        <v>1205</v>
      </c>
      <c r="F312" s="221" t="s">
        <v>56</v>
      </c>
      <c r="G312" s="176" t="s">
        <v>1206</v>
      </c>
      <c r="H312" s="41"/>
      <c r="I312" s="217" t="s">
        <v>56</v>
      </c>
      <c r="J312" s="218">
        <v>46077.0</v>
      </c>
      <c r="K312" s="220">
        <v>46078.0</v>
      </c>
      <c r="L312" s="223">
        <v>2.0</v>
      </c>
      <c r="M312" s="172" t="s">
        <v>1207</v>
      </c>
    </row>
    <row r="313">
      <c r="A313" s="31" t="s">
        <v>39</v>
      </c>
      <c r="B313" s="220">
        <v>46077.0</v>
      </c>
      <c r="C313" s="35" t="s">
        <v>51</v>
      </c>
      <c r="D313" s="9" t="s">
        <v>1208</v>
      </c>
      <c r="E313" s="11" t="s">
        <v>1209</v>
      </c>
      <c r="F313" s="221" t="s">
        <v>83</v>
      </c>
      <c r="G313" s="176" t="s">
        <v>1210</v>
      </c>
      <c r="H313" s="41"/>
      <c r="I313" s="217" t="s">
        <v>83</v>
      </c>
      <c r="J313" s="218">
        <v>46079.0</v>
      </c>
      <c r="K313" s="219"/>
      <c r="L313" s="219"/>
      <c r="M313" s="172" t="s">
        <v>1211</v>
      </c>
    </row>
    <row r="314">
      <c r="A314" s="31" t="s">
        <v>39</v>
      </c>
      <c r="B314" s="220">
        <v>46077.0</v>
      </c>
      <c r="C314" s="35" t="s">
        <v>51</v>
      </c>
      <c r="D314" s="9" t="s">
        <v>1212</v>
      </c>
      <c r="E314" s="11" t="s">
        <v>1213</v>
      </c>
      <c r="F314" s="221" t="s">
        <v>56</v>
      </c>
      <c r="G314" s="176" t="s">
        <v>1214</v>
      </c>
      <c r="H314" s="41"/>
      <c r="I314" s="217" t="s">
        <v>83</v>
      </c>
      <c r="J314" s="218">
        <v>46077.0</v>
      </c>
      <c r="K314" s="220">
        <v>46078.0</v>
      </c>
      <c r="L314" s="223">
        <v>1.0</v>
      </c>
      <c r="M314" s="172" t="s">
        <v>1215</v>
      </c>
    </row>
    <row r="315">
      <c r="A315" s="31" t="s">
        <v>39</v>
      </c>
      <c r="B315" s="220">
        <v>46078.0</v>
      </c>
      <c r="C315" s="35" t="s">
        <v>51</v>
      </c>
      <c r="D315" s="9" t="s">
        <v>1216</v>
      </c>
      <c r="E315" s="11" t="s">
        <v>1217</v>
      </c>
      <c r="F315" s="221" t="s">
        <v>83</v>
      </c>
      <c r="G315" s="176" t="s">
        <v>1218</v>
      </c>
      <c r="H315" s="41"/>
      <c r="I315" s="45"/>
      <c r="J315" s="74"/>
      <c r="K315" s="219"/>
      <c r="L315" s="219"/>
      <c r="M315" s="241"/>
    </row>
    <row r="316">
      <c r="A316" s="31" t="s">
        <v>907</v>
      </c>
      <c r="B316" s="220">
        <v>46078.0</v>
      </c>
      <c r="C316" s="35" t="s">
        <v>51</v>
      </c>
      <c r="D316" s="9" t="s">
        <v>1219</v>
      </c>
      <c r="E316" s="11" t="s">
        <v>1220</v>
      </c>
      <c r="F316" s="221" t="s">
        <v>56</v>
      </c>
      <c r="G316" s="176" t="s">
        <v>157</v>
      </c>
      <c r="H316" s="50" t="s">
        <v>22</v>
      </c>
      <c r="I316" s="217" t="s">
        <v>89</v>
      </c>
      <c r="J316" s="218">
        <v>46084.0</v>
      </c>
      <c r="K316" s="219"/>
      <c r="L316" s="219"/>
      <c r="M316" s="172" t="s">
        <v>1191</v>
      </c>
    </row>
    <row r="317">
      <c r="A317" s="31" t="s">
        <v>907</v>
      </c>
      <c r="B317" s="220">
        <v>46078.0</v>
      </c>
      <c r="C317" s="35" t="s">
        <v>51</v>
      </c>
      <c r="D317" s="9" t="s">
        <v>1221</v>
      </c>
      <c r="E317" s="11" t="s">
        <v>1222</v>
      </c>
      <c r="F317" s="221" t="s">
        <v>56</v>
      </c>
      <c r="G317" s="176" t="s">
        <v>197</v>
      </c>
      <c r="H317" s="50" t="s">
        <v>22</v>
      </c>
      <c r="I317" s="217" t="s">
        <v>89</v>
      </c>
      <c r="J317" s="218">
        <v>46084.0</v>
      </c>
      <c r="K317" s="219"/>
      <c r="L317" s="219"/>
      <c r="M317" s="172" t="s">
        <v>1191</v>
      </c>
    </row>
    <row r="318">
      <c r="A318" s="31" t="s">
        <v>907</v>
      </c>
      <c r="B318" s="220">
        <v>46078.0</v>
      </c>
      <c r="C318" s="35" t="s">
        <v>51</v>
      </c>
      <c r="D318" s="9" t="s">
        <v>1223</v>
      </c>
      <c r="E318" s="11" t="s">
        <v>1224</v>
      </c>
      <c r="F318" s="221" t="s">
        <v>56</v>
      </c>
      <c r="G318" s="176" t="s">
        <v>197</v>
      </c>
      <c r="H318" s="50" t="s">
        <v>22</v>
      </c>
      <c r="I318" s="217" t="s">
        <v>89</v>
      </c>
      <c r="J318" s="218">
        <v>46084.0</v>
      </c>
      <c r="K318" s="219"/>
      <c r="L318" s="219"/>
      <c r="M318" s="172" t="s">
        <v>1191</v>
      </c>
    </row>
    <row r="319">
      <c r="A319" s="31" t="s">
        <v>907</v>
      </c>
      <c r="B319" s="220">
        <v>46078.0</v>
      </c>
      <c r="C319" s="35" t="s">
        <v>51</v>
      </c>
      <c r="D319" s="9" t="s">
        <v>1225</v>
      </c>
      <c r="E319" s="11" t="s">
        <v>1226</v>
      </c>
      <c r="F319" s="221" t="s">
        <v>56</v>
      </c>
      <c r="G319" s="176" t="s">
        <v>197</v>
      </c>
      <c r="H319" s="50" t="s">
        <v>22</v>
      </c>
      <c r="I319" s="217" t="s">
        <v>89</v>
      </c>
      <c r="J319" s="218">
        <v>46084.0</v>
      </c>
      <c r="K319" s="219"/>
      <c r="L319" s="219"/>
      <c r="M319" s="172" t="s">
        <v>1191</v>
      </c>
    </row>
    <row r="320">
      <c r="A320" s="31" t="s">
        <v>907</v>
      </c>
      <c r="B320" s="220">
        <v>46078.0</v>
      </c>
      <c r="C320" s="35" t="s">
        <v>51</v>
      </c>
      <c r="D320" s="9" t="s">
        <v>1227</v>
      </c>
      <c r="E320" s="11" t="s">
        <v>1228</v>
      </c>
      <c r="F320" s="221" t="s">
        <v>56</v>
      </c>
      <c r="G320" s="176" t="s">
        <v>197</v>
      </c>
      <c r="H320" s="50" t="s">
        <v>22</v>
      </c>
      <c r="I320" s="217" t="s">
        <v>89</v>
      </c>
      <c r="J320" s="218">
        <v>46084.0</v>
      </c>
      <c r="K320" s="219"/>
      <c r="L320" s="219"/>
      <c r="M320" s="172" t="s">
        <v>1191</v>
      </c>
    </row>
    <row r="321">
      <c r="A321" s="31" t="s">
        <v>120</v>
      </c>
      <c r="B321" s="220">
        <v>46079.0</v>
      </c>
      <c r="C321" s="35" t="s">
        <v>51</v>
      </c>
      <c r="D321" s="9" t="s">
        <v>1229</v>
      </c>
      <c r="E321" s="11" t="s">
        <v>1230</v>
      </c>
      <c r="F321" s="221" t="s">
        <v>89</v>
      </c>
      <c r="G321" s="244" t="s">
        <v>1231</v>
      </c>
      <c r="H321" s="50" t="s">
        <v>22</v>
      </c>
      <c r="I321" s="217" t="s">
        <v>56</v>
      </c>
      <c r="J321" s="218">
        <v>46079.0</v>
      </c>
      <c r="K321" s="219"/>
      <c r="L321" s="219"/>
      <c r="M321" s="172" t="s">
        <v>1232</v>
      </c>
    </row>
    <row r="322">
      <c r="A322" s="31" t="s">
        <v>907</v>
      </c>
      <c r="B322" s="220">
        <v>46079.0</v>
      </c>
      <c r="C322" s="35" t="s">
        <v>51</v>
      </c>
      <c r="D322" s="9" t="s">
        <v>1233</v>
      </c>
      <c r="E322" s="11" t="s">
        <v>1234</v>
      </c>
      <c r="F322" s="221" t="s">
        <v>56</v>
      </c>
      <c r="G322" s="176" t="s">
        <v>157</v>
      </c>
      <c r="H322" s="50" t="s">
        <v>22</v>
      </c>
      <c r="I322" s="217" t="s">
        <v>89</v>
      </c>
      <c r="J322" s="218">
        <v>46084.0</v>
      </c>
      <c r="K322" s="219"/>
      <c r="L322" s="219"/>
      <c r="M322" s="172" t="s">
        <v>1191</v>
      </c>
    </row>
    <row r="323">
      <c r="A323" s="31" t="s">
        <v>907</v>
      </c>
      <c r="B323" s="220">
        <v>46079.0</v>
      </c>
      <c r="C323" s="35" t="s">
        <v>51</v>
      </c>
      <c r="D323" s="9" t="s">
        <v>1235</v>
      </c>
      <c r="E323" s="11" t="s">
        <v>1236</v>
      </c>
      <c r="F323" s="221" t="s">
        <v>56</v>
      </c>
      <c r="G323" s="176" t="s">
        <v>1237</v>
      </c>
      <c r="H323" s="50" t="s">
        <v>22</v>
      </c>
      <c r="I323" s="217" t="s">
        <v>83</v>
      </c>
      <c r="J323" s="218">
        <v>46084.0</v>
      </c>
      <c r="K323" s="219"/>
      <c r="L323" s="219"/>
      <c r="M323" s="172" t="s">
        <v>183</v>
      </c>
    </row>
    <row r="324">
      <c r="A324" s="31" t="s">
        <v>39</v>
      </c>
      <c r="B324" s="220">
        <v>46079.0</v>
      </c>
      <c r="C324" s="35" t="s">
        <v>51</v>
      </c>
      <c r="D324" s="9" t="s">
        <v>1238</v>
      </c>
      <c r="E324" s="11" t="s">
        <v>1239</v>
      </c>
      <c r="F324" s="245" t="s">
        <v>56</v>
      </c>
      <c r="G324" s="176" t="s">
        <v>197</v>
      </c>
      <c r="H324" s="41"/>
      <c r="I324" s="217" t="s">
        <v>89</v>
      </c>
      <c r="J324" s="218">
        <v>46084.0</v>
      </c>
      <c r="K324" s="219"/>
      <c r="L324" s="219"/>
      <c r="M324" s="172" t="s">
        <v>1240</v>
      </c>
    </row>
    <row r="325">
      <c r="A325" s="31" t="s">
        <v>39</v>
      </c>
      <c r="B325" s="220">
        <v>46079.0</v>
      </c>
      <c r="C325" s="35" t="s">
        <v>51</v>
      </c>
      <c r="D325" s="9" t="s">
        <v>1241</v>
      </c>
      <c r="E325" s="11" t="s">
        <v>1242</v>
      </c>
      <c r="F325" s="221" t="s">
        <v>83</v>
      </c>
      <c r="G325" s="176" t="s">
        <v>1243</v>
      </c>
      <c r="H325" s="50" t="s">
        <v>22</v>
      </c>
      <c r="I325" s="217" t="s">
        <v>56</v>
      </c>
      <c r="J325" s="218">
        <v>46079.0</v>
      </c>
      <c r="K325" s="220">
        <v>46080.0</v>
      </c>
      <c r="L325" s="223">
        <v>5.0</v>
      </c>
      <c r="M325" s="172" t="s">
        <v>1244</v>
      </c>
    </row>
    <row r="326">
      <c r="A326" s="31" t="s">
        <v>120</v>
      </c>
      <c r="B326" s="220">
        <v>46084.0</v>
      </c>
      <c r="C326" s="35" t="s">
        <v>51</v>
      </c>
      <c r="D326" s="9" t="s">
        <v>485</v>
      </c>
      <c r="E326" s="11" t="s">
        <v>1245</v>
      </c>
      <c r="F326" s="246" t="s">
        <v>83</v>
      </c>
      <c r="G326" s="176" t="s">
        <v>1246</v>
      </c>
      <c r="H326" s="50" t="s">
        <v>22</v>
      </c>
      <c r="I326" s="217" t="s">
        <v>83</v>
      </c>
      <c r="J326" s="218">
        <v>46084.0</v>
      </c>
      <c r="K326" s="219"/>
      <c r="L326" s="219"/>
      <c r="M326" s="172" t="s">
        <v>1247</v>
      </c>
    </row>
    <row r="327">
      <c r="A327" s="31" t="s">
        <v>120</v>
      </c>
      <c r="B327" s="220">
        <v>46084.0</v>
      </c>
      <c r="C327" s="35" t="s">
        <v>51</v>
      </c>
      <c r="D327" s="9" t="s">
        <v>1248</v>
      </c>
      <c r="E327" s="247" t="s">
        <v>1249</v>
      </c>
      <c r="F327" s="221" t="s">
        <v>89</v>
      </c>
      <c r="G327" s="67" t="s">
        <v>197</v>
      </c>
      <c r="H327" s="50" t="s">
        <v>22</v>
      </c>
      <c r="I327" s="217" t="s">
        <v>83</v>
      </c>
      <c r="J327" s="218">
        <v>46084.0</v>
      </c>
      <c r="K327" s="219"/>
      <c r="L327" s="219"/>
      <c r="M327" s="172" t="s">
        <v>1250</v>
      </c>
    </row>
    <row r="328">
      <c r="A328" s="31" t="s">
        <v>120</v>
      </c>
      <c r="B328" s="220">
        <v>46084.0</v>
      </c>
      <c r="C328" s="35" t="s">
        <v>51</v>
      </c>
      <c r="D328" s="9" t="s">
        <v>1251</v>
      </c>
      <c r="E328" s="247" t="s">
        <v>1252</v>
      </c>
      <c r="F328" s="221" t="s">
        <v>89</v>
      </c>
      <c r="G328" s="67" t="s">
        <v>157</v>
      </c>
      <c r="H328" s="50" t="s">
        <v>22</v>
      </c>
      <c r="I328" s="217" t="s">
        <v>83</v>
      </c>
      <c r="J328" s="218">
        <v>46084.0</v>
      </c>
      <c r="K328" s="219"/>
      <c r="L328" s="219"/>
      <c r="M328" s="172" t="s">
        <v>1253</v>
      </c>
    </row>
    <row r="329">
      <c r="A329" s="31" t="s">
        <v>120</v>
      </c>
      <c r="B329" s="220">
        <v>46084.0</v>
      </c>
      <c r="C329" s="35" t="s">
        <v>51</v>
      </c>
      <c r="D329" s="9" t="s">
        <v>1254</v>
      </c>
      <c r="E329" s="247" t="s">
        <v>1255</v>
      </c>
      <c r="F329" s="221" t="s">
        <v>89</v>
      </c>
      <c r="G329" s="67" t="s">
        <v>197</v>
      </c>
      <c r="H329" s="50" t="s">
        <v>22</v>
      </c>
      <c r="I329" s="217" t="s">
        <v>527</v>
      </c>
      <c r="J329" s="218">
        <v>46084.0</v>
      </c>
      <c r="K329" s="219"/>
      <c r="L329" s="219"/>
      <c r="M329" s="172" t="s">
        <v>1256</v>
      </c>
    </row>
    <row r="330">
      <c r="A330" s="31" t="s">
        <v>1014</v>
      </c>
      <c r="B330" s="220">
        <v>46084.0</v>
      </c>
      <c r="C330" s="35" t="s">
        <v>51</v>
      </c>
      <c r="D330" s="9" t="s">
        <v>1257</v>
      </c>
      <c r="E330" s="247" t="s">
        <v>1258</v>
      </c>
      <c r="F330" s="221" t="s">
        <v>89</v>
      </c>
      <c r="G330" s="67" t="s">
        <v>157</v>
      </c>
      <c r="H330" s="50" t="s">
        <v>22</v>
      </c>
      <c r="I330" s="217" t="s">
        <v>83</v>
      </c>
      <c r="J330" s="218">
        <v>46084.0</v>
      </c>
      <c r="K330" s="219"/>
      <c r="L330" s="219"/>
      <c r="M330" s="172" t="s">
        <v>183</v>
      </c>
    </row>
    <row r="331">
      <c r="A331" s="31" t="s">
        <v>1014</v>
      </c>
      <c r="B331" s="220">
        <v>46084.0</v>
      </c>
      <c r="C331" s="35" t="s">
        <v>51</v>
      </c>
      <c r="D331" s="9" t="s">
        <v>1259</v>
      </c>
      <c r="E331" s="247" t="s">
        <v>1260</v>
      </c>
      <c r="F331" s="221" t="s">
        <v>89</v>
      </c>
      <c r="G331" s="67" t="s">
        <v>189</v>
      </c>
      <c r="H331" s="50" t="s">
        <v>22</v>
      </c>
      <c r="I331" s="217" t="s">
        <v>527</v>
      </c>
      <c r="J331" s="218">
        <v>46084.0</v>
      </c>
      <c r="K331" s="219"/>
      <c r="L331" s="219"/>
      <c r="M331" s="172" t="s">
        <v>173</v>
      </c>
    </row>
    <row r="332">
      <c r="A332" s="31" t="s">
        <v>1014</v>
      </c>
      <c r="B332" s="220">
        <v>46084.0</v>
      </c>
      <c r="C332" s="35" t="s">
        <v>51</v>
      </c>
      <c r="D332" s="9" t="s">
        <v>1261</v>
      </c>
      <c r="E332" s="247" t="s">
        <v>1262</v>
      </c>
      <c r="F332" s="221" t="s">
        <v>89</v>
      </c>
      <c r="G332" s="67" t="s">
        <v>157</v>
      </c>
      <c r="H332" s="50" t="s">
        <v>22</v>
      </c>
      <c r="I332" s="217" t="s">
        <v>89</v>
      </c>
      <c r="J332" s="218">
        <v>46084.0</v>
      </c>
      <c r="K332" s="219"/>
      <c r="L332" s="219"/>
      <c r="M332" s="241"/>
    </row>
    <row r="333">
      <c r="A333" s="31" t="s">
        <v>1014</v>
      </c>
      <c r="B333" s="220">
        <v>46084.0</v>
      </c>
      <c r="C333" s="35" t="s">
        <v>51</v>
      </c>
      <c r="D333" s="9" t="s">
        <v>1263</v>
      </c>
      <c r="E333" s="247" t="s">
        <v>1264</v>
      </c>
      <c r="F333" s="221" t="s">
        <v>89</v>
      </c>
      <c r="G333" s="67" t="s">
        <v>264</v>
      </c>
      <c r="H333" s="50" t="s">
        <v>22</v>
      </c>
      <c r="I333" s="217" t="s">
        <v>89</v>
      </c>
      <c r="J333" s="218">
        <v>46084.0</v>
      </c>
      <c r="K333" s="219"/>
      <c r="L333" s="219"/>
      <c r="M333" s="241"/>
    </row>
    <row r="334">
      <c r="A334" s="31" t="s">
        <v>1014</v>
      </c>
      <c r="B334" s="220">
        <v>46084.0</v>
      </c>
      <c r="C334" s="35" t="s">
        <v>51</v>
      </c>
      <c r="D334" s="9" t="s">
        <v>1265</v>
      </c>
      <c r="E334" s="247" t="s">
        <v>1266</v>
      </c>
      <c r="F334" s="221" t="s">
        <v>89</v>
      </c>
      <c r="G334" s="67" t="s">
        <v>189</v>
      </c>
      <c r="H334" s="50" t="s">
        <v>22</v>
      </c>
      <c r="I334" s="217" t="s">
        <v>89</v>
      </c>
      <c r="J334" s="218">
        <v>46084.0</v>
      </c>
      <c r="K334" s="219"/>
      <c r="L334" s="219"/>
      <c r="M334" s="241"/>
    </row>
    <row r="335">
      <c r="A335" s="31" t="s">
        <v>1014</v>
      </c>
      <c r="B335" s="220">
        <v>46084.0</v>
      </c>
      <c r="C335" s="35" t="s">
        <v>51</v>
      </c>
      <c r="D335" s="9" t="s">
        <v>1267</v>
      </c>
      <c r="E335" s="247" t="s">
        <v>1268</v>
      </c>
      <c r="F335" s="221" t="s">
        <v>89</v>
      </c>
      <c r="G335" s="67" t="s">
        <v>197</v>
      </c>
      <c r="H335" s="50" t="s">
        <v>22</v>
      </c>
      <c r="I335" s="217" t="s">
        <v>83</v>
      </c>
      <c r="J335" s="218">
        <v>46084.0</v>
      </c>
      <c r="K335" s="219"/>
      <c r="L335" s="219"/>
      <c r="M335" s="172" t="s">
        <v>183</v>
      </c>
    </row>
    <row r="336">
      <c r="A336" s="31" t="s">
        <v>76</v>
      </c>
      <c r="B336" s="220">
        <v>46084.0</v>
      </c>
      <c r="C336" s="35" t="s">
        <v>51</v>
      </c>
      <c r="D336" s="9" t="s">
        <v>1269</v>
      </c>
      <c r="E336" s="247" t="s">
        <v>1270</v>
      </c>
      <c r="F336" s="221" t="s">
        <v>89</v>
      </c>
      <c r="G336" s="67" t="s">
        <v>157</v>
      </c>
      <c r="H336" s="50" t="s">
        <v>22</v>
      </c>
      <c r="I336" s="217" t="s">
        <v>83</v>
      </c>
      <c r="J336" s="218">
        <v>46084.0</v>
      </c>
      <c r="K336" s="219"/>
      <c r="L336" s="219"/>
      <c r="M336" s="172" t="s">
        <v>1271</v>
      </c>
    </row>
    <row r="337">
      <c r="A337" s="31" t="s">
        <v>76</v>
      </c>
      <c r="B337" s="220">
        <v>46084.0</v>
      </c>
      <c r="C337" s="35" t="s">
        <v>51</v>
      </c>
      <c r="D337" s="9" t="s">
        <v>1272</v>
      </c>
      <c r="E337" s="247" t="s">
        <v>1273</v>
      </c>
      <c r="F337" s="221" t="s">
        <v>89</v>
      </c>
      <c r="G337" s="67" t="s">
        <v>197</v>
      </c>
      <c r="H337" s="50" t="s">
        <v>22</v>
      </c>
      <c r="I337" s="217" t="s">
        <v>83</v>
      </c>
      <c r="J337" s="218">
        <v>46084.0</v>
      </c>
      <c r="K337" s="219"/>
      <c r="L337" s="219"/>
      <c r="M337" s="172" t="s">
        <v>1274</v>
      </c>
    </row>
    <row r="338">
      <c r="A338" s="31" t="s">
        <v>76</v>
      </c>
      <c r="B338" s="220">
        <v>46084.0</v>
      </c>
      <c r="C338" s="35" t="s">
        <v>51</v>
      </c>
      <c r="D338" s="9" t="s">
        <v>1275</v>
      </c>
      <c r="E338" s="11" t="s">
        <v>1276</v>
      </c>
      <c r="F338" s="221" t="s">
        <v>83</v>
      </c>
      <c r="G338" s="176" t="s">
        <v>1277</v>
      </c>
      <c r="H338" s="41"/>
      <c r="I338" s="217" t="s">
        <v>89</v>
      </c>
      <c r="J338" s="218">
        <v>46084.0</v>
      </c>
      <c r="K338" s="219"/>
      <c r="L338" s="219"/>
      <c r="M338" s="172" t="s">
        <v>1278</v>
      </c>
    </row>
    <row r="339">
      <c r="A339" s="31" t="s">
        <v>76</v>
      </c>
      <c r="B339" s="220">
        <v>46084.0</v>
      </c>
      <c r="C339" s="35" t="s">
        <v>51</v>
      </c>
      <c r="D339" s="9" t="s">
        <v>1279</v>
      </c>
      <c r="E339" s="11" t="s">
        <v>1280</v>
      </c>
      <c r="F339" s="221" t="s">
        <v>83</v>
      </c>
      <c r="G339" s="176" t="s">
        <v>1281</v>
      </c>
      <c r="H339" s="50" t="s">
        <v>22</v>
      </c>
      <c r="I339" s="217" t="s">
        <v>83</v>
      </c>
      <c r="J339" s="218">
        <v>46084.0</v>
      </c>
      <c r="K339" s="220"/>
      <c r="L339" s="219"/>
      <c r="M339" s="172" t="s">
        <v>1282</v>
      </c>
    </row>
    <row r="340">
      <c r="A340" s="31" t="s">
        <v>39</v>
      </c>
      <c r="B340" s="220">
        <v>46084.0</v>
      </c>
      <c r="C340" s="35" t="s">
        <v>51</v>
      </c>
      <c r="D340" s="9" t="s">
        <v>1283</v>
      </c>
      <c r="E340" s="11" t="s">
        <v>1284</v>
      </c>
      <c r="F340" s="221" t="s">
        <v>83</v>
      </c>
      <c r="G340" s="176" t="s">
        <v>1285</v>
      </c>
      <c r="H340" s="50" t="s">
        <v>22</v>
      </c>
      <c r="I340" s="217" t="s">
        <v>527</v>
      </c>
      <c r="J340" s="218">
        <v>46084.0</v>
      </c>
      <c r="K340" s="220">
        <v>46102.0</v>
      </c>
      <c r="L340" s="223">
        <v>2.0</v>
      </c>
      <c r="M340" s="172" t="s">
        <v>1286</v>
      </c>
    </row>
    <row r="341">
      <c r="A341" s="31" t="s">
        <v>39</v>
      </c>
      <c r="B341" s="220">
        <v>46084.0</v>
      </c>
      <c r="C341" s="35" t="s">
        <v>51</v>
      </c>
      <c r="D341" s="9" t="s">
        <v>1287</v>
      </c>
      <c r="E341" s="11" t="s">
        <v>1288</v>
      </c>
      <c r="F341" s="221" t="s">
        <v>83</v>
      </c>
      <c r="G341" s="176" t="s">
        <v>1289</v>
      </c>
      <c r="H341" s="50" t="s">
        <v>22</v>
      </c>
      <c r="I341" s="45"/>
      <c r="J341" s="74"/>
      <c r="K341" s="219"/>
      <c r="L341" s="219"/>
      <c r="M341" s="241"/>
    </row>
    <row r="342">
      <c r="A342" s="31" t="s">
        <v>39</v>
      </c>
      <c r="B342" s="220">
        <v>46084.0</v>
      </c>
      <c r="C342" s="35" t="s">
        <v>51</v>
      </c>
      <c r="D342" s="9" t="s">
        <v>1290</v>
      </c>
      <c r="E342" s="247" t="s">
        <v>1291</v>
      </c>
      <c r="F342" s="221" t="s">
        <v>89</v>
      </c>
      <c r="G342" s="67" t="s">
        <v>157</v>
      </c>
      <c r="H342" s="50" t="s">
        <v>22</v>
      </c>
      <c r="I342" s="217" t="s">
        <v>527</v>
      </c>
      <c r="J342" s="218">
        <v>46084.0</v>
      </c>
      <c r="K342" s="219"/>
      <c r="L342" s="219"/>
      <c r="M342" s="172" t="s">
        <v>1292</v>
      </c>
    </row>
    <row r="343">
      <c r="A343" s="31" t="s">
        <v>39</v>
      </c>
      <c r="B343" s="220">
        <v>46084.0</v>
      </c>
      <c r="C343" s="35" t="s">
        <v>51</v>
      </c>
      <c r="D343" s="9" t="s">
        <v>1293</v>
      </c>
      <c r="E343" s="11" t="s">
        <v>1294</v>
      </c>
      <c r="F343" s="221"/>
      <c r="G343" s="176" t="s">
        <v>1295</v>
      </c>
      <c r="H343" s="41"/>
      <c r="I343" s="217" t="s">
        <v>89</v>
      </c>
      <c r="J343" s="218">
        <v>46084.0</v>
      </c>
      <c r="K343" s="220">
        <v>46085.0</v>
      </c>
      <c r="L343" s="223">
        <v>2.0</v>
      </c>
      <c r="M343" s="172" t="s">
        <v>1296</v>
      </c>
    </row>
    <row r="344">
      <c r="A344" s="31" t="s">
        <v>39</v>
      </c>
      <c r="B344" s="220">
        <v>46084.0</v>
      </c>
      <c r="C344" s="35" t="s">
        <v>51</v>
      </c>
      <c r="D344" s="9" t="s">
        <v>1297</v>
      </c>
      <c r="E344" s="11" t="s">
        <v>1298</v>
      </c>
      <c r="F344" s="221" t="s">
        <v>83</v>
      </c>
      <c r="G344" s="214"/>
      <c r="H344" s="41"/>
      <c r="I344" s="217" t="s">
        <v>83</v>
      </c>
      <c r="J344" s="218">
        <v>46084.0</v>
      </c>
      <c r="K344" s="220">
        <v>46102.0</v>
      </c>
      <c r="L344" s="223">
        <v>2.0</v>
      </c>
      <c r="M344" s="172" t="s">
        <v>1299</v>
      </c>
    </row>
    <row r="345">
      <c r="A345" s="31" t="s">
        <v>1014</v>
      </c>
      <c r="B345" s="220">
        <v>46085.0</v>
      </c>
      <c r="C345" s="35" t="s">
        <v>51</v>
      </c>
      <c r="D345" s="9" t="s">
        <v>1300</v>
      </c>
      <c r="E345" s="248" t="s">
        <v>1301</v>
      </c>
      <c r="F345" s="221"/>
      <c r="G345" s="214"/>
      <c r="H345" s="50" t="s">
        <v>22</v>
      </c>
      <c r="I345" s="217" t="s">
        <v>89</v>
      </c>
      <c r="J345" s="218">
        <v>46086.0</v>
      </c>
      <c r="K345" s="219"/>
      <c r="L345" s="219"/>
      <c r="M345" s="241"/>
    </row>
    <row r="346">
      <c r="A346" s="31" t="s">
        <v>1014</v>
      </c>
      <c r="B346" s="220">
        <v>46085.0</v>
      </c>
      <c r="C346" s="35" t="s">
        <v>51</v>
      </c>
      <c r="D346" s="9" t="s">
        <v>1302</v>
      </c>
      <c r="E346" s="248" t="s">
        <v>1303</v>
      </c>
      <c r="F346" s="221"/>
      <c r="G346" s="214"/>
      <c r="H346" s="50" t="s">
        <v>22</v>
      </c>
      <c r="I346" s="217" t="s">
        <v>89</v>
      </c>
      <c r="J346" s="218">
        <v>46086.0</v>
      </c>
      <c r="K346" s="219"/>
      <c r="L346" s="219"/>
      <c r="M346" s="241"/>
    </row>
    <row r="347">
      <c r="A347" s="31" t="s">
        <v>76</v>
      </c>
      <c r="B347" s="220">
        <v>46086.0</v>
      </c>
      <c r="C347" s="35" t="s">
        <v>51</v>
      </c>
      <c r="D347" s="9" t="s">
        <v>234</v>
      </c>
      <c r="E347" s="232" t="s">
        <v>1304</v>
      </c>
      <c r="F347" s="221" t="s">
        <v>83</v>
      </c>
      <c r="G347" s="176" t="s">
        <v>1305</v>
      </c>
      <c r="H347" s="50" t="s">
        <v>22</v>
      </c>
      <c r="I347" s="217" t="s">
        <v>89</v>
      </c>
      <c r="J347" s="218">
        <v>46086.0</v>
      </c>
      <c r="K347" s="219"/>
      <c r="L347" s="219"/>
      <c r="M347" s="172" t="s">
        <v>1306</v>
      </c>
    </row>
    <row r="348">
      <c r="A348" s="31" t="s">
        <v>39</v>
      </c>
      <c r="B348" s="220">
        <v>46086.0</v>
      </c>
      <c r="C348" s="35" t="s">
        <v>51</v>
      </c>
      <c r="D348" s="9" t="s">
        <v>1307</v>
      </c>
      <c r="E348" s="11" t="s">
        <v>1308</v>
      </c>
      <c r="F348" s="221" t="s">
        <v>83</v>
      </c>
      <c r="G348" s="214"/>
      <c r="H348" s="41"/>
      <c r="I348" s="217" t="s">
        <v>89</v>
      </c>
      <c r="J348" s="218">
        <v>46086.0</v>
      </c>
      <c r="K348" s="220">
        <v>46098.0</v>
      </c>
      <c r="L348" s="223">
        <v>1.0</v>
      </c>
      <c r="M348" s="172" t="s">
        <v>1309</v>
      </c>
    </row>
    <row r="349">
      <c r="A349" s="31" t="s">
        <v>39</v>
      </c>
      <c r="B349" s="220">
        <v>46086.0</v>
      </c>
      <c r="C349" s="35" t="s">
        <v>51</v>
      </c>
      <c r="D349" s="9" t="s">
        <v>1310</v>
      </c>
      <c r="E349" s="249" t="s">
        <v>1311</v>
      </c>
      <c r="F349" s="221" t="s">
        <v>89</v>
      </c>
      <c r="G349" s="176" t="s">
        <v>1312</v>
      </c>
      <c r="H349" s="41"/>
      <c r="I349" s="217" t="s">
        <v>89</v>
      </c>
      <c r="J349" s="218">
        <v>46086.0</v>
      </c>
      <c r="K349" s="219"/>
      <c r="L349" s="219"/>
      <c r="M349" s="172" t="s">
        <v>1313</v>
      </c>
    </row>
    <row r="350">
      <c r="A350" s="31" t="s">
        <v>76</v>
      </c>
      <c r="B350" s="220">
        <v>46088.0</v>
      </c>
      <c r="C350" s="35" t="s">
        <v>51</v>
      </c>
      <c r="D350" s="9" t="s">
        <v>1314</v>
      </c>
      <c r="E350" s="11" t="s">
        <v>1315</v>
      </c>
      <c r="F350" s="221" t="s">
        <v>83</v>
      </c>
      <c r="G350" s="176" t="s">
        <v>1316</v>
      </c>
      <c r="H350" s="50" t="s">
        <v>22</v>
      </c>
      <c r="I350" s="217" t="s">
        <v>83</v>
      </c>
      <c r="J350" s="218">
        <v>46106.0</v>
      </c>
      <c r="K350" s="219"/>
      <c r="L350" s="219"/>
      <c r="M350" s="172" t="s">
        <v>1317</v>
      </c>
    </row>
    <row r="351">
      <c r="A351" s="31" t="s">
        <v>39</v>
      </c>
      <c r="B351" s="220">
        <v>46088.0</v>
      </c>
      <c r="C351" s="35" t="s">
        <v>51</v>
      </c>
      <c r="D351" s="9" t="s">
        <v>1318</v>
      </c>
      <c r="E351" s="11" t="s">
        <v>1319</v>
      </c>
      <c r="F351" s="221" t="s">
        <v>89</v>
      </c>
      <c r="G351" s="176" t="s">
        <v>1320</v>
      </c>
      <c r="H351" s="50" t="s">
        <v>22</v>
      </c>
      <c r="I351" s="217" t="s">
        <v>89</v>
      </c>
      <c r="J351" s="218">
        <v>46091.0</v>
      </c>
      <c r="K351" s="219"/>
      <c r="L351" s="219"/>
      <c r="M351" s="172" t="s">
        <v>1321</v>
      </c>
    </row>
    <row r="352">
      <c r="A352" s="31" t="s">
        <v>120</v>
      </c>
      <c r="B352" s="220">
        <v>46091.0</v>
      </c>
      <c r="C352" s="35" t="s">
        <v>51</v>
      </c>
      <c r="D352" s="9" t="s">
        <v>1322</v>
      </c>
      <c r="E352" s="11" t="s">
        <v>1323</v>
      </c>
      <c r="F352" s="221" t="s">
        <v>83</v>
      </c>
      <c r="G352" s="234" t="s">
        <v>1324</v>
      </c>
      <c r="H352" s="41"/>
      <c r="I352" s="217" t="s">
        <v>89</v>
      </c>
      <c r="J352" s="218">
        <v>46091.0</v>
      </c>
      <c r="K352" s="219"/>
      <c r="L352" s="219"/>
      <c r="M352" s="172" t="s">
        <v>1325</v>
      </c>
    </row>
    <row r="353">
      <c r="A353" s="31" t="s">
        <v>120</v>
      </c>
      <c r="B353" s="220">
        <v>46091.0</v>
      </c>
      <c r="C353" s="35" t="s">
        <v>51</v>
      </c>
      <c r="D353" s="9" t="s">
        <v>1326</v>
      </c>
      <c r="E353" s="11" t="s">
        <v>1327</v>
      </c>
      <c r="F353" s="221" t="s">
        <v>89</v>
      </c>
      <c r="G353" s="176" t="s">
        <v>1328</v>
      </c>
      <c r="H353" s="50" t="s">
        <v>22</v>
      </c>
      <c r="I353" s="217" t="s">
        <v>89</v>
      </c>
      <c r="J353" s="218">
        <v>46091.0</v>
      </c>
      <c r="K353" s="219"/>
      <c r="L353" s="219"/>
      <c r="M353" s="172" t="s">
        <v>1329</v>
      </c>
    </row>
    <row r="354">
      <c r="A354" s="31" t="s">
        <v>76</v>
      </c>
      <c r="B354" s="220">
        <v>46091.0</v>
      </c>
      <c r="C354" s="35" t="s">
        <v>51</v>
      </c>
      <c r="D354" s="9" t="s">
        <v>1330</v>
      </c>
      <c r="E354" s="11" t="s">
        <v>1331</v>
      </c>
      <c r="F354" s="221" t="s">
        <v>83</v>
      </c>
      <c r="G354" s="176" t="s">
        <v>1332</v>
      </c>
      <c r="H354" s="41"/>
      <c r="I354" s="217" t="s">
        <v>89</v>
      </c>
      <c r="J354" s="218">
        <v>46094.0</v>
      </c>
      <c r="K354" s="219"/>
      <c r="L354" s="219"/>
      <c r="M354" s="172" t="s">
        <v>1333</v>
      </c>
    </row>
    <row r="355">
      <c r="A355" s="31" t="s">
        <v>39</v>
      </c>
      <c r="B355" s="220">
        <v>46091.0</v>
      </c>
      <c r="C355" s="35" t="s">
        <v>51</v>
      </c>
      <c r="D355" s="9" t="s">
        <v>1334</v>
      </c>
      <c r="E355" s="11" t="s">
        <v>1335</v>
      </c>
      <c r="F355" s="221" t="s">
        <v>83</v>
      </c>
      <c r="G355" s="192" t="s">
        <v>1336</v>
      </c>
      <c r="H355" s="41"/>
      <c r="I355" s="217" t="s">
        <v>89</v>
      </c>
      <c r="J355" s="218">
        <v>46092.0</v>
      </c>
      <c r="K355" s="220">
        <v>46100.0</v>
      </c>
      <c r="L355" s="223">
        <v>2.0</v>
      </c>
      <c r="M355" s="172" t="s">
        <v>1337</v>
      </c>
    </row>
    <row r="356">
      <c r="A356" s="31" t="s">
        <v>39</v>
      </c>
      <c r="B356" s="220">
        <v>46091.0</v>
      </c>
      <c r="C356" s="35" t="s">
        <v>51</v>
      </c>
      <c r="D356" s="9" t="s">
        <v>344</v>
      </c>
      <c r="E356" s="11" t="s">
        <v>1338</v>
      </c>
      <c r="F356" s="221" t="s">
        <v>83</v>
      </c>
      <c r="G356" s="214"/>
      <c r="H356" s="41"/>
      <c r="I356" s="217" t="s">
        <v>89</v>
      </c>
      <c r="J356" s="218">
        <v>46094.0</v>
      </c>
      <c r="K356" s="219"/>
      <c r="L356" s="219"/>
      <c r="M356" s="172" t="s">
        <v>1339</v>
      </c>
    </row>
    <row r="357">
      <c r="A357" s="31" t="s">
        <v>120</v>
      </c>
      <c r="B357" s="220">
        <v>46092.0</v>
      </c>
      <c r="C357" s="35" t="s">
        <v>51</v>
      </c>
      <c r="D357" s="9" t="s">
        <v>1340</v>
      </c>
      <c r="E357" s="11" t="s">
        <v>1341</v>
      </c>
      <c r="F357" s="221" t="s">
        <v>89</v>
      </c>
      <c r="G357" s="176" t="s">
        <v>1342</v>
      </c>
      <c r="H357" s="41"/>
      <c r="I357" s="217" t="s">
        <v>89</v>
      </c>
      <c r="J357" s="218">
        <v>46093.0</v>
      </c>
      <c r="K357" s="219"/>
      <c r="L357" s="219"/>
      <c r="M357" s="172" t="s">
        <v>1343</v>
      </c>
    </row>
    <row r="358">
      <c r="A358" s="31" t="s">
        <v>120</v>
      </c>
      <c r="B358" s="220">
        <v>46092.0</v>
      </c>
      <c r="C358" s="35" t="s">
        <v>51</v>
      </c>
      <c r="D358" s="9" t="s">
        <v>473</v>
      </c>
      <c r="E358" s="11" t="s">
        <v>1344</v>
      </c>
      <c r="F358" s="221" t="s">
        <v>89</v>
      </c>
      <c r="G358" s="176" t="s">
        <v>1345</v>
      </c>
      <c r="H358" s="50" t="s">
        <v>22</v>
      </c>
      <c r="I358" s="217" t="s">
        <v>89</v>
      </c>
      <c r="J358" s="218">
        <v>46093.0</v>
      </c>
      <c r="K358" s="219"/>
      <c r="L358" s="219"/>
      <c r="M358" s="172" t="s">
        <v>1346</v>
      </c>
    </row>
    <row r="359">
      <c r="A359" s="31" t="s">
        <v>76</v>
      </c>
      <c r="B359" s="220">
        <v>46092.0</v>
      </c>
      <c r="C359" s="35" t="s">
        <v>51</v>
      </c>
      <c r="D359" s="9" t="s">
        <v>1347</v>
      </c>
      <c r="E359" s="11" t="s">
        <v>1348</v>
      </c>
      <c r="F359" s="221" t="s">
        <v>83</v>
      </c>
      <c r="G359" s="176" t="s">
        <v>1349</v>
      </c>
      <c r="H359" s="50" t="s">
        <v>22</v>
      </c>
      <c r="I359" s="217" t="s">
        <v>89</v>
      </c>
      <c r="J359" s="218">
        <v>46093.0</v>
      </c>
      <c r="K359" s="219"/>
      <c r="L359" s="219"/>
      <c r="M359" s="172" t="s">
        <v>1350</v>
      </c>
    </row>
    <row r="360">
      <c r="A360" s="31" t="s">
        <v>76</v>
      </c>
      <c r="B360" s="220">
        <v>46092.0</v>
      </c>
      <c r="C360" s="35" t="s">
        <v>51</v>
      </c>
      <c r="D360" s="9" t="s">
        <v>1351</v>
      </c>
      <c r="E360" s="11" t="s">
        <v>1352</v>
      </c>
      <c r="F360" s="221" t="s">
        <v>89</v>
      </c>
      <c r="G360" s="176" t="s">
        <v>1353</v>
      </c>
      <c r="H360" s="41"/>
      <c r="I360" s="217" t="s">
        <v>89</v>
      </c>
      <c r="J360" s="218">
        <v>46093.0</v>
      </c>
      <c r="K360" s="219"/>
      <c r="L360" s="219"/>
      <c r="M360" s="172" t="s">
        <v>1354</v>
      </c>
    </row>
    <row r="361">
      <c r="A361" s="31" t="s">
        <v>120</v>
      </c>
      <c r="B361" s="220">
        <v>46093.0</v>
      </c>
      <c r="C361" s="35" t="s">
        <v>51</v>
      </c>
      <c r="D361" s="9" t="s">
        <v>1355</v>
      </c>
      <c r="E361" s="11" t="s">
        <v>1356</v>
      </c>
      <c r="F361" s="221" t="s">
        <v>83</v>
      </c>
      <c r="G361" s="176" t="s">
        <v>1357</v>
      </c>
      <c r="H361" s="41"/>
      <c r="I361" s="217" t="s">
        <v>89</v>
      </c>
      <c r="J361" s="218">
        <v>46093.0</v>
      </c>
      <c r="K361" s="219"/>
      <c r="L361" s="219"/>
      <c r="M361" s="172" t="s">
        <v>1358</v>
      </c>
    </row>
    <row r="362">
      <c r="A362" s="31" t="s">
        <v>120</v>
      </c>
      <c r="B362" s="220">
        <v>46093.0</v>
      </c>
      <c r="C362" s="35" t="s">
        <v>51</v>
      </c>
      <c r="D362" s="9" t="s">
        <v>770</v>
      </c>
      <c r="E362" s="11" t="s">
        <v>771</v>
      </c>
      <c r="F362" s="221" t="s">
        <v>89</v>
      </c>
      <c r="G362" s="250" t="s">
        <v>1359</v>
      </c>
      <c r="H362" s="41"/>
      <c r="I362" s="217" t="s">
        <v>89</v>
      </c>
      <c r="J362" s="218">
        <v>46093.0</v>
      </c>
      <c r="K362" s="219"/>
      <c r="L362" s="219"/>
      <c r="M362" s="172" t="s">
        <v>1360</v>
      </c>
    </row>
    <row r="363">
      <c r="A363" s="31" t="s">
        <v>76</v>
      </c>
      <c r="B363" s="220">
        <v>46093.0</v>
      </c>
      <c r="C363" s="35" t="s">
        <v>51</v>
      </c>
      <c r="D363" s="9" t="s">
        <v>1361</v>
      </c>
      <c r="E363" s="11" t="s">
        <v>1362</v>
      </c>
      <c r="F363" s="221" t="s">
        <v>83</v>
      </c>
      <c r="G363" s="234" t="s">
        <v>1363</v>
      </c>
      <c r="H363" s="41"/>
      <c r="I363" s="217" t="s">
        <v>89</v>
      </c>
      <c r="J363" s="218">
        <v>46093.0</v>
      </c>
      <c r="K363" s="219"/>
      <c r="L363" s="251">
        <v>46056.0</v>
      </c>
      <c r="M363" s="172" t="s">
        <v>1364</v>
      </c>
    </row>
    <row r="364">
      <c r="A364" s="31" t="s">
        <v>39</v>
      </c>
      <c r="B364" s="220">
        <v>46094.0</v>
      </c>
      <c r="C364" s="35" t="s">
        <v>51</v>
      </c>
      <c r="D364" s="9" t="s">
        <v>1365</v>
      </c>
      <c r="E364" s="11" t="s">
        <v>1366</v>
      </c>
      <c r="F364" s="221"/>
      <c r="G364" s="176" t="s">
        <v>1367</v>
      </c>
      <c r="H364" s="41"/>
      <c r="I364" s="217" t="s">
        <v>89</v>
      </c>
      <c r="J364" s="218">
        <v>46140.0</v>
      </c>
      <c r="K364" s="220">
        <v>46179.0</v>
      </c>
      <c r="L364" s="223">
        <v>4.0</v>
      </c>
      <c r="M364" s="172" t="s">
        <v>1368</v>
      </c>
    </row>
    <row r="365">
      <c r="A365" s="31" t="s">
        <v>120</v>
      </c>
      <c r="B365" s="220">
        <v>46094.0</v>
      </c>
      <c r="C365" s="35" t="s">
        <v>51</v>
      </c>
      <c r="D365" s="9" t="s">
        <v>657</v>
      </c>
      <c r="E365" s="232" t="s">
        <v>1369</v>
      </c>
      <c r="F365" s="221"/>
      <c r="G365" s="37" t="s">
        <v>1370</v>
      </c>
      <c r="H365" s="41"/>
      <c r="I365" s="217" t="s">
        <v>83</v>
      </c>
      <c r="J365" s="218">
        <v>46094.0</v>
      </c>
      <c r="K365" s="219"/>
      <c r="L365" s="219"/>
      <c r="M365" s="172" t="s">
        <v>1371</v>
      </c>
    </row>
    <row r="366">
      <c r="A366" s="31" t="s">
        <v>120</v>
      </c>
      <c r="B366" s="220">
        <v>46094.0</v>
      </c>
      <c r="C366" s="35" t="s">
        <v>51</v>
      </c>
      <c r="D366" s="9" t="s">
        <v>1372</v>
      </c>
      <c r="E366" s="11" t="s">
        <v>1373</v>
      </c>
      <c r="F366" s="221"/>
      <c r="G366" s="176" t="s">
        <v>1374</v>
      </c>
      <c r="H366" s="41"/>
      <c r="I366" s="217" t="s">
        <v>83</v>
      </c>
      <c r="J366" s="218">
        <v>46094.0</v>
      </c>
      <c r="K366" s="219"/>
      <c r="L366" s="219"/>
      <c r="M366" s="172" t="s">
        <v>1375</v>
      </c>
    </row>
    <row r="367">
      <c r="A367" s="31" t="s">
        <v>120</v>
      </c>
      <c r="B367" s="220">
        <v>46094.0</v>
      </c>
      <c r="C367" s="35" t="s">
        <v>51</v>
      </c>
      <c r="D367" s="9" t="s">
        <v>1376</v>
      </c>
      <c r="E367" s="248" t="s">
        <v>1377</v>
      </c>
      <c r="F367" s="221"/>
      <c r="G367" s="252" t="s">
        <v>1378</v>
      </c>
      <c r="H367" s="41"/>
      <c r="I367" s="217" t="s">
        <v>83</v>
      </c>
      <c r="J367" s="218">
        <v>46095.0</v>
      </c>
      <c r="K367" s="219"/>
      <c r="L367" s="219"/>
      <c r="M367" s="172" t="s">
        <v>1379</v>
      </c>
    </row>
    <row r="368">
      <c r="A368" s="31" t="s">
        <v>120</v>
      </c>
      <c r="B368" s="220">
        <v>46094.0</v>
      </c>
      <c r="C368" s="35" t="s">
        <v>51</v>
      </c>
      <c r="D368" s="9" t="s">
        <v>1380</v>
      </c>
      <c r="E368" s="11" t="s">
        <v>1381</v>
      </c>
      <c r="F368" s="221"/>
      <c r="G368" s="192" t="s">
        <v>1382</v>
      </c>
      <c r="H368" s="41"/>
      <c r="I368" s="217" t="s">
        <v>83</v>
      </c>
      <c r="J368" s="218">
        <v>46095.0</v>
      </c>
      <c r="K368" s="219"/>
      <c r="L368" s="219"/>
      <c r="M368" s="172" t="s">
        <v>1383</v>
      </c>
    </row>
    <row r="369">
      <c r="A369" s="31" t="s">
        <v>120</v>
      </c>
      <c r="B369" s="220">
        <v>46094.0</v>
      </c>
      <c r="C369" s="35" t="s">
        <v>51</v>
      </c>
      <c r="D369" s="9" t="s">
        <v>1384</v>
      </c>
      <c r="E369" s="11" t="s">
        <v>1385</v>
      </c>
      <c r="F369" s="221"/>
      <c r="G369" s="239" t="s">
        <v>1386</v>
      </c>
      <c r="H369" s="41"/>
      <c r="I369" s="217" t="s">
        <v>83</v>
      </c>
      <c r="J369" s="218">
        <v>46094.0</v>
      </c>
      <c r="K369" s="219"/>
      <c r="L369" s="219"/>
      <c r="M369" s="172" t="s">
        <v>1387</v>
      </c>
    </row>
    <row r="370">
      <c r="A370" s="31" t="s">
        <v>76</v>
      </c>
      <c r="B370" s="220">
        <v>46094.0</v>
      </c>
      <c r="C370" s="35" t="s">
        <v>51</v>
      </c>
      <c r="D370" s="9" t="s">
        <v>1388</v>
      </c>
      <c r="E370" s="11" t="s">
        <v>1389</v>
      </c>
      <c r="F370" s="221"/>
      <c r="G370" s="253" t="s">
        <v>1390</v>
      </c>
      <c r="H370" s="41"/>
      <c r="I370" s="217" t="s">
        <v>83</v>
      </c>
      <c r="J370" s="218">
        <v>46114.0</v>
      </c>
      <c r="K370" s="219"/>
      <c r="L370" s="219"/>
      <c r="M370" s="172" t="s">
        <v>1391</v>
      </c>
    </row>
    <row r="371">
      <c r="A371" s="31" t="s">
        <v>76</v>
      </c>
      <c r="B371" s="220">
        <v>46094.0</v>
      </c>
      <c r="C371" s="35" t="s">
        <v>51</v>
      </c>
      <c r="D371" s="9" t="s">
        <v>1392</v>
      </c>
      <c r="E371" s="11" t="s">
        <v>1393</v>
      </c>
      <c r="F371" s="221"/>
      <c r="G371" s="176" t="s">
        <v>1394</v>
      </c>
      <c r="H371" s="41"/>
      <c r="I371" s="217" t="s">
        <v>83</v>
      </c>
      <c r="J371" s="218">
        <v>46094.0</v>
      </c>
      <c r="K371" s="219"/>
      <c r="L371" s="219"/>
      <c r="M371" s="172" t="s">
        <v>1395</v>
      </c>
    </row>
    <row r="372">
      <c r="A372" s="31" t="s">
        <v>76</v>
      </c>
      <c r="B372" s="220">
        <v>46094.0</v>
      </c>
      <c r="C372" s="35" t="s">
        <v>51</v>
      </c>
      <c r="D372" s="9" t="s">
        <v>1396</v>
      </c>
      <c r="E372" s="11" t="s">
        <v>1397</v>
      </c>
      <c r="F372" s="221"/>
      <c r="G372" s="254" t="s">
        <v>1398</v>
      </c>
      <c r="H372" s="41"/>
      <c r="I372" s="217" t="s">
        <v>89</v>
      </c>
      <c r="J372" s="218">
        <v>46094.0</v>
      </c>
      <c r="K372" s="219"/>
      <c r="L372" s="219"/>
      <c r="M372" s="172" t="s">
        <v>1399</v>
      </c>
    </row>
    <row r="373">
      <c r="A373" s="31" t="s">
        <v>76</v>
      </c>
      <c r="B373" s="220">
        <v>46094.0</v>
      </c>
      <c r="C373" s="35" t="s">
        <v>51</v>
      </c>
      <c r="D373" s="9" t="s">
        <v>1400</v>
      </c>
      <c r="E373" s="11" t="s">
        <v>1401</v>
      </c>
      <c r="F373" s="221"/>
      <c r="G373" s="176" t="s">
        <v>1402</v>
      </c>
      <c r="H373" s="41"/>
      <c r="I373" s="217" t="s">
        <v>83</v>
      </c>
      <c r="J373" s="218">
        <v>46123.0</v>
      </c>
      <c r="K373" s="219"/>
      <c r="L373" s="219"/>
      <c r="M373" s="172" t="s">
        <v>1403</v>
      </c>
    </row>
    <row r="374">
      <c r="A374" s="31" t="s">
        <v>76</v>
      </c>
      <c r="B374" s="220">
        <v>46094.0</v>
      </c>
      <c r="C374" s="35" t="s">
        <v>51</v>
      </c>
      <c r="D374" s="9" t="s">
        <v>1404</v>
      </c>
      <c r="E374" s="248" t="s">
        <v>1405</v>
      </c>
      <c r="F374" s="221"/>
      <c r="G374" s="253" t="s">
        <v>1406</v>
      </c>
      <c r="H374" s="41"/>
      <c r="I374" s="217" t="s">
        <v>83</v>
      </c>
      <c r="J374" s="218">
        <v>46123.0</v>
      </c>
      <c r="K374" s="219"/>
      <c r="L374" s="219"/>
      <c r="M374" s="172" t="s">
        <v>1407</v>
      </c>
    </row>
    <row r="375">
      <c r="A375" s="31" t="s">
        <v>76</v>
      </c>
      <c r="B375" s="220">
        <v>46094.0</v>
      </c>
      <c r="C375" s="35" t="s">
        <v>51</v>
      </c>
      <c r="D375" s="9" t="s">
        <v>1408</v>
      </c>
      <c r="E375" s="255" t="s">
        <v>1409</v>
      </c>
      <c r="F375" s="221"/>
      <c r="G375" s="256" t="s">
        <v>1410</v>
      </c>
      <c r="H375" s="41"/>
      <c r="I375" s="217" t="s">
        <v>83</v>
      </c>
      <c r="J375" s="218">
        <v>46123.0</v>
      </c>
      <c r="K375" s="219"/>
      <c r="L375" s="219"/>
      <c r="M375" s="172" t="s">
        <v>1411</v>
      </c>
    </row>
    <row r="376">
      <c r="A376" s="31" t="s">
        <v>76</v>
      </c>
      <c r="B376" s="220">
        <v>46094.0</v>
      </c>
      <c r="C376" s="35" t="s">
        <v>51</v>
      </c>
      <c r="D376" s="9" t="s">
        <v>1412</v>
      </c>
      <c r="E376" s="248" t="s">
        <v>1413</v>
      </c>
      <c r="F376" s="221"/>
      <c r="G376" s="176">
        <v>2.0</v>
      </c>
      <c r="H376" s="41"/>
      <c r="I376" s="217" t="s">
        <v>83</v>
      </c>
      <c r="J376" s="218">
        <v>46123.0</v>
      </c>
      <c r="K376" s="219"/>
      <c r="L376" s="219"/>
      <c r="M376" s="172" t="s">
        <v>1414</v>
      </c>
    </row>
    <row r="377">
      <c r="A377" s="31" t="s">
        <v>39</v>
      </c>
      <c r="B377" s="220">
        <v>46094.0</v>
      </c>
      <c r="C377" s="35" t="s">
        <v>51</v>
      </c>
      <c r="D377" s="9" t="s">
        <v>1415</v>
      </c>
      <c r="E377" s="11" t="s">
        <v>1416</v>
      </c>
      <c r="F377" s="221"/>
      <c r="G377" s="257" t="s">
        <v>1417</v>
      </c>
      <c r="H377" s="41"/>
      <c r="I377" s="217" t="s">
        <v>83</v>
      </c>
      <c r="J377" s="218">
        <v>46123.0</v>
      </c>
      <c r="K377" s="220"/>
      <c r="L377" s="223">
        <v>3.0</v>
      </c>
      <c r="M377" s="172" t="s">
        <v>1418</v>
      </c>
    </row>
    <row r="378">
      <c r="A378" s="31" t="s">
        <v>76</v>
      </c>
      <c r="B378" s="220">
        <v>46094.0</v>
      </c>
      <c r="C378" s="35" t="s">
        <v>51</v>
      </c>
      <c r="D378" s="9" t="s">
        <v>1419</v>
      </c>
      <c r="E378" s="11" t="s">
        <v>1420</v>
      </c>
      <c r="F378" s="221"/>
      <c r="G378" s="192" t="s">
        <v>1421</v>
      </c>
      <c r="H378" s="41"/>
      <c r="I378" s="217" t="s">
        <v>83</v>
      </c>
      <c r="J378" s="218">
        <v>46123.0</v>
      </c>
      <c r="K378" s="219"/>
      <c r="L378" s="219"/>
      <c r="M378" s="172" t="s">
        <v>1422</v>
      </c>
    </row>
    <row r="379">
      <c r="A379" s="31" t="s">
        <v>76</v>
      </c>
      <c r="B379" s="220">
        <v>46094.0</v>
      </c>
      <c r="C379" s="35" t="s">
        <v>51</v>
      </c>
      <c r="D379" s="9" t="s">
        <v>1423</v>
      </c>
      <c r="E379" s="11" t="s">
        <v>1424</v>
      </c>
      <c r="F379" s="221"/>
      <c r="G379" s="176" t="s">
        <v>1425</v>
      </c>
      <c r="H379" s="41"/>
      <c r="I379" s="217" t="s">
        <v>89</v>
      </c>
      <c r="J379" s="218">
        <v>46094.0</v>
      </c>
      <c r="K379" s="219"/>
      <c r="L379" s="219"/>
      <c r="M379" s="172" t="s">
        <v>1426</v>
      </c>
    </row>
    <row r="380">
      <c r="A380" s="31" t="s">
        <v>76</v>
      </c>
      <c r="B380" s="220">
        <v>46094.0</v>
      </c>
      <c r="C380" s="35" t="s">
        <v>51</v>
      </c>
      <c r="D380" s="9" t="s">
        <v>1427</v>
      </c>
      <c r="E380" s="11" t="s">
        <v>1428</v>
      </c>
      <c r="F380" s="221" t="s">
        <v>83</v>
      </c>
      <c r="G380" s="176" t="s">
        <v>1429</v>
      </c>
      <c r="H380" s="41"/>
      <c r="I380" s="217" t="s">
        <v>83</v>
      </c>
      <c r="J380" s="218">
        <v>46123.0</v>
      </c>
      <c r="K380" s="219"/>
      <c r="L380" s="223">
        <v>2.0</v>
      </c>
      <c r="M380" s="172" t="s">
        <v>1430</v>
      </c>
    </row>
    <row r="381">
      <c r="A381" s="31" t="s">
        <v>811</v>
      </c>
      <c r="B381" s="220">
        <v>46094.0</v>
      </c>
      <c r="C381" s="35" t="s">
        <v>51</v>
      </c>
      <c r="D381" s="9" t="s">
        <v>1431</v>
      </c>
      <c r="E381" s="11" t="s">
        <v>1432</v>
      </c>
      <c r="F381" s="221" t="s">
        <v>83</v>
      </c>
      <c r="G381" s="176" t="s">
        <v>1433</v>
      </c>
      <c r="H381" s="41"/>
      <c r="I381" s="217" t="s">
        <v>83</v>
      </c>
      <c r="J381" s="218">
        <v>46123.0</v>
      </c>
      <c r="K381" s="219"/>
      <c r="L381" s="219"/>
      <c r="M381" s="172" t="s">
        <v>183</v>
      </c>
    </row>
    <row r="382">
      <c r="A382" s="31" t="s">
        <v>811</v>
      </c>
      <c r="B382" s="220">
        <v>46094.0</v>
      </c>
      <c r="C382" s="35" t="s">
        <v>51</v>
      </c>
      <c r="D382" s="9" t="s">
        <v>1434</v>
      </c>
      <c r="E382" s="11" t="s">
        <v>1435</v>
      </c>
      <c r="F382" s="221"/>
      <c r="G382" s="176" t="s">
        <v>1436</v>
      </c>
      <c r="H382" s="41"/>
      <c r="I382" s="217" t="s">
        <v>83</v>
      </c>
      <c r="J382" s="218">
        <v>46123.0</v>
      </c>
      <c r="K382" s="219"/>
      <c r="L382" s="219"/>
      <c r="M382" s="172" t="s">
        <v>1437</v>
      </c>
    </row>
    <row r="383">
      <c r="A383" s="31" t="s">
        <v>39</v>
      </c>
      <c r="B383" s="220">
        <v>46094.0</v>
      </c>
      <c r="C383" s="35" t="s">
        <v>51</v>
      </c>
      <c r="D383" s="9" t="s">
        <v>1438</v>
      </c>
      <c r="E383" s="11" t="s">
        <v>1439</v>
      </c>
      <c r="F383" s="221"/>
      <c r="G383" s="192" t="s">
        <v>1440</v>
      </c>
      <c r="H383" s="41"/>
      <c r="I383" s="217" t="s">
        <v>83</v>
      </c>
      <c r="J383" s="218">
        <v>46123.0</v>
      </c>
      <c r="K383" s="219"/>
      <c r="L383" s="219"/>
      <c r="M383" s="172" t="s">
        <v>1441</v>
      </c>
    </row>
    <row r="384">
      <c r="A384" s="31" t="s">
        <v>120</v>
      </c>
      <c r="B384" s="220">
        <v>46094.0</v>
      </c>
      <c r="C384" s="35" t="s">
        <v>51</v>
      </c>
      <c r="D384" s="9" t="s">
        <v>1442</v>
      </c>
      <c r="E384" s="11" t="s">
        <v>1443</v>
      </c>
      <c r="F384" s="221"/>
      <c r="G384" s="257" t="s">
        <v>1444</v>
      </c>
      <c r="H384" s="41"/>
      <c r="I384" s="217" t="s">
        <v>83</v>
      </c>
      <c r="J384" s="218">
        <v>46127.0</v>
      </c>
      <c r="K384" s="219"/>
      <c r="L384" s="219"/>
      <c r="M384" s="172" t="s">
        <v>1445</v>
      </c>
    </row>
    <row r="385">
      <c r="A385" s="31" t="s">
        <v>76</v>
      </c>
      <c r="B385" s="220">
        <v>46094.0</v>
      </c>
      <c r="C385" s="35" t="s">
        <v>51</v>
      </c>
      <c r="D385" s="9" t="s">
        <v>1446</v>
      </c>
      <c r="E385" s="11" t="s">
        <v>1447</v>
      </c>
      <c r="F385" s="221"/>
      <c r="G385" s="253" t="s">
        <v>1448</v>
      </c>
      <c r="H385" s="41"/>
      <c r="I385" s="217" t="s">
        <v>89</v>
      </c>
      <c r="J385" s="218">
        <v>46129.0</v>
      </c>
      <c r="K385" s="219"/>
      <c r="L385" s="219"/>
      <c r="M385" s="172" t="s">
        <v>1449</v>
      </c>
    </row>
    <row r="386">
      <c r="A386" s="31" t="s">
        <v>39</v>
      </c>
      <c r="B386" s="220">
        <v>46094.0</v>
      </c>
      <c r="C386" s="35" t="s">
        <v>51</v>
      </c>
      <c r="D386" s="9" t="s">
        <v>657</v>
      </c>
      <c r="E386" s="11" t="s">
        <v>1450</v>
      </c>
      <c r="F386" s="221"/>
      <c r="G386" s="176" t="s">
        <v>1451</v>
      </c>
      <c r="H386" s="41"/>
      <c r="I386" s="217" t="s">
        <v>83</v>
      </c>
      <c r="J386" s="218">
        <v>46122.0</v>
      </c>
      <c r="K386" s="219"/>
      <c r="L386" s="219"/>
      <c r="M386" s="172" t="s">
        <v>1452</v>
      </c>
    </row>
    <row r="387">
      <c r="A387" s="31" t="s">
        <v>39</v>
      </c>
      <c r="B387" s="220">
        <v>46094.0</v>
      </c>
      <c r="C387" s="35" t="s">
        <v>51</v>
      </c>
      <c r="D387" s="9" t="s">
        <v>1453</v>
      </c>
      <c r="E387" s="11" t="s">
        <v>1454</v>
      </c>
      <c r="F387" s="221"/>
      <c r="G387" s="256" t="s">
        <v>1455</v>
      </c>
      <c r="H387" s="41"/>
      <c r="I387" s="217" t="s">
        <v>83</v>
      </c>
      <c r="J387" s="218">
        <v>46126.0</v>
      </c>
      <c r="K387" s="219"/>
      <c r="L387" s="219"/>
      <c r="M387" s="172" t="s">
        <v>1456</v>
      </c>
    </row>
    <row r="388">
      <c r="A388" s="31" t="s">
        <v>39</v>
      </c>
      <c r="B388" s="220">
        <v>46094.0</v>
      </c>
      <c r="C388" s="35" t="s">
        <v>51</v>
      </c>
      <c r="D388" s="9" t="s">
        <v>1457</v>
      </c>
      <c r="E388" s="11" t="s">
        <v>1458</v>
      </c>
      <c r="F388" s="221" t="s">
        <v>83</v>
      </c>
      <c r="G388" s="234" t="s">
        <v>1459</v>
      </c>
      <c r="H388" s="41"/>
      <c r="I388" s="217" t="s">
        <v>89</v>
      </c>
      <c r="J388" s="218">
        <v>46095.0</v>
      </c>
      <c r="K388" s="220">
        <v>46123.0</v>
      </c>
      <c r="L388" s="223">
        <v>3.0</v>
      </c>
      <c r="M388" s="172" t="s">
        <v>1460</v>
      </c>
    </row>
    <row r="389">
      <c r="A389" s="31" t="s">
        <v>39</v>
      </c>
      <c r="B389" s="220">
        <v>46094.0</v>
      </c>
      <c r="C389" s="35" t="s">
        <v>51</v>
      </c>
      <c r="D389" s="9" t="s">
        <v>1461</v>
      </c>
      <c r="E389" s="11" t="s">
        <v>1462</v>
      </c>
      <c r="F389" s="221" t="s">
        <v>83</v>
      </c>
      <c r="G389" s="192" t="s">
        <v>1463</v>
      </c>
      <c r="H389" s="41"/>
      <c r="I389" s="217" t="s">
        <v>83</v>
      </c>
      <c r="J389" s="218">
        <v>46094.0</v>
      </c>
      <c r="K389" s="219"/>
      <c r="L389" s="219"/>
      <c r="M389" s="172" t="s">
        <v>1464</v>
      </c>
    </row>
    <row r="390">
      <c r="A390" s="31" t="s">
        <v>39</v>
      </c>
      <c r="B390" s="220">
        <v>46094.0</v>
      </c>
      <c r="C390" s="35" t="s">
        <v>51</v>
      </c>
      <c r="D390" s="9" t="s">
        <v>1465</v>
      </c>
      <c r="E390" s="11" t="s">
        <v>1466</v>
      </c>
      <c r="F390" s="221"/>
      <c r="G390" s="239" t="s">
        <v>1467</v>
      </c>
      <c r="H390" s="41"/>
      <c r="I390" s="217" t="s">
        <v>89</v>
      </c>
      <c r="J390" s="218">
        <v>46094.0</v>
      </c>
      <c r="K390" s="220">
        <v>46095.0</v>
      </c>
      <c r="L390" s="223">
        <v>2.0</v>
      </c>
      <c r="M390" s="172" t="s">
        <v>1468</v>
      </c>
    </row>
    <row r="391">
      <c r="A391" s="31" t="s">
        <v>39</v>
      </c>
      <c r="B391" s="220">
        <v>46094.0</v>
      </c>
      <c r="C391" s="35" t="s">
        <v>51</v>
      </c>
      <c r="D391" s="9" t="s">
        <v>1469</v>
      </c>
      <c r="E391" s="11" t="s">
        <v>1470</v>
      </c>
      <c r="F391" s="221"/>
      <c r="G391" s="258" t="s">
        <v>1471</v>
      </c>
      <c r="H391" s="41"/>
      <c r="I391" s="217" t="s">
        <v>89</v>
      </c>
      <c r="J391" s="218">
        <v>46094.0</v>
      </c>
      <c r="K391" s="219"/>
      <c r="L391" s="219"/>
      <c r="M391" s="172" t="s">
        <v>1472</v>
      </c>
    </row>
    <row r="392">
      <c r="A392" s="31" t="s">
        <v>39</v>
      </c>
      <c r="B392" s="220">
        <v>46094.0</v>
      </c>
      <c r="C392" s="35" t="s">
        <v>51</v>
      </c>
      <c r="D392" s="9" t="s">
        <v>1473</v>
      </c>
      <c r="E392" s="11" t="s">
        <v>1474</v>
      </c>
      <c r="F392" s="221"/>
      <c r="G392" s="176" t="s">
        <v>1475</v>
      </c>
      <c r="H392" s="41"/>
      <c r="I392" s="217" t="s">
        <v>83</v>
      </c>
      <c r="J392" s="218">
        <v>46098.0</v>
      </c>
      <c r="K392" s="219"/>
      <c r="L392" s="219"/>
      <c r="M392" s="172" t="s">
        <v>1476</v>
      </c>
    </row>
    <row r="393">
      <c r="A393" s="31" t="s">
        <v>39</v>
      </c>
      <c r="B393" s="220">
        <v>46094.0</v>
      </c>
      <c r="C393" s="35" t="s">
        <v>51</v>
      </c>
      <c r="D393" s="9" t="s">
        <v>1477</v>
      </c>
      <c r="E393" s="11" t="s">
        <v>1478</v>
      </c>
      <c r="F393" s="221"/>
      <c r="G393" s="192" t="s">
        <v>1479</v>
      </c>
      <c r="H393" s="41"/>
      <c r="I393" s="217" t="s">
        <v>527</v>
      </c>
      <c r="J393" s="218">
        <v>46095.0</v>
      </c>
      <c r="K393" s="219"/>
      <c r="L393" s="219"/>
      <c r="M393" s="172" t="s">
        <v>1480</v>
      </c>
    </row>
    <row r="394">
      <c r="A394" s="31" t="s">
        <v>39</v>
      </c>
      <c r="B394" s="220">
        <v>46094.0</v>
      </c>
      <c r="C394" s="35" t="s">
        <v>51</v>
      </c>
      <c r="D394" s="9" t="s">
        <v>1481</v>
      </c>
      <c r="E394" s="11" t="s">
        <v>1482</v>
      </c>
      <c r="F394" s="221"/>
      <c r="G394" s="259" t="s">
        <v>1483</v>
      </c>
      <c r="H394" s="41"/>
      <c r="I394" s="217" t="s">
        <v>89</v>
      </c>
      <c r="J394" s="218">
        <v>46094.0</v>
      </c>
      <c r="K394" s="219"/>
      <c r="L394" s="219"/>
      <c r="M394" s="224" t="s">
        <v>1484</v>
      </c>
    </row>
    <row r="395">
      <c r="A395" s="31" t="s">
        <v>39</v>
      </c>
      <c r="B395" s="220">
        <v>46094.0</v>
      </c>
      <c r="C395" s="35" t="s">
        <v>51</v>
      </c>
      <c r="D395" s="9" t="s">
        <v>1485</v>
      </c>
      <c r="E395" s="11" t="s">
        <v>1486</v>
      </c>
      <c r="F395" s="221"/>
      <c r="G395" s="257" t="s">
        <v>1487</v>
      </c>
      <c r="H395" s="41"/>
      <c r="I395" s="217" t="s">
        <v>89</v>
      </c>
      <c r="J395" s="218">
        <v>46094.0</v>
      </c>
      <c r="K395" s="220">
        <v>46130.0</v>
      </c>
      <c r="L395" s="223">
        <v>5.0</v>
      </c>
      <c r="M395" s="172" t="s">
        <v>1488</v>
      </c>
    </row>
    <row r="396">
      <c r="A396" s="31" t="s">
        <v>39</v>
      </c>
      <c r="B396" s="220">
        <v>46094.0</v>
      </c>
      <c r="C396" s="35" t="s">
        <v>51</v>
      </c>
      <c r="D396" s="9" t="s">
        <v>1489</v>
      </c>
      <c r="E396" s="11" t="s">
        <v>1490</v>
      </c>
      <c r="F396" s="221"/>
      <c r="G396" s="256" t="s">
        <v>1491</v>
      </c>
      <c r="H396" s="41"/>
      <c r="I396" s="217" t="s">
        <v>89</v>
      </c>
      <c r="J396" s="218">
        <v>46094.0</v>
      </c>
      <c r="K396" s="220">
        <v>46095.0</v>
      </c>
      <c r="L396" s="219"/>
      <c r="M396" s="172" t="s">
        <v>1492</v>
      </c>
    </row>
    <row r="397">
      <c r="A397" s="31" t="s">
        <v>39</v>
      </c>
      <c r="B397" s="220">
        <v>46094.0</v>
      </c>
      <c r="C397" s="35" t="s">
        <v>51</v>
      </c>
      <c r="D397" s="9" t="s">
        <v>1493</v>
      </c>
      <c r="E397" s="11" t="s">
        <v>1494</v>
      </c>
      <c r="F397" s="221" t="s">
        <v>527</v>
      </c>
      <c r="G397" s="256" t="s">
        <v>1495</v>
      </c>
      <c r="H397" s="41"/>
      <c r="I397" s="217" t="s">
        <v>527</v>
      </c>
      <c r="J397" s="218">
        <v>46095.0</v>
      </c>
      <c r="K397" s="220">
        <v>46098.0</v>
      </c>
      <c r="L397" s="223">
        <v>1.0</v>
      </c>
      <c r="M397" s="172" t="s">
        <v>1496</v>
      </c>
    </row>
    <row r="398">
      <c r="A398" s="31" t="s">
        <v>39</v>
      </c>
      <c r="B398" s="220">
        <v>46094.0</v>
      </c>
      <c r="C398" s="35" t="s">
        <v>51</v>
      </c>
      <c r="D398" s="9" t="s">
        <v>1497</v>
      </c>
      <c r="E398" s="11" t="s">
        <v>1498</v>
      </c>
      <c r="F398" s="221" t="s">
        <v>83</v>
      </c>
      <c r="G398" s="256" t="s">
        <v>1499</v>
      </c>
      <c r="H398" s="41"/>
      <c r="I398" s="217" t="s">
        <v>527</v>
      </c>
      <c r="J398" s="218">
        <v>46095.0</v>
      </c>
      <c r="K398" s="220">
        <v>46102.0</v>
      </c>
      <c r="L398" s="223">
        <v>2.0</v>
      </c>
      <c r="M398" s="172" t="s">
        <v>1500</v>
      </c>
    </row>
    <row r="399">
      <c r="A399" s="31" t="s">
        <v>39</v>
      </c>
      <c r="B399" s="220">
        <v>46094.0</v>
      </c>
      <c r="C399" s="35" t="s">
        <v>51</v>
      </c>
      <c r="D399" s="9" t="s">
        <v>1501</v>
      </c>
      <c r="E399" s="11" t="s">
        <v>1502</v>
      </c>
      <c r="F399" s="221"/>
      <c r="G399" s="256" t="s">
        <v>1503</v>
      </c>
      <c r="H399" s="41"/>
      <c r="I399" s="217" t="s">
        <v>83</v>
      </c>
      <c r="J399" s="218">
        <v>46095.0</v>
      </c>
      <c r="K399" s="220">
        <v>46102.0</v>
      </c>
      <c r="L399" s="223">
        <v>3.0</v>
      </c>
      <c r="M399" s="172" t="s">
        <v>1504</v>
      </c>
    </row>
    <row r="400">
      <c r="A400" s="31" t="s">
        <v>39</v>
      </c>
      <c r="B400" s="220">
        <v>46094.0</v>
      </c>
      <c r="C400" s="35" t="s">
        <v>51</v>
      </c>
      <c r="D400" s="9" t="s">
        <v>1505</v>
      </c>
      <c r="E400" s="248" t="s">
        <v>1506</v>
      </c>
      <c r="F400" s="221"/>
      <c r="G400" s="256" t="s">
        <v>1507</v>
      </c>
      <c r="H400" s="41"/>
      <c r="I400" s="217" t="s">
        <v>83</v>
      </c>
      <c r="J400" s="218">
        <v>46099.0</v>
      </c>
      <c r="K400" s="220">
        <v>46100.0</v>
      </c>
      <c r="L400" s="223">
        <v>2.0</v>
      </c>
      <c r="M400" s="172" t="s">
        <v>1508</v>
      </c>
      <c r="N400" s="260"/>
      <c r="O400" s="260"/>
      <c r="P400" s="260"/>
      <c r="Q400" s="260"/>
      <c r="R400" s="260"/>
      <c r="S400" s="260"/>
      <c r="T400" s="260"/>
      <c r="U400" s="260"/>
      <c r="V400" s="260"/>
      <c r="W400" s="260"/>
      <c r="X400" s="260"/>
      <c r="Y400" s="260"/>
      <c r="Z400" s="260"/>
      <c r="AA400" s="260"/>
    </row>
    <row r="401">
      <c r="A401" s="31" t="s">
        <v>39</v>
      </c>
      <c r="B401" s="220">
        <v>46094.0</v>
      </c>
      <c r="C401" s="35" t="s">
        <v>51</v>
      </c>
      <c r="D401" s="9" t="s">
        <v>1509</v>
      </c>
      <c r="E401" s="11" t="s">
        <v>1510</v>
      </c>
      <c r="F401" s="221" t="s">
        <v>89</v>
      </c>
      <c r="G401" s="214"/>
      <c r="H401" s="41"/>
      <c r="I401" s="217" t="s">
        <v>89</v>
      </c>
      <c r="J401" s="218">
        <v>46094.0</v>
      </c>
      <c r="K401" s="220">
        <v>46095.0</v>
      </c>
      <c r="L401" s="223">
        <v>2.0</v>
      </c>
      <c r="M401" s="172" t="s">
        <v>1511</v>
      </c>
    </row>
    <row r="402">
      <c r="A402" s="31" t="s">
        <v>76</v>
      </c>
      <c r="B402" s="220">
        <v>46094.0</v>
      </c>
      <c r="C402" s="35" t="s">
        <v>51</v>
      </c>
      <c r="D402" s="9" t="s">
        <v>1512</v>
      </c>
      <c r="E402" s="11" t="s">
        <v>1513</v>
      </c>
      <c r="F402" s="221"/>
      <c r="G402" s="31" t="s">
        <v>1514</v>
      </c>
      <c r="H402" s="41"/>
      <c r="I402" s="217" t="s">
        <v>83</v>
      </c>
      <c r="J402" s="218">
        <v>46129.0</v>
      </c>
      <c r="K402" s="219"/>
      <c r="L402" s="219"/>
      <c r="M402" s="172" t="s">
        <v>1515</v>
      </c>
    </row>
    <row r="403">
      <c r="A403" s="31" t="s">
        <v>120</v>
      </c>
      <c r="B403" s="220">
        <v>46094.0</v>
      </c>
      <c r="C403" s="35" t="s">
        <v>51</v>
      </c>
      <c r="D403" s="9" t="s">
        <v>485</v>
      </c>
      <c r="E403" s="11" t="s">
        <v>1516</v>
      </c>
      <c r="F403" s="221"/>
      <c r="G403" s="176" t="s">
        <v>1517</v>
      </c>
      <c r="H403" s="41"/>
      <c r="I403" s="217" t="s">
        <v>83</v>
      </c>
      <c r="J403" s="218">
        <v>46133.0</v>
      </c>
      <c r="K403" s="219"/>
      <c r="L403" s="219"/>
      <c r="M403" s="172" t="s">
        <v>1518</v>
      </c>
      <c r="N403" s="261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  <c r="AA403" s="261"/>
    </row>
    <row r="404">
      <c r="A404" s="262" t="s">
        <v>811</v>
      </c>
      <c r="B404" s="263">
        <v>46095.0</v>
      </c>
      <c r="C404" s="35" t="s">
        <v>51</v>
      </c>
      <c r="D404" s="9" t="s">
        <v>1519</v>
      </c>
      <c r="E404" s="264" t="s">
        <v>1520</v>
      </c>
      <c r="F404" s="221"/>
      <c r="G404" s="256" t="s">
        <v>1521</v>
      </c>
      <c r="H404" s="265"/>
      <c r="I404" s="217" t="s">
        <v>83</v>
      </c>
      <c r="J404" s="266">
        <v>46123.0</v>
      </c>
      <c r="K404" s="267"/>
      <c r="L404" s="267"/>
      <c r="M404" s="268" t="s">
        <v>1522</v>
      </c>
    </row>
    <row r="405">
      <c r="A405" s="31" t="s">
        <v>1014</v>
      </c>
      <c r="B405" s="220">
        <v>46095.0</v>
      </c>
      <c r="C405" s="35" t="s">
        <v>51</v>
      </c>
      <c r="D405" s="9" t="s">
        <v>1523</v>
      </c>
      <c r="E405" s="11" t="s">
        <v>1524</v>
      </c>
      <c r="F405" s="221" t="s">
        <v>527</v>
      </c>
      <c r="G405" s="176" t="s">
        <v>1525</v>
      </c>
      <c r="H405" s="41"/>
      <c r="I405" s="45"/>
      <c r="J405" s="116"/>
      <c r="K405" s="219"/>
      <c r="L405" s="219"/>
      <c r="M405" s="172" t="s">
        <v>1526</v>
      </c>
    </row>
    <row r="406">
      <c r="A406" s="31" t="s">
        <v>120</v>
      </c>
      <c r="B406" s="220">
        <v>46095.0</v>
      </c>
      <c r="C406" s="35" t="s">
        <v>51</v>
      </c>
      <c r="D406" s="9" t="s">
        <v>1527</v>
      </c>
      <c r="E406" s="11" t="s">
        <v>1528</v>
      </c>
      <c r="F406" s="221"/>
      <c r="G406" s="192" t="s">
        <v>1529</v>
      </c>
      <c r="H406" s="41"/>
      <c r="I406" s="217" t="s">
        <v>83</v>
      </c>
      <c r="J406" s="218">
        <v>46123.0</v>
      </c>
      <c r="K406" s="219"/>
      <c r="L406" s="219"/>
      <c r="M406" s="172" t="s">
        <v>183</v>
      </c>
    </row>
    <row r="407">
      <c r="A407" s="269" t="s">
        <v>39</v>
      </c>
      <c r="B407" s="270">
        <v>46095.0</v>
      </c>
      <c r="C407" s="35" t="s">
        <v>51</v>
      </c>
      <c r="D407" s="9" t="s">
        <v>1530</v>
      </c>
      <c r="E407" s="271" t="s">
        <v>1531</v>
      </c>
      <c r="F407" s="272" t="s">
        <v>527</v>
      </c>
      <c r="G407" s="273" t="s">
        <v>1532</v>
      </c>
      <c r="H407" s="274"/>
      <c r="I407" s="275" t="s">
        <v>83</v>
      </c>
      <c r="J407" s="276">
        <v>46119.0</v>
      </c>
      <c r="K407" s="270">
        <v>46130.0</v>
      </c>
      <c r="L407" s="277">
        <v>1.0</v>
      </c>
      <c r="M407" s="278" t="s">
        <v>1533</v>
      </c>
    </row>
    <row r="408">
      <c r="A408" s="31" t="s">
        <v>39</v>
      </c>
      <c r="B408" s="220">
        <v>46095.0</v>
      </c>
      <c r="C408" s="35" t="s">
        <v>51</v>
      </c>
      <c r="D408" s="9" t="s">
        <v>1534</v>
      </c>
      <c r="E408" s="11" t="s">
        <v>1535</v>
      </c>
      <c r="F408" s="221"/>
      <c r="G408" s="239" t="s">
        <v>1536</v>
      </c>
      <c r="H408" s="41"/>
      <c r="I408" s="217" t="s">
        <v>527</v>
      </c>
      <c r="J408" s="218">
        <v>46098.0</v>
      </c>
      <c r="K408" s="219"/>
      <c r="L408" s="219"/>
      <c r="M408" s="172" t="s">
        <v>1537</v>
      </c>
    </row>
    <row r="409">
      <c r="A409" s="31" t="s">
        <v>39</v>
      </c>
      <c r="B409" s="220">
        <v>46095.0</v>
      </c>
      <c r="C409" s="35" t="s">
        <v>51</v>
      </c>
      <c r="D409" s="9" t="s">
        <v>1538</v>
      </c>
      <c r="E409" s="11" t="s">
        <v>1539</v>
      </c>
      <c r="F409" s="221"/>
      <c r="G409" s="239" t="s">
        <v>1540</v>
      </c>
      <c r="H409" s="41"/>
      <c r="I409" s="217" t="s">
        <v>527</v>
      </c>
      <c r="J409" s="218">
        <v>46098.0</v>
      </c>
      <c r="K409" s="219"/>
      <c r="L409" s="219"/>
      <c r="M409" s="172" t="s">
        <v>1541</v>
      </c>
    </row>
    <row r="410">
      <c r="A410" s="31" t="s">
        <v>39</v>
      </c>
      <c r="B410" s="220">
        <v>46095.0</v>
      </c>
      <c r="C410" s="35" t="s">
        <v>51</v>
      </c>
      <c r="D410" s="9" t="s">
        <v>1542</v>
      </c>
      <c r="E410" s="11" t="s">
        <v>1543</v>
      </c>
      <c r="F410" s="221" t="s">
        <v>527</v>
      </c>
      <c r="G410" s="176" t="s">
        <v>1544</v>
      </c>
      <c r="H410" s="41"/>
      <c r="I410" s="217" t="s">
        <v>527</v>
      </c>
      <c r="J410" s="218">
        <v>46098.0</v>
      </c>
      <c r="K410" s="219"/>
      <c r="L410" s="219"/>
      <c r="M410" s="172" t="s">
        <v>1545</v>
      </c>
    </row>
    <row r="411">
      <c r="A411" s="31" t="s">
        <v>39</v>
      </c>
      <c r="B411" s="220">
        <v>46095.0</v>
      </c>
      <c r="C411" s="35" t="s">
        <v>51</v>
      </c>
      <c r="D411" s="9" t="s">
        <v>1546</v>
      </c>
      <c r="E411" s="11" t="s">
        <v>1547</v>
      </c>
      <c r="F411" s="221" t="s">
        <v>527</v>
      </c>
      <c r="G411" s="192" t="s">
        <v>1548</v>
      </c>
      <c r="H411" s="41"/>
      <c r="I411" s="45"/>
      <c r="J411" s="74"/>
      <c r="K411" s="219"/>
      <c r="L411" s="219"/>
      <c r="M411" s="241"/>
    </row>
    <row r="412">
      <c r="A412" s="31" t="s">
        <v>39</v>
      </c>
      <c r="B412" s="220">
        <v>46095.0</v>
      </c>
      <c r="C412" s="35" t="s">
        <v>51</v>
      </c>
      <c r="D412" s="9" t="s">
        <v>1549</v>
      </c>
      <c r="E412" s="11" t="s">
        <v>1550</v>
      </c>
      <c r="F412" s="221"/>
      <c r="G412" s="192" t="s">
        <v>1551</v>
      </c>
      <c r="H412" s="41"/>
      <c r="I412" s="217" t="s">
        <v>527</v>
      </c>
      <c r="J412" s="218">
        <v>46098.0</v>
      </c>
      <c r="K412" s="219"/>
      <c r="L412" s="219"/>
      <c r="M412" s="172" t="s">
        <v>1552</v>
      </c>
    </row>
    <row r="413">
      <c r="A413" s="31" t="s">
        <v>39</v>
      </c>
      <c r="B413" s="220">
        <v>46095.0</v>
      </c>
      <c r="C413" s="35" t="s">
        <v>51</v>
      </c>
      <c r="D413" s="9" t="s">
        <v>1553</v>
      </c>
      <c r="E413" s="11" t="s">
        <v>1554</v>
      </c>
      <c r="F413" s="221"/>
      <c r="G413" s="257" t="s">
        <v>1555</v>
      </c>
      <c r="H413" s="41"/>
      <c r="I413" s="217" t="s">
        <v>83</v>
      </c>
      <c r="J413" s="218">
        <v>46095.0</v>
      </c>
      <c r="K413" s="220">
        <v>46098.0</v>
      </c>
      <c r="L413" s="223">
        <v>2.0</v>
      </c>
      <c r="M413" s="172" t="s">
        <v>1556</v>
      </c>
    </row>
    <row r="414">
      <c r="A414" s="31" t="s">
        <v>39</v>
      </c>
      <c r="B414" s="220">
        <v>46095.0</v>
      </c>
      <c r="C414" s="35" t="s">
        <v>51</v>
      </c>
      <c r="D414" s="9" t="s">
        <v>1557</v>
      </c>
      <c r="E414" s="11" t="s">
        <v>1558</v>
      </c>
      <c r="F414" s="221"/>
      <c r="G414" s="192" t="s">
        <v>1559</v>
      </c>
      <c r="H414" s="41"/>
      <c r="I414" s="217" t="s">
        <v>83</v>
      </c>
      <c r="J414" s="218">
        <v>46098.0</v>
      </c>
      <c r="K414" s="220">
        <v>46098.0</v>
      </c>
      <c r="L414" s="223">
        <v>2.0</v>
      </c>
      <c r="M414" s="172" t="s">
        <v>1560</v>
      </c>
    </row>
    <row r="415">
      <c r="A415" s="31" t="s">
        <v>39</v>
      </c>
      <c r="B415" s="220">
        <v>46098.0</v>
      </c>
      <c r="C415" s="35" t="s">
        <v>51</v>
      </c>
      <c r="D415" s="9" t="s">
        <v>1561</v>
      </c>
      <c r="E415" s="11" t="s">
        <v>1562</v>
      </c>
      <c r="F415" s="221" t="s">
        <v>527</v>
      </c>
      <c r="G415" s="257" t="s">
        <v>1563</v>
      </c>
      <c r="H415" s="41"/>
      <c r="I415" s="217" t="s">
        <v>83</v>
      </c>
      <c r="J415" s="218">
        <v>46123.0</v>
      </c>
      <c r="K415" s="219"/>
      <c r="L415" s="219"/>
      <c r="M415" s="172" t="s">
        <v>1564</v>
      </c>
    </row>
    <row r="416">
      <c r="A416" s="31" t="s">
        <v>811</v>
      </c>
      <c r="B416" s="220">
        <v>46098.0</v>
      </c>
      <c r="C416" s="35" t="s">
        <v>51</v>
      </c>
      <c r="D416" s="9" t="s">
        <v>1565</v>
      </c>
      <c r="E416" s="11" t="s">
        <v>1566</v>
      </c>
      <c r="F416" s="221" t="s">
        <v>83</v>
      </c>
      <c r="G416" s="37" t="s">
        <v>1567</v>
      </c>
      <c r="H416" s="41"/>
      <c r="I416" s="217" t="s">
        <v>83</v>
      </c>
      <c r="J416" s="218">
        <v>46123.0</v>
      </c>
      <c r="K416" s="219"/>
      <c r="L416" s="219"/>
      <c r="M416" s="172" t="s">
        <v>1568</v>
      </c>
    </row>
    <row r="417">
      <c r="A417" s="31" t="s">
        <v>39</v>
      </c>
      <c r="B417" s="220">
        <v>46098.0</v>
      </c>
      <c r="C417" s="35" t="s">
        <v>51</v>
      </c>
      <c r="D417" s="9" t="s">
        <v>1569</v>
      </c>
      <c r="E417" s="11" t="s">
        <v>1570</v>
      </c>
      <c r="F417" s="221"/>
      <c r="G417" s="192" t="s">
        <v>1571</v>
      </c>
      <c r="H417" s="41"/>
      <c r="I417" s="217" t="s">
        <v>83</v>
      </c>
      <c r="J417" s="218">
        <v>46123.0</v>
      </c>
      <c r="K417" s="220">
        <v>46144.0</v>
      </c>
      <c r="L417" s="223">
        <v>1.0</v>
      </c>
      <c r="M417" s="172" t="s">
        <v>1572</v>
      </c>
    </row>
    <row r="418">
      <c r="A418" s="31" t="s">
        <v>39</v>
      </c>
      <c r="B418" s="220">
        <v>46098.0</v>
      </c>
      <c r="C418" s="35" t="s">
        <v>51</v>
      </c>
      <c r="D418" s="9" t="s">
        <v>1573</v>
      </c>
      <c r="E418" s="11" t="s">
        <v>1574</v>
      </c>
      <c r="F418" s="221"/>
      <c r="G418" s="192" t="s">
        <v>1575</v>
      </c>
      <c r="H418" s="41"/>
      <c r="I418" s="217" t="s">
        <v>83</v>
      </c>
      <c r="J418" s="218">
        <v>46098.0</v>
      </c>
      <c r="K418" s="220">
        <v>46098.0</v>
      </c>
      <c r="L418" s="223">
        <v>2.0</v>
      </c>
      <c r="M418" s="172" t="s">
        <v>1576</v>
      </c>
    </row>
    <row r="419">
      <c r="A419" s="31" t="s">
        <v>39</v>
      </c>
      <c r="B419" s="220">
        <v>46098.0</v>
      </c>
      <c r="C419" s="35" t="s">
        <v>51</v>
      </c>
      <c r="D419" s="9" t="s">
        <v>1577</v>
      </c>
      <c r="E419" s="11" t="s">
        <v>1578</v>
      </c>
      <c r="F419" s="221"/>
      <c r="G419" s="192" t="s">
        <v>1579</v>
      </c>
      <c r="H419" s="41"/>
      <c r="I419" s="217" t="s">
        <v>83</v>
      </c>
      <c r="J419" s="218">
        <v>46098.0</v>
      </c>
      <c r="K419" s="220">
        <v>46098.0</v>
      </c>
      <c r="L419" s="223">
        <v>2.0</v>
      </c>
      <c r="M419" s="172" t="s">
        <v>1580</v>
      </c>
    </row>
    <row r="420">
      <c r="A420" s="31" t="s">
        <v>39</v>
      </c>
      <c r="B420" s="220">
        <v>46098.0</v>
      </c>
      <c r="C420" s="35" t="s">
        <v>51</v>
      </c>
      <c r="D420" s="9" t="s">
        <v>1581</v>
      </c>
      <c r="E420" s="11" t="s">
        <v>1582</v>
      </c>
      <c r="F420" s="221"/>
      <c r="G420" s="171"/>
      <c r="H420" s="41"/>
      <c r="I420" s="217" t="s">
        <v>83</v>
      </c>
      <c r="J420" s="218">
        <v>46106.0</v>
      </c>
      <c r="K420" s="219"/>
      <c r="L420" s="219"/>
      <c r="M420" s="172" t="s">
        <v>1583</v>
      </c>
    </row>
    <row r="421">
      <c r="A421" s="31" t="s">
        <v>39</v>
      </c>
      <c r="B421" s="220">
        <v>46098.0</v>
      </c>
      <c r="C421" s="35" t="s">
        <v>51</v>
      </c>
      <c r="D421" s="9" t="s">
        <v>1584</v>
      </c>
      <c r="E421" s="11" t="s">
        <v>1585</v>
      </c>
      <c r="F421" s="221" t="s">
        <v>527</v>
      </c>
      <c r="G421" s="192" t="s">
        <v>1586</v>
      </c>
      <c r="H421" s="41"/>
      <c r="I421" s="217" t="s">
        <v>83</v>
      </c>
      <c r="J421" s="218">
        <v>46106.0</v>
      </c>
      <c r="K421" s="220">
        <v>46108.0</v>
      </c>
      <c r="L421" s="223">
        <v>2.0</v>
      </c>
      <c r="M421" s="172" t="s">
        <v>1587</v>
      </c>
    </row>
    <row r="422">
      <c r="A422" s="31" t="s">
        <v>39</v>
      </c>
      <c r="B422" s="220">
        <v>46098.0</v>
      </c>
      <c r="C422" s="35" t="s">
        <v>51</v>
      </c>
      <c r="D422" s="9" t="s">
        <v>1588</v>
      </c>
      <c r="E422" s="11" t="s">
        <v>1589</v>
      </c>
      <c r="F422" s="221"/>
      <c r="G422" s="257" t="s">
        <v>1590</v>
      </c>
      <c r="H422" s="41"/>
      <c r="I422" s="217" t="s">
        <v>83</v>
      </c>
      <c r="J422" s="218">
        <v>46106.0</v>
      </c>
      <c r="K422" s="220">
        <v>46108.0</v>
      </c>
      <c r="L422" s="223">
        <v>2.0</v>
      </c>
      <c r="M422" s="172" t="s">
        <v>1591</v>
      </c>
    </row>
    <row r="423">
      <c r="A423" s="31" t="s">
        <v>76</v>
      </c>
      <c r="B423" s="220">
        <v>46098.0</v>
      </c>
      <c r="C423" s="35" t="s">
        <v>51</v>
      </c>
      <c r="D423" s="9" t="s">
        <v>1592</v>
      </c>
      <c r="E423" s="11" t="s">
        <v>1593</v>
      </c>
      <c r="F423" s="221"/>
      <c r="G423" s="257" t="s">
        <v>1594</v>
      </c>
      <c r="H423" s="41"/>
      <c r="I423" s="217" t="s">
        <v>83</v>
      </c>
      <c r="J423" s="218">
        <v>46133.0</v>
      </c>
      <c r="K423" s="219"/>
      <c r="L423" s="219"/>
      <c r="M423" s="172" t="s">
        <v>1595</v>
      </c>
    </row>
    <row r="424">
      <c r="A424" s="31" t="s">
        <v>39</v>
      </c>
      <c r="B424" s="220">
        <v>46098.0</v>
      </c>
      <c r="C424" s="35" t="s">
        <v>51</v>
      </c>
      <c r="D424" s="9" t="s">
        <v>1596</v>
      </c>
      <c r="E424" s="11" t="s">
        <v>1597</v>
      </c>
      <c r="F424" s="221"/>
      <c r="G424" s="257" t="s">
        <v>1598</v>
      </c>
      <c r="H424" s="41"/>
      <c r="I424" s="217" t="s">
        <v>83</v>
      </c>
      <c r="J424" s="218">
        <v>46149.0</v>
      </c>
      <c r="K424" s="220">
        <v>46155.0</v>
      </c>
      <c r="L424" s="223">
        <v>1.0</v>
      </c>
      <c r="M424" s="172" t="s">
        <v>1599</v>
      </c>
    </row>
    <row r="425">
      <c r="A425" s="31" t="s">
        <v>120</v>
      </c>
      <c r="B425" s="220">
        <v>46099.0</v>
      </c>
      <c r="C425" s="35" t="s">
        <v>51</v>
      </c>
      <c r="D425" s="9" t="s">
        <v>1600</v>
      </c>
      <c r="E425" s="11" t="s">
        <v>1601</v>
      </c>
      <c r="F425" s="221"/>
      <c r="G425" s="192" t="s">
        <v>1602</v>
      </c>
      <c r="H425" s="41"/>
      <c r="I425" s="217" t="s">
        <v>83</v>
      </c>
      <c r="J425" s="218">
        <v>46106.0</v>
      </c>
      <c r="K425" s="219"/>
      <c r="L425" s="219"/>
      <c r="M425" s="172" t="s">
        <v>183</v>
      </c>
    </row>
    <row r="426">
      <c r="A426" s="31" t="s">
        <v>120</v>
      </c>
      <c r="B426" s="220">
        <v>46099.0</v>
      </c>
      <c r="C426" s="35" t="s">
        <v>51</v>
      </c>
      <c r="D426" s="9" t="s">
        <v>1603</v>
      </c>
      <c r="E426" s="11" t="s">
        <v>1604</v>
      </c>
      <c r="F426" s="221" t="s">
        <v>89</v>
      </c>
      <c r="G426" s="192" t="s">
        <v>1605</v>
      </c>
      <c r="H426" s="41"/>
      <c r="I426" s="45"/>
      <c r="J426" s="74"/>
      <c r="K426" s="219"/>
      <c r="L426" s="219"/>
      <c r="M426" s="241"/>
    </row>
    <row r="427">
      <c r="A427" s="31" t="s">
        <v>39</v>
      </c>
      <c r="B427" s="220">
        <v>46099.0</v>
      </c>
      <c r="C427" s="35" t="s">
        <v>51</v>
      </c>
      <c r="D427" s="9" t="s">
        <v>1606</v>
      </c>
      <c r="E427" s="11" t="s">
        <v>1607</v>
      </c>
      <c r="F427" s="221" t="s">
        <v>527</v>
      </c>
      <c r="G427" s="192" t="s">
        <v>1608</v>
      </c>
      <c r="H427" s="41"/>
      <c r="I427" s="217" t="s">
        <v>83</v>
      </c>
      <c r="J427" s="218">
        <v>46106.0</v>
      </c>
      <c r="K427" s="220">
        <v>46283.0</v>
      </c>
      <c r="L427" s="223">
        <v>3.0</v>
      </c>
      <c r="M427" s="172" t="s">
        <v>1609</v>
      </c>
    </row>
    <row r="428">
      <c r="A428" s="31" t="s">
        <v>120</v>
      </c>
      <c r="B428" s="220">
        <v>46099.0</v>
      </c>
      <c r="C428" s="35" t="s">
        <v>51</v>
      </c>
      <c r="D428" s="9" t="s">
        <v>1610</v>
      </c>
      <c r="E428" s="11" t="s">
        <v>1611</v>
      </c>
      <c r="F428" s="221"/>
      <c r="G428" s="192" t="s">
        <v>1612</v>
      </c>
      <c r="H428" s="41"/>
      <c r="I428" s="217" t="s">
        <v>83</v>
      </c>
      <c r="J428" s="218">
        <v>46133.0</v>
      </c>
      <c r="K428" s="219"/>
      <c r="L428" s="219"/>
      <c r="M428" s="172" t="s">
        <v>1613</v>
      </c>
    </row>
    <row r="429">
      <c r="A429" s="31" t="s">
        <v>39</v>
      </c>
      <c r="B429" s="220">
        <v>46100.0</v>
      </c>
      <c r="C429" s="35" t="s">
        <v>51</v>
      </c>
      <c r="D429" s="9" t="s">
        <v>1614</v>
      </c>
      <c r="E429" s="11" t="s">
        <v>1615</v>
      </c>
      <c r="F429" s="221"/>
      <c r="G429" s="257" t="s">
        <v>1616</v>
      </c>
      <c r="H429" s="41"/>
      <c r="I429" s="217" t="s">
        <v>527</v>
      </c>
      <c r="J429" s="218">
        <v>46100.0</v>
      </c>
      <c r="K429" s="220">
        <v>46127.0</v>
      </c>
      <c r="L429" s="223">
        <v>3.0</v>
      </c>
      <c r="M429" s="172" t="s">
        <v>1617</v>
      </c>
      <c r="N429" s="260"/>
      <c r="O429" s="260"/>
      <c r="P429" s="260"/>
      <c r="Q429" s="260"/>
      <c r="R429" s="260"/>
      <c r="S429" s="260"/>
      <c r="T429" s="260"/>
      <c r="U429" s="260"/>
      <c r="V429" s="260"/>
      <c r="W429" s="260"/>
      <c r="X429" s="260"/>
      <c r="Y429" s="260"/>
      <c r="Z429" s="260"/>
      <c r="AA429" s="260"/>
    </row>
    <row r="430">
      <c r="A430" s="31" t="s">
        <v>1014</v>
      </c>
      <c r="B430" s="220">
        <v>46100.0</v>
      </c>
      <c r="C430" s="35" t="s">
        <v>51</v>
      </c>
      <c r="D430" s="9" t="s">
        <v>1618</v>
      </c>
      <c r="E430" s="11"/>
      <c r="F430" s="221"/>
      <c r="G430" s="192" t="s">
        <v>1619</v>
      </c>
      <c r="H430" s="41"/>
      <c r="I430" s="217"/>
      <c r="J430" s="218"/>
      <c r="K430" s="220"/>
      <c r="L430" s="223"/>
      <c r="M430" s="241"/>
    </row>
    <row r="431">
      <c r="A431" s="31" t="s">
        <v>39</v>
      </c>
      <c r="B431" s="220">
        <v>46100.0</v>
      </c>
      <c r="C431" s="35" t="s">
        <v>51</v>
      </c>
      <c r="D431" s="9" t="s">
        <v>1620</v>
      </c>
      <c r="E431" s="11" t="s">
        <v>1621</v>
      </c>
      <c r="F431" s="221"/>
      <c r="G431" s="257" t="s">
        <v>1622</v>
      </c>
      <c r="H431" s="41"/>
      <c r="I431" s="217" t="s">
        <v>83</v>
      </c>
      <c r="J431" s="218">
        <v>46100.0</v>
      </c>
      <c r="K431" s="220">
        <v>46100.0</v>
      </c>
      <c r="L431" s="223">
        <v>1.0</v>
      </c>
      <c r="M431" s="172" t="s">
        <v>1623</v>
      </c>
    </row>
    <row r="432">
      <c r="A432" s="31" t="s">
        <v>39</v>
      </c>
      <c r="B432" s="220">
        <v>46100.0</v>
      </c>
      <c r="C432" s="35" t="s">
        <v>51</v>
      </c>
      <c r="D432" s="9" t="s">
        <v>279</v>
      </c>
      <c r="E432" s="11" t="s">
        <v>1624</v>
      </c>
      <c r="F432" s="221"/>
      <c r="G432" s="37" t="s">
        <v>1625</v>
      </c>
      <c r="H432" s="50" t="s">
        <v>22</v>
      </c>
      <c r="I432" s="217" t="s">
        <v>83</v>
      </c>
      <c r="J432" s="218">
        <v>46100.0</v>
      </c>
      <c r="K432" s="220"/>
      <c r="L432" s="223"/>
      <c r="M432" s="237" t="s">
        <v>1626</v>
      </c>
    </row>
    <row r="433">
      <c r="A433" s="31" t="s">
        <v>39</v>
      </c>
      <c r="B433" s="220">
        <v>46100.0</v>
      </c>
      <c r="C433" s="35" t="s">
        <v>51</v>
      </c>
      <c r="D433" s="9" t="s">
        <v>1627</v>
      </c>
      <c r="E433" s="11" t="s">
        <v>1628</v>
      </c>
      <c r="F433" s="221" t="s">
        <v>83</v>
      </c>
      <c r="G433" s="192" t="s">
        <v>1629</v>
      </c>
      <c r="H433" s="50" t="s">
        <v>22</v>
      </c>
      <c r="I433" s="217" t="s">
        <v>83</v>
      </c>
      <c r="J433" s="218">
        <v>46100.0</v>
      </c>
      <c r="K433" s="220">
        <v>46108.0</v>
      </c>
      <c r="L433" s="223">
        <v>2.0</v>
      </c>
      <c r="M433" s="172" t="s">
        <v>1630</v>
      </c>
    </row>
    <row r="434">
      <c r="A434" s="31" t="s">
        <v>39</v>
      </c>
      <c r="B434" s="220">
        <v>46100.0</v>
      </c>
      <c r="C434" s="35" t="s">
        <v>51</v>
      </c>
      <c r="D434" s="9" t="s">
        <v>1631</v>
      </c>
      <c r="E434" s="11" t="s">
        <v>1632</v>
      </c>
      <c r="F434" s="221" t="s">
        <v>83</v>
      </c>
      <c r="G434" s="192" t="s">
        <v>1633</v>
      </c>
      <c r="H434" s="41"/>
      <c r="I434" s="217" t="s">
        <v>83</v>
      </c>
      <c r="J434" s="218">
        <v>46112.0</v>
      </c>
      <c r="K434" s="220"/>
      <c r="L434" s="223"/>
      <c r="M434" s="223" t="s">
        <v>1634</v>
      </c>
    </row>
    <row r="435">
      <c r="A435" s="31" t="s">
        <v>76</v>
      </c>
      <c r="B435" s="220">
        <v>46100.0</v>
      </c>
      <c r="C435" s="35" t="s">
        <v>51</v>
      </c>
      <c r="D435" s="9" t="s">
        <v>1635</v>
      </c>
      <c r="E435" s="11" t="s">
        <v>1636</v>
      </c>
      <c r="F435" s="221" t="s">
        <v>83</v>
      </c>
      <c r="G435" s="257" t="s">
        <v>1637</v>
      </c>
      <c r="H435" s="41"/>
      <c r="I435" s="217" t="s">
        <v>83</v>
      </c>
      <c r="J435" s="218">
        <v>46133.0</v>
      </c>
      <c r="K435" s="220"/>
      <c r="L435" s="223"/>
      <c r="M435" s="237" t="s">
        <v>1638</v>
      </c>
    </row>
    <row r="436">
      <c r="A436" s="31" t="s">
        <v>39</v>
      </c>
      <c r="B436" s="220">
        <v>46101.0</v>
      </c>
      <c r="C436" s="35" t="s">
        <v>51</v>
      </c>
      <c r="D436" s="9" t="s">
        <v>1639</v>
      </c>
      <c r="E436" s="11" t="s">
        <v>1640</v>
      </c>
      <c r="F436" s="221" t="s">
        <v>83</v>
      </c>
      <c r="G436" s="253" t="s">
        <v>1641</v>
      </c>
      <c r="H436" s="41"/>
      <c r="I436" s="217" t="s">
        <v>83</v>
      </c>
      <c r="J436" s="218">
        <v>46112.0</v>
      </c>
      <c r="K436" s="220"/>
      <c r="L436" s="223"/>
      <c r="M436" s="172" t="s">
        <v>1642</v>
      </c>
    </row>
    <row r="437">
      <c r="A437" s="262" t="s">
        <v>39</v>
      </c>
      <c r="B437" s="263">
        <v>46101.0</v>
      </c>
      <c r="C437" s="35" t="s">
        <v>51</v>
      </c>
      <c r="D437" s="9" t="s">
        <v>1643</v>
      </c>
      <c r="E437" s="264" t="s">
        <v>1644</v>
      </c>
      <c r="F437" s="221"/>
      <c r="G437" s="279" t="s">
        <v>1645</v>
      </c>
      <c r="H437" s="265"/>
      <c r="I437" s="217" t="s">
        <v>89</v>
      </c>
      <c r="J437" s="266">
        <v>46134.0</v>
      </c>
      <c r="K437" s="263"/>
      <c r="L437" s="280"/>
      <c r="M437" s="268" t="s">
        <v>1646</v>
      </c>
    </row>
    <row r="438">
      <c r="A438" s="31" t="s">
        <v>39</v>
      </c>
      <c r="B438" s="220">
        <v>46101.0</v>
      </c>
      <c r="C438" s="35" t="s">
        <v>51</v>
      </c>
      <c r="D438" s="9" t="s">
        <v>1647</v>
      </c>
      <c r="E438" s="11" t="s">
        <v>1648</v>
      </c>
      <c r="F438" s="221" t="s">
        <v>83</v>
      </c>
      <c r="G438" s="192" t="s">
        <v>1649</v>
      </c>
      <c r="H438" s="50" t="s">
        <v>22</v>
      </c>
      <c r="I438" s="217" t="s">
        <v>83</v>
      </c>
      <c r="J438" s="218">
        <v>46101.0</v>
      </c>
      <c r="K438" s="220">
        <v>46123.0</v>
      </c>
      <c r="L438" s="223">
        <v>4.0</v>
      </c>
      <c r="M438" s="172" t="s">
        <v>1650</v>
      </c>
    </row>
    <row r="439">
      <c r="A439" s="31" t="s">
        <v>39</v>
      </c>
      <c r="B439" s="220">
        <v>46101.0</v>
      </c>
      <c r="C439" s="35" t="s">
        <v>51</v>
      </c>
      <c r="D439" s="9" t="s">
        <v>1651</v>
      </c>
      <c r="E439" s="11" t="s">
        <v>1652</v>
      </c>
      <c r="F439" s="221" t="s">
        <v>527</v>
      </c>
      <c r="G439" s="192" t="s">
        <v>1653</v>
      </c>
      <c r="H439" s="41"/>
      <c r="I439" s="217" t="s">
        <v>83</v>
      </c>
      <c r="J439" s="218">
        <v>46105.0</v>
      </c>
      <c r="K439" s="220">
        <v>46122.0</v>
      </c>
      <c r="L439" s="223">
        <v>2.0</v>
      </c>
      <c r="M439" s="172" t="s">
        <v>1654</v>
      </c>
    </row>
    <row r="440">
      <c r="A440" s="31" t="s">
        <v>39</v>
      </c>
      <c r="B440" s="220">
        <v>46102.0</v>
      </c>
      <c r="C440" s="35" t="s">
        <v>51</v>
      </c>
      <c r="D440" s="9" t="s">
        <v>1655</v>
      </c>
      <c r="E440" s="11" t="s">
        <v>1656</v>
      </c>
      <c r="F440" s="221" t="s">
        <v>83</v>
      </c>
      <c r="G440" s="192" t="s">
        <v>1657</v>
      </c>
      <c r="H440" s="50" t="s">
        <v>22</v>
      </c>
      <c r="I440" s="217" t="s">
        <v>83</v>
      </c>
      <c r="J440" s="218">
        <v>46162.0</v>
      </c>
      <c r="K440" s="220">
        <v>46171.0</v>
      </c>
      <c r="L440" s="223">
        <v>2.0</v>
      </c>
      <c r="M440" s="172" t="s">
        <v>1658</v>
      </c>
    </row>
    <row r="441">
      <c r="A441" s="31" t="s">
        <v>120</v>
      </c>
      <c r="B441" s="220">
        <v>46102.0</v>
      </c>
      <c r="C441" s="35" t="s">
        <v>51</v>
      </c>
      <c r="D441" s="9" t="s">
        <v>1659</v>
      </c>
      <c r="E441" s="11" t="s">
        <v>1660</v>
      </c>
      <c r="F441" s="221" t="s">
        <v>83</v>
      </c>
      <c r="G441" s="192" t="s">
        <v>1661</v>
      </c>
      <c r="H441" s="41"/>
      <c r="I441" s="217" t="s">
        <v>83</v>
      </c>
      <c r="J441" s="218">
        <v>46133.0</v>
      </c>
      <c r="K441" s="219"/>
      <c r="L441" s="219"/>
      <c r="M441" s="172" t="s">
        <v>1662</v>
      </c>
    </row>
    <row r="442">
      <c r="A442" s="31" t="s">
        <v>39</v>
      </c>
      <c r="B442" s="220">
        <v>46102.0</v>
      </c>
      <c r="C442" s="35" t="s">
        <v>51</v>
      </c>
      <c r="D442" s="9" t="s">
        <v>1663</v>
      </c>
      <c r="E442" s="11" t="s">
        <v>1664</v>
      </c>
      <c r="F442" s="221"/>
      <c r="G442" s="192" t="s">
        <v>1665</v>
      </c>
      <c r="H442" s="41"/>
      <c r="I442" s="217" t="s">
        <v>527</v>
      </c>
      <c r="J442" s="218">
        <v>46106.0</v>
      </c>
      <c r="K442" s="220">
        <v>46123.0</v>
      </c>
      <c r="L442" s="223">
        <v>4.0</v>
      </c>
      <c r="M442" s="172" t="s">
        <v>1666</v>
      </c>
    </row>
    <row r="443">
      <c r="A443" s="31" t="s">
        <v>39</v>
      </c>
      <c r="B443" s="220">
        <v>46102.0</v>
      </c>
      <c r="C443" s="35" t="s">
        <v>51</v>
      </c>
      <c r="D443" s="9" t="s">
        <v>1667</v>
      </c>
      <c r="E443" s="11" t="s">
        <v>1668</v>
      </c>
      <c r="F443" s="221" t="s">
        <v>89</v>
      </c>
      <c r="G443" s="192" t="s">
        <v>1669</v>
      </c>
      <c r="H443" s="41"/>
      <c r="I443" s="217" t="s">
        <v>83</v>
      </c>
      <c r="J443" s="218">
        <v>46105.0</v>
      </c>
      <c r="K443" s="220">
        <v>46150.0</v>
      </c>
      <c r="L443" s="223">
        <v>1.0</v>
      </c>
      <c r="M443" s="172" t="s">
        <v>1670</v>
      </c>
    </row>
    <row r="444">
      <c r="A444" s="31" t="s">
        <v>120</v>
      </c>
      <c r="B444" s="220">
        <v>46105.0</v>
      </c>
      <c r="C444" s="35" t="s">
        <v>51</v>
      </c>
      <c r="D444" s="9" t="s">
        <v>836</v>
      </c>
      <c r="E444" s="11" t="s">
        <v>1671</v>
      </c>
      <c r="F444" s="238"/>
      <c r="G444" s="257" t="s">
        <v>1672</v>
      </c>
      <c r="H444" s="41"/>
      <c r="I444" s="281" t="s">
        <v>83</v>
      </c>
      <c r="J444" s="218">
        <v>46112.0</v>
      </c>
      <c r="K444" s="219"/>
      <c r="L444" s="219"/>
      <c r="M444" s="172" t="s">
        <v>1673</v>
      </c>
    </row>
    <row r="445">
      <c r="A445" s="31" t="s">
        <v>39</v>
      </c>
      <c r="B445" s="220">
        <v>46105.0</v>
      </c>
      <c r="C445" s="35" t="s">
        <v>51</v>
      </c>
      <c r="D445" s="9" t="s">
        <v>1674</v>
      </c>
      <c r="E445" s="11" t="s">
        <v>692</v>
      </c>
      <c r="F445" s="221" t="s">
        <v>89</v>
      </c>
      <c r="G445" s="192" t="s">
        <v>1675</v>
      </c>
      <c r="H445" s="41"/>
      <c r="I445" s="217" t="s">
        <v>527</v>
      </c>
      <c r="J445" s="218">
        <v>46105.0</v>
      </c>
      <c r="K445" s="220">
        <v>46120.0</v>
      </c>
      <c r="L445" s="223">
        <v>6.0</v>
      </c>
      <c r="M445" s="241"/>
    </row>
    <row r="446">
      <c r="A446" s="31" t="s">
        <v>120</v>
      </c>
      <c r="B446" s="220">
        <v>46105.0</v>
      </c>
      <c r="C446" s="35" t="s">
        <v>51</v>
      </c>
      <c r="D446" s="9" t="s">
        <v>1676</v>
      </c>
      <c r="E446" s="11" t="s">
        <v>1677</v>
      </c>
      <c r="F446" s="221"/>
      <c r="G446" s="192" t="s">
        <v>1678</v>
      </c>
      <c r="H446" s="41"/>
      <c r="I446" s="217" t="s">
        <v>83</v>
      </c>
      <c r="J446" s="218">
        <v>46157.0</v>
      </c>
      <c r="K446" s="219"/>
      <c r="L446" s="219"/>
      <c r="M446" s="172" t="s">
        <v>1679</v>
      </c>
    </row>
    <row r="447">
      <c r="A447" s="31" t="s">
        <v>76</v>
      </c>
      <c r="B447" s="220">
        <v>46106.0</v>
      </c>
      <c r="C447" s="35" t="s">
        <v>51</v>
      </c>
      <c r="D447" s="9" t="s">
        <v>1680</v>
      </c>
      <c r="E447" s="11" t="s">
        <v>1681</v>
      </c>
      <c r="F447" s="221" t="s">
        <v>527</v>
      </c>
      <c r="G447" s="192" t="s">
        <v>1682</v>
      </c>
      <c r="H447" s="50" t="s">
        <v>22</v>
      </c>
      <c r="I447" s="217" t="s">
        <v>83</v>
      </c>
      <c r="J447" s="218">
        <v>46157.0</v>
      </c>
      <c r="K447" s="220"/>
      <c r="L447" s="223"/>
      <c r="M447" s="172" t="s">
        <v>1683</v>
      </c>
    </row>
    <row r="448">
      <c r="A448" s="31" t="s">
        <v>39</v>
      </c>
      <c r="B448" s="220">
        <v>46106.0</v>
      </c>
      <c r="C448" s="35" t="s">
        <v>51</v>
      </c>
      <c r="D448" s="9" t="s">
        <v>1684</v>
      </c>
      <c r="E448" s="11" t="s">
        <v>1685</v>
      </c>
      <c r="F448" s="221"/>
      <c r="G448" s="192" t="s">
        <v>1686</v>
      </c>
      <c r="H448" s="41"/>
      <c r="I448" s="217" t="s">
        <v>83</v>
      </c>
      <c r="J448" s="218">
        <v>46122.0</v>
      </c>
      <c r="K448" s="220">
        <v>46171.0</v>
      </c>
      <c r="L448" s="223">
        <v>2.0</v>
      </c>
      <c r="M448" s="172" t="s">
        <v>1687</v>
      </c>
    </row>
    <row r="449">
      <c r="A449" s="31" t="s">
        <v>120</v>
      </c>
      <c r="B449" s="220">
        <v>46107.0</v>
      </c>
      <c r="C449" s="35" t="s">
        <v>51</v>
      </c>
      <c r="D449" s="9" t="s">
        <v>1688</v>
      </c>
      <c r="E449" s="11" t="s">
        <v>1689</v>
      </c>
      <c r="F449" s="221" t="s">
        <v>83</v>
      </c>
      <c r="G449" s="192" t="s">
        <v>1690</v>
      </c>
      <c r="H449" s="41"/>
      <c r="I449" s="217" t="s">
        <v>83</v>
      </c>
      <c r="J449" s="218">
        <v>46112.0</v>
      </c>
      <c r="K449" s="220"/>
      <c r="L449" s="223"/>
      <c r="M449" s="172" t="s">
        <v>1691</v>
      </c>
    </row>
    <row r="450">
      <c r="A450" s="31" t="s">
        <v>39</v>
      </c>
      <c r="B450" s="220">
        <v>46107.0</v>
      </c>
      <c r="C450" s="35" t="s">
        <v>51</v>
      </c>
      <c r="D450" s="9" t="s">
        <v>1692</v>
      </c>
      <c r="E450" s="11" t="s">
        <v>1693</v>
      </c>
      <c r="F450" s="221" t="s">
        <v>83</v>
      </c>
      <c r="G450" s="192" t="s">
        <v>1694</v>
      </c>
      <c r="H450" s="41"/>
      <c r="I450" s="217" t="s">
        <v>83</v>
      </c>
      <c r="J450" s="218">
        <v>46112.0</v>
      </c>
      <c r="K450" s="220"/>
      <c r="L450" s="223"/>
      <c r="M450" s="172" t="s">
        <v>1695</v>
      </c>
    </row>
    <row r="451">
      <c r="A451" s="31" t="s">
        <v>39</v>
      </c>
      <c r="B451" s="220">
        <v>46109.0</v>
      </c>
      <c r="C451" s="35" t="s">
        <v>51</v>
      </c>
      <c r="D451" s="9" t="s">
        <v>1696</v>
      </c>
      <c r="E451" s="11" t="s">
        <v>1697</v>
      </c>
      <c r="F451" s="221" t="s">
        <v>83</v>
      </c>
      <c r="G451" s="31" t="s">
        <v>1698</v>
      </c>
      <c r="H451" s="50" t="s">
        <v>22</v>
      </c>
      <c r="I451" s="217" t="s">
        <v>83</v>
      </c>
      <c r="J451" s="218">
        <v>46109.0</v>
      </c>
      <c r="K451" s="220">
        <v>46150.0</v>
      </c>
      <c r="L451" s="223">
        <v>5.0</v>
      </c>
      <c r="M451" s="53" t="s">
        <v>1699</v>
      </c>
    </row>
    <row r="452">
      <c r="A452" s="230" t="s">
        <v>39</v>
      </c>
      <c r="B452" s="220">
        <v>46109.0</v>
      </c>
      <c r="C452" s="35" t="s">
        <v>51</v>
      </c>
      <c r="D452" s="9" t="s">
        <v>1700</v>
      </c>
      <c r="E452" s="11" t="s">
        <v>1701</v>
      </c>
      <c r="F452" s="221" t="s">
        <v>89</v>
      </c>
      <c r="G452" s="192" t="s">
        <v>1702</v>
      </c>
      <c r="H452" s="41"/>
      <c r="I452" s="217" t="s">
        <v>83</v>
      </c>
      <c r="J452" s="218">
        <v>46112.0</v>
      </c>
      <c r="K452" s="220">
        <v>46151.0</v>
      </c>
      <c r="L452" s="223">
        <v>5.0</v>
      </c>
      <c r="M452" s="172" t="s">
        <v>1703</v>
      </c>
    </row>
    <row r="453">
      <c r="A453" s="230" t="s">
        <v>39</v>
      </c>
      <c r="B453" s="220">
        <v>46109.0</v>
      </c>
      <c r="C453" s="35" t="s">
        <v>51</v>
      </c>
      <c r="D453" s="9" t="s">
        <v>1704</v>
      </c>
      <c r="E453" s="11" t="s">
        <v>1705</v>
      </c>
      <c r="F453" s="221" t="s">
        <v>89</v>
      </c>
      <c r="G453" s="192" t="s">
        <v>1706</v>
      </c>
      <c r="H453" s="41"/>
      <c r="I453" s="217" t="s">
        <v>83</v>
      </c>
      <c r="J453" s="218">
        <v>46112.0</v>
      </c>
      <c r="K453" s="220"/>
      <c r="L453" s="223"/>
      <c r="M453" s="172" t="s">
        <v>1707</v>
      </c>
    </row>
    <row r="454">
      <c r="A454" s="230" t="s">
        <v>39</v>
      </c>
      <c r="B454" s="220">
        <v>46109.0</v>
      </c>
      <c r="C454" s="35" t="s">
        <v>51</v>
      </c>
      <c r="D454" s="9" t="s">
        <v>1708</v>
      </c>
      <c r="E454" s="11" t="s">
        <v>1709</v>
      </c>
      <c r="F454" s="221" t="s">
        <v>83</v>
      </c>
      <c r="G454" s="229" t="s">
        <v>814</v>
      </c>
      <c r="H454" s="50" t="s">
        <v>22</v>
      </c>
      <c r="I454" s="217" t="s">
        <v>83</v>
      </c>
      <c r="J454" s="218">
        <v>46123.0</v>
      </c>
      <c r="K454" s="219"/>
      <c r="L454" s="219"/>
      <c r="M454" s="53" t="s">
        <v>1710</v>
      </c>
    </row>
    <row r="455">
      <c r="A455" s="230" t="s">
        <v>120</v>
      </c>
      <c r="B455" s="220">
        <v>46112.0</v>
      </c>
      <c r="C455" s="35" t="s">
        <v>51</v>
      </c>
      <c r="D455" s="9" t="s">
        <v>1711</v>
      </c>
      <c r="E455" s="11" t="s">
        <v>1712</v>
      </c>
      <c r="F455" s="221" t="s">
        <v>527</v>
      </c>
      <c r="G455" s="192" t="s">
        <v>1713</v>
      </c>
      <c r="H455" s="50" t="s">
        <v>22</v>
      </c>
      <c r="I455" s="217" t="s">
        <v>89</v>
      </c>
      <c r="J455" s="218">
        <v>46115.0</v>
      </c>
      <c r="K455" s="220"/>
      <c r="L455" s="223"/>
      <c r="M455" s="172" t="s">
        <v>1714</v>
      </c>
    </row>
    <row r="456">
      <c r="A456" s="282" t="s">
        <v>76</v>
      </c>
      <c r="B456" s="220">
        <v>46112.0</v>
      </c>
      <c r="C456" s="35" t="s">
        <v>51</v>
      </c>
      <c r="D456" s="9" t="s">
        <v>1715</v>
      </c>
      <c r="E456" s="11" t="s">
        <v>1716</v>
      </c>
      <c r="F456" s="238" t="s">
        <v>83</v>
      </c>
      <c r="G456" s="230" t="s">
        <v>1717</v>
      </c>
      <c r="H456" s="50" t="s">
        <v>22</v>
      </c>
      <c r="I456" s="281" t="s">
        <v>83</v>
      </c>
      <c r="J456" s="218">
        <v>46119.0</v>
      </c>
      <c r="K456" s="219"/>
      <c r="L456" s="219"/>
      <c r="M456" s="53" t="s">
        <v>1718</v>
      </c>
    </row>
    <row r="457">
      <c r="A457" s="31" t="s">
        <v>39</v>
      </c>
      <c r="B457" s="220">
        <v>46112.0</v>
      </c>
      <c r="C457" s="35" t="s">
        <v>51</v>
      </c>
      <c r="D457" s="9" t="s">
        <v>1719</v>
      </c>
      <c r="E457" s="11" t="s">
        <v>1720</v>
      </c>
      <c r="F457" s="221" t="s">
        <v>83</v>
      </c>
      <c r="G457" s="229" t="s">
        <v>1721</v>
      </c>
      <c r="H457" s="50"/>
      <c r="I457" s="217" t="s">
        <v>83</v>
      </c>
      <c r="J457" s="218">
        <v>46112.0</v>
      </c>
      <c r="K457" s="220">
        <v>46122.0</v>
      </c>
      <c r="L457" s="223">
        <v>1.0</v>
      </c>
      <c r="M457" s="53" t="s">
        <v>1722</v>
      </c>
    </row>
    <row r="458">
      <c r="A458" s="230" t="s">
        <v>39</v>
      </c>
      <c r="B458" s="220">
        <v>46114.0</v>
      </c>
      <c r="C458" s="35" t="s">
        <v>51</v>
      </c>
      <c r="D458" s="9" t="s">
        <v>1723</v>
      </c>
      <c r="E458" s="11" t="s">
        <v>1724</v>
      </c>
      <c r="F458" s="221" t="s">
        <v>527</v>
      </c>
      <c r="G458" s="31" t="s">
        <v>1725</v>
      </c>
      <c r="H458" s="50" t="s">
        <v>22</v>
      </c>
      <c r="I458" s="217" t="s">
        <v>83</v>
      </c>
      <c r="J458" s="218">
        <v>46123.0</v>
      </c>
      <c r="K458" s="219"/>
      <c r="L458" s="219"/>
      <c r="M458" s="53" t="s">
        <v>1726</v>
      </c>
    </row>
    <row r="459">
      <c r="A459" s="230" t="s">
        <v>39</v>
      </c>
      <c r="B459" s="220">
        <v>46114.0</v>
      </c>
      <c r="C459" s="35" t="s">
        <v>51</v>
      </c>
      <c r="D459" s="9" t="s">
        <v>1727</v>
      </c>
      <c r="E459" s="11" t="s">
        <v>1728</v>
      </c>
      <c r="F459" s="221"/>
      <c r="G459" s="31" t="s">
        <v>1729</v>
      </c>
      <c r="H459" s="50" t="s">
        <v>22</v>
      </c>
      <c r="I459" s="217" t="s">
        <v>527</v>
      </c>
      <c r="J459" s="218">
        <v>46114.0</v>
      </c>
      <c r="K459" s="220">
        <v>46122.0</v>
      </c>
      <c r="L459" s="223">
        <v>1.0</v>
      </c>
      <c r="M459" s="53" t="s">
        <v>1730</v>
      </c>
    </row>
    <row r="460">
      <c r="A460" s="230" t="s">
        <v>39</v>
      </c>
      <c r="B460" s="220">
        <v>46115.0</v>
      </c>
      <c r="C460" s="35" t="s">
        <v>51</v>
      </c>
      <c r="D460" s="9" t="s">
        <v>1731</v>
      </c>
      <c r="E460" s="11" t="s">
        <v>1732</v>
      </c>
      <c r="F460" s="221" t="s">
        <v>83</v>
      </c>
      <c r="G460" s="31" t="s">
        <v>1733</v>
      </c>
      <c r="H460" s="50"/>
      <c r="I460" s="217" t="s">
        <v>83</v>
      </c>
      <c r="J460" s="218">
        <v>46119.0</v>
      </c>
      <c r="K460" s="219"/>
      <c r="L460" s="219"/>
      <c r="M460" s="53" t="s">
        <v>1734</v>
      </c>
    </row>
    <row r="461">
      <c r="A461" s="230" t="s">
        <v>39</v>
      </c>
      <c r="B461" s="220">
        <v>46119.0</v>
      </c>
      <c r="C461" s="35" t="s">
        <v>51</v>
      </c>
      <c r="D461" s="9" t="s">
        <v>1735</v>
      </c>
      <c r="E461" s="11" t="s">
        <v>1736</v>
      </c>
      <c r="F461" s="221" t="s">
        <v>89</v>
      </c>
      <c r="G461" s="31" t="s">
        <v>1737</v>
      </c>
      <c r="H461" s="50"/>
      <c r="I461" s="217" t="s">
        <v>89</v>
      </c>
      <c r="J461" s="218">
        <v>46123.0</v>
      </c>
      <c r="K461" s="219"/>
      <c r="L461" s="219"/>
      <c r="M461" s="53" t="s">
        <v>1738</v>
      </c>
    </row>
    <row r="462">
      <c r="A462" s="230" t="s">
        <v>39</v>
      </c>
      <c r="B462" s="220">
        <v>46119.0</v>
      </c>
      <c r="C462" s="35" t="s">
        <v>51</v>
      </c>
      <c r="D462" s="9" t="s">
        <v>1739</v>
      </c>
      <c r="E462" s="11" t="s">
        <v>1740</v>
      </c>
      <c r="F462" s="238" t="s">
        <v>83</v>
      </c>
      <c r="G462" s="31" t="s">
        <v>1741</v>
      </c>
      <c r="H462" s="50"/>
      <c r="I462" s="281" t="s">
        <v>83</v>
      </c>
      <c r="J462" s="218">
        <v>46119.0</v>
      </c>
      <c r="K462" s="219"/>
      <c r="L462" s="219"/>
      <c r="M462" s="53" t="s">
        <v>1742</v>
      </c>
    </row>
    <row r="463">
      <c r="A463" s="230" t="s">
        <v>76</v>
      </c>
      <c r="B463" s="220">
        <v>46119.0</v>
      </c>
      <c r="C463" s="35" t="s">
        <v>51</v>
      </c>
      <c r="D463" s="9" t="s">
        <v>1743</v>
      </c>
      <c r="E463" s="11" t="s">
        <v>1744</v>
      </c>
      <c r="F463" s="221" t="s">
        <v>89</v>
      </c>
      <c r="G463" s="31" t="s">
        <v>1745</v>
      </c>
      <c r="H463" s="50"/>
      <c r="I463" s="217" t="s">
        <v>89</v>
      </c>
      <c r="J463" s="218">
        <v>46120.0</v>
      </c>
      <c r="K463" s="219"/>
      <c r="L463" s="219"/>
      <c r="M463" s="53" t="s">
        <v>1746</v>
      </c>
    </row>
    <row r="464">
      <c r="A464" s="230" t="s">
        <v>39</v>
      </c>
      <c r="B464" s="220">
        <v>46119.0</v>
      </c>
      <c r="C464" s="35" t="s">
        <v>51</v>
      </c>
      <c r="D464" s="9" t="s">
        <v>1747</v>
      </c>
      <c r="E464" s="11" t="s">
        <v>1748</v>
      </c>
      <c r="F464" s="221" t="s">
        <v>83</v>
      </c>
      <c r="G464" s="31" t="s">
        <v>1749</v>
      </c>
      <c r="H464" s="50"/>
      <c r="I464" s="217" t="s">
        <v>83</v>
      </c>
      <c r="J464" s="218">
        <v>46123.0</v>
      </c>
      <c r="K464" s="219"/>
      <c r="L464" s="219"/>
      <c r="M464" s="223" t="s">
        <v>1750</v>
      </c>
    </row>
    <row r="465">
      <c r="A465" s="282" t="s">
        <v>76</v>
      </c>
      <c r="B465" s="220">
        <v>46119.0</v>
      </c>
      <c r="C465" s="35" t="s">
        <v>51</v>
      </c>
      <c r="D465" s="9" t="s">
        <v>1751</v>
      </c>
      <c r="E465" s="11" t="s">
        <v>1752</v>
      </c>
      <c r="F465" s="238" t="s">
        <v>83</v>
      </c>
      <c r="G465" s="31" t="s">
        <v>1753</v>
      </c>
      <c r="H465" s="50" t="s">
        <v>22</v>
      </c>
      <c r="I465" s="281" t="s">
        <v>83</v>
      </c>
      <c r="J465" s="218">
        <v>46121.0</v>
      </c>
      <c r="K465" s="219"/>
      <c r="L465" s="223">
        <v>2.0</v>
      </c>
      <c r="M465" s="223" t="s">
        <v>1754</v>
      </c>
    </row>
    <row r="466">
      <c r="A466" s="282" t="s">
        <v>39</v>
      </c>
      <c r="B466" s="220">
        <v>46119.0</v>
      </c>
      <c r="C466" s="35" t="s">
        <v>51</v>
      </c>
      <c r="D466" s="9" t="s">
        <v>1755</v>
      </c>
      <c r="E466" s="11" t="s">
        <v>1756</v>
      </c>
      <c r="F466" s="238" t="s">
        <v>83</v>
      </c>
      <c r="G466" s="31" t="s">
        <v>1757</v>
      </c>
      <c r="H466" s="50" t="s">
        <v>22</v>
      </c>
      <c r="I466" s="281" t="s">
        <v>83</v>
      </c>
      <c r="J466" s="218">
        <v>46154.0</v>
      </c>
      <c r="K466" s="219"/>
      <c r="L466" s="219"/>
      <c r="M466" s="53" t="s">
        <v>1758</v>
      </c>
    </row>
    <row r="467">
      <c r="A467" s="230" t="s">
        <v>39</v>
      </c>
      <c r="B467" s="220">
        <v>46119.0</v>
      </c>
      <c r="C467" s="35" t="s">
        <v>51</v>
      </c>
      <c r="D467" s="9" t="s">
        <v>1759</v>
      </c>
      <c r="E467" s="11" t="s">
        <v>1760</v>
      </c>
      <c r="F467" s="221" t="s">
        <v>83</v>
      </c>
      <c r="G467" s="192" t="s">
        <v>1761</v>
      </c>
      <c r="H467" s="50"/>
      <c r="I467" s="217" t="s">
        <v>89</v>
      </c>
      <c r="J467" s="218">
        <v>46120.0</v>
      </c>
      <c r="K467" s="220">
        <v>46127.0</v>
      </c>
      <c r="L467" s="223">
        <v>2.0</v>
      </c>
      <c r="M467" s="223" t="s">
        <v>1762</v>
      </c>
    </row>
    <row r="468">
      <c r="A468" s="230" t="s">
        <v>39</v>
      </c>
      <c r="B468" s="220">
        <v>46120.0</v>
      </c>
      <c r="C468" s="35" t="s">
        <v>51</v>
      </c>
      <c r="D468" s="9" t="s">
        <v>1763</v>
      </c>
      <c r="E468" s="11" t="s">
        <v>1764</v>
      </c>
      <c r="F468" s="221" t="s">
        <v>89</v>
      </c>
      <c r="G468" s="31" t="s">
        <v>1765</v>
      </c>
      <c r="H468" s="50"/>
      <c r="I468" s="217" t="s">
        <v>89</v>
      </c>
      <c r="J468" s="218">
        <v>46120.0</v>
      </c>
      <c r="K468" s="220">
        <v>46127.0</v>
      </c>
      <c r="L468" s="223">
        <v>1.0</v>
      </c>
      <c r="M468" s="192" t="s">
        <v>1766</v>
      </c>
    </row>
    <row r="469">
      <c r="A469" s="230" t="s">
        <v>39</v>
      </c>
      <c r="B469" s="220">
        <v>46121.0</v>
      </c>
      <c r="C469" s="35" t="s">
        <v>51</v>
      </c>
      <c r="D469" s="9" t="s">
        <v>1767</v>
      </c>
      <c r="E469" s="11" t="s">
        <v>1768</v>
      </c>
      <c r="F469" s="221" t="s">
        <v>83</v>
      </c>
      <c r="G469" s="31" t="s">
        <v>1769</v>
      </c>
      <c r="H469" s="50"/>
      <c r="I469" s="217" t="s">
        <v>83</v>
      </c>
      <c r="J469" s="218">
        <v>46121.0</v>
      </c>
      <c r="K469" s="220">
        <v>46122.0</v>
      </c>
      <c r="L469" s="223" t="s">
        <v>1770</v>
      </c>
      <c r="M469" s="223" t="s">
        <v>1771</v>
      </c>
    </row>
    <row r="470">
      <c r="A470" s="230" t="s">
        <v>39</v>
      </c>
      <c r="B470" s="220">
        <v>46121.0</v>
      </c>
      <c r="C470" s="35" t="s">
        <v>51</v>
      </c>
      <c r="D470" s="9" t="s">
        <v>1772</v>
      </c>
      <c r="E470" s="11" t="s">
        <v>1773</v>
      </c>
      <c r="F470" s="120" t="s">
        <v>56</v>
      </c>
      <c r="G470" s="283" t="s">
        <v>1774</v>
      </c>
      <c r="H470" s="284" t="s">
        <v>22</v>
      </c>
      <c r="I470" s="285" t="s">
        <v>83</v>
      </c>
      <c r="J470" s="286">
        <v>46133.0</v>
      </c>
      <c r="K470" s="48">
        <v>46150.0</v>
      </c>
      <c r="L470" s="50">
        <v>2.0</v>
      </c>
      <c r="M470" s="229" t="s">
        <v>1775</v>
      </c>
    </row>
    <row r="471">
      <c r="A471" s="31" t="s">
        <v>39</v>
      </c>
      <c r="B471" s="220">
        <v>46122.0</v>
      </c>
      <c r="C471" s="35" t="s">
        <v>51</v>
      </c>
      <c r="D471" s="9" t="s">
        <v>1776</v>
      </c>
      <c r="E471" s="11" t="s">
        <v>1777</v>
      </c>
      <c r="F471" s="221" t="s">
        <v>83</v>
      </c>
      <c r="G471" s="31" t="s">
        <v>1778</v>
      </c>
      <c r="H471" s="50"/>
      <c r="I471" s="217" t="s">
        <v>83</v>
      </c>
      <c r="J471" s="218">
        <v>46122.0</v>
      </c>
      <c r="K471" s="220">
        <v>46130.0</v>
      </c>
      <c r="L471" s="223">
        <v>3.0</v>
      </c>
      <c r="M471" s="223" t="s">
        <v>1779</v>
      </c>
    </row>
    <row r="472">
      <c r="A472" s="31" t="s">
        <v>39</v>
      </c>
      <c r="B472" s="220">
        <v>46122.0</v>
      </c>
      <c r="C472" s="35" t="s">
        <v>51</v>
      </c>
      <c r="D472" s="9" t="s">
        <v>1780</v>
      </c>
      <c r="E472" s="11" t="s">
        <v>1781</v>
      </c>
      <c r="F472" s="221" t="s">
        <v>83</v>
      </c>
      <c r="G472" s="229" t="s">
        <v>1782</v>
      </c>
      <c r="H472" s="50" t="s">
        <v>22</v>
      </c>
      <c r="I472" s="217" t="s">
        <v>83</v>
      </c>
      <c r="J472" s="218">
        <v>46123.0</v>
      </c>
      <c r="K472" s="219"/>
      <c r="L472" s="219"/>
      <c r="M472" s="223" t="s">
        <v>1783</v>
      </c>
    </row>
    <row r="473">
      <c r="A473" s="230" t="s">
        <v>39</v>
      </c>
      <c r="B473" s="220">
        <v>46122.0</v>
      </c>
      <c r="C473" s="35" t="s">
        <v>51</v>
      </c>
      <c r="D473" s="9" t="s">
        <v>1784</v>
      </c>
      <c r="E473" s="11" t="s">
        <v>1785</v>
      </c>
      <c r="F473" s="221" t="s">
        <v>527</v>
      </c>
      <c r="G473" s="31" t="s">
        <v>1786</v>
      </c>
      <c r="H473" s="50" t="s">
        <v>22</v>
      </c>
      <c r="I473" s="217" t="s">
        <v>83</v>
      </c>
      <c r="J473" s="218">
        <v>46123.0</v>
      </c>
      <c r="K473" s="220">
        <v>46155.0</v>
      </c>
      <c r="L473" s="223">
        <v>2.0</v>
      </c>
      <c r="M473" s="223" t="s">
        <v>1787</v>
      </c>
    </row>
    <row r="474">
      <c r="A474" s="31" t="s">
        <v>39</v>
      </c>
      <c r="B474" s="220">
        <v>46122.0</v>
      </c>
      <c r="C474" s="35" t="s">
        <v>51</v>
      </c>
      <c r="D474" s="9" t="s">
        <v>1788</v>
      </c>
      <c r="E474" s="11" t="s">
        <v>1789</v>
      </c>
      <c r="F474" s="238" t="s">
        <v>527</v>
      </c>
      <c r="G474" s="31">
        <v>4.0</v>
      </c>
      <c r="H474" s="50" t="s">
        <v>22</v>
      </c>
      <c r="I474" s="281" t="s">
        <v>89</v>
      </c>
      <c r="J474" s="218">
        <v>46129.0</v>
      </c>
      <c r="K474" s="219"/>
      <c r="L474" s="219"/>
      <c r="M474" s="192" t="s">
        <v>1790</v>
      </c>
    </row>
    <row r="475">
      <c r="A475" s="31" t="s">
        <v>39</v>
      </c>
      <c r="B475" s="220">
        <v>46126.0</v>
      </c>
      <c r="C475" s="35" t="s">
        <v>51</v>
      </c>
      <c r="D475" s="9" t="s">
        <v>1791</v>
      </c>
      <c r="E475" s="11" t="s">
        <v>1792</v>
      </c>
      <c r="F475" s="221" t="s">
        <v>89</v>
      </c>
      <c r="G475" s="31" t="s">
        <v>1793</v>
      </c>
      <c r="H475" s="50"/>
      <c r="I475" s="217" t="s">
        <v>83</v>
      </c>
      <c r="J475" s="218">
        <v>46129.0</v>
      </c>
      <c r="K475" s="220">
        <v>46136.0</v>
      </c>
      <c r="L475" s="223">
        <v>2.0</v>
      </c>
      <c r="M475" s="192" t="s">
        <v>1794</v>
      </c>
    </row>
    <row r="476">
      <c r="A476" s="31" t="s">
        <v>39</v>
      </c>
      <c r="B476" s="220">
        <v>46126.0</v>
      </c>
      <c r="C476" s="35" t="s">
        <v>51</v>
      </c>
      <c r="D476" s="9" t="s">
        <v>96</v>
      </c>
      <c r="E476" s="11" t="s">
        <v>1795</v>
      </c>
      <c r="F476" s="221" t="s">
        <v>83</v>
      </c>
      <c r="G476" s="31" t="s">
        <v>1796</v>
      </c>
      <c r="H476" s="50"/>
      <c r="I476" s="217" t="s">
        <v>83</v>
      </c>
      <c r="J476" s="218">
        <v>46126.0</v>
      </c>
      <c r="K476" s="220">
        <v>46127.0</v>
      </c>
      <c r="L476" s="223">
        <v>2.0</v>
      </c>
      <c r="M476" s="223" t="s">
        <v>1797</v>
      </c>
    </row>
    <row r="477">
      <c r="A477" s="31" t="s">
        <v>39</v>
      </c>
      <c r="B477" s="220">
        <v>46127.0</v>
      </c>
      <c r="C477" s="35" t="s">
        <v>51</v>
      </c>
      <c r="D477" s="9" t="s">
        <v>96</v>
      </c>
      <c r="E477" s="11" t="s">
        <v>1798</v>
      </c>
      <c r="F477" s="221" t="s">
        <v>89</v>
      </c>
      <c r="G477" s="31" t="s">
        <v>1799</v>
      </c>
      <c r="H477" s="50" t="s">
        <v>22</v>
      </c>
      <c r="I477" s="217" t="s">
        <v>83</v>
      </c>
      <c r="J477" s="218">
        <v>46128.0</v>
      </c>
      <c r="K477" s="219"/>
      <c r="L477" s="219"/>
      <c r="M477" s="223" t="s">
        <v>1800</v>
      </c>
    </row>
    <row r="478">
      <c r="A478" s="31" t="s">
        <v>39</v>
      </c>
      <c r="B478" s="220">
        <v>46128.0</v>
      </c>
      <c r="C478" s="35" t="s">
        <v>51</v>
      </c>
      <c r="D478" s="9" t="s">
        <v>1801</v>
      </c>
      <c r="E478" s="11" t="s">
        <v>1802</v>
      </c>
      <c r="F478" s="221" t="s">
        <v>83</v>
      </c>
      <c r="G478" s="31" t="s">
        <v>1803</v>
      </c>
      <c r="H478" s="50" t="s">
        <v>22</v>
      </c>
      <c r="I478" s="217" t="s">
        <v>83</v>
      </c>
      <c r="J478" s="218">
        <v>46128.0</v>
      </c>
      <c r="K478" s="220">
        <v>46158.0</v>
      </c>
      <c r="L478" s="223">
        <v>2.0</v>
      </c>
      <c r="M478" s="223" t="s">
        <v>1804</v>
      </c>
    </row>
    <row r="479">
      <c r="A479" s="31" t="s">
        <v>76</v>
      </c>
      <c r="B479" s="220">
        <v>46128.0</v>
      </c>
      <c r="C479" s="35" t="s">
        <v>51</v>
      </c>
      <c r="D479" s="9" t="s">
        <v>1805</v>
      </c>
      <c r="E479" s="11" t="s">
        <v>1806</v>
      </c>
      <c r="F479" s="221" t="s">
        <v>89</v>
      </c>
      <c r="G479" s="31" t="s">
        <v>1807</v>
      </c>
      <c r="H479" s="50" t="s">
        <v>22</v>
      </c>
      <c r="I479" s="217" t="s">
        <v>83</v>
      </c>
      <c r="J479" s="218">
        <v>46129.0</v>
      </c>
      <c r="K479" s="219"/>
      <c r="L479" s="219"/>
      <c r="M479" s="192" t="s">
        <v>1808</v>
      </c>
    </row>
    <row r="480">
      <c r="A480" s="230" t="s">
        <v>120</v>
      </c>
      <c r="B480" s="220">
        <v>46128.0</v>
      </c>
      <c r="C480" s="35" t="s">
        <v>51</v>
      </c>
      <c r="D480" s="9" t="s">
        <v>1809</v>
      </c>
      <c r="E480" s="11" t="s">
        <v>1810</v>
      </c>
      <c r="F480" s="221"/>
      <c r="G480" s="31" t="s">
        <v>1811</v>
      </c>
      <c r="H480" s="50"/>
      <c r="I480" s="217" t="s">
        <v>83</v>
      </c>
      <c r="J480" s="218">
        <v>46129.0</v>
      </c>
      <c r="K480" s="219"/>
      <c r="L480" s="219"/>
      <c r="M480" s="192" t="s">
        <v>1812</v>
      </c>
    </row>
    <row r="481">
      <c r="A481" s="230" t="s">
        <v>39</v>
      </c>
      <c r="B481" s="220">
        <v>46128.0</v>
      </c>
      <c r="C481" s="35" t="s">
        <v>51</v>
      </c>
      <c r="D481" s="9" t="s">
        <v>1813</v>
      </c>
      <c r="E481" s="11" t="s">
        <v>1814</v>
      </c>
      <c r="F481" s="221"/>
      <c r="G481" s="31" t="s">
        <v>1514</v>
      </c>
      <c r="H481" s="50"/>
      <c r="I481" s="217" t="s">
        <v>83</v>
      </c>
      <c r="J481" s="218">
        <v>46129.0</v>
      </c>
      <c r="K481" s="219"/>
      <c r="L481" s="219"/>
      <c r="M481" s="223" t="s">
        <v>1815</v>
      </c>
    </row>
    <row r="482">
      <c r="A482" s="31" t="s">
        <v>811</v>
      </c>
      <c r="B482" s="220">
        <v>46130.0</v>
      </c>
      <c r="C482" s="35" t="s">
        <v>51</v>
      </c>
      <c r="D482" s="9" t="s">
        <v>1816</v>
      </c>
      <c r="E482" s="11" t="s">
        <v>1817</v>
      </c>
      <c r="F482" s="221" t="s">
        <v>83</v>
      </c>
      <c r="G482" s="31" t="s">
        <v>1818</v>
      </c>
      <c r="H482" s="50"/>
      <c r="I482" s="217" t="s">
        <v>89</v>
      </c>
      <c r="J482" s="218">
        <v>46130.0</v>
      </c>
      <c r="K482" s="219"/>
      <c r="L482" s="219"/>
      <c r="M482" s="223" t="s">
        <v>183</v>
      </c>
    </row>
    <row r="483">
      <c r="A483" s="230" t="s">
        <v>39</v>
      </c>
      <c r="B483" s="220">
        <v>46134.0</v>
      </c>
      <c r="C483" s="35" t="s">
        <v>51</v>
      </c>
      <c r="D483" s="9" t="s">
        <v>1819</v>
      </c>
      <c r="E483" s="11" t="s">
        <v>1820</v>
      </c>
      <c r="F483" s="221"/>
      <c r="G483" s="229" t="s">
        <v>1821</v>
      </c>
      <c r="H483" s="50" t="s">
        <v>22</v>
      </c>
      <c r="I483" s="217" t="s">
        <v>83</v>
      </c>
      <c r="J483" s="218">
        <v>46135.0</v>
      </c>
      <c r="K483" s="219"/>
      <c r="L483" s="219"/>
      <c r="M483" s="223" t="s">
        <v>1822</v>
      </c>
    </row>
    <row r="484">
      <c r="A484" s="230" t="s">
        <v>120</v>
      </c>
      <c r="B484" s="220">
        <v>46134.0</v>
      </c>
      <c r="C484" s="35" t="s">
        <v>51</v>
      </c>
      <c r="D484" s="9" t="s">
        <v>1823</v>
      </c>
      <c r="E484" s="11" t="s">
        <v>1824</v>
      </c>
      <c r="F484" s="221"/>
      <c r="G484" s="31" t="s">
        <v>1825</v>
      </c>
      <c r="H484" s="50" t="s">
        <v>22</v>
      </c>
      <c r="I484" s="217" t="s">
        <v>83</v>
      </c>
      <c r="J484" s="218">
        <v>46134.0</v>
      </c>
      <c r="K484" s="219"/>
      <c r="L484" s="219"/>
      <c r="M484" s="223" t="s">
        <v>1826</v>
      </c>
    </row>
    <row r="485">
      <c r="A485" s="230" t="s">
        <v>811</v>
      </c>
      <c r="B485" s="220">
        <v>46135.0</v>
      </c>
      <c r="C485" s="35" t="s">
        <v>51</v>
      </c>
      <c r="D485" s="9" t="s">
        <v>1827</v>
      </c>
      <c r="E485" s="11" t="s">
        <v>1828</v>
      </c>
      <c r="F485" s="221"/>
      <c r="G485" s="31" t="s">
        <v>1829</v>
      </c>
      <c r="H485" s="50" t="s">
        <v>22</v>
      </c>
      <c r="I485" s="217" t="s">
        <v>83</v>
      </c>
      <c r="J485" s="218">
        <v>46150.0</v>
      </c>
      <c r="K485" s="219"/>
      <c r="L485" s="219"/>
      <c r="M485" s="223" t="s">
        <v>183</v>
      </c>
    </row>
    <row r="486">
      <c r="A486" s="230" t="s">
        <v>811</v>
      </c>
      <c r="B486" s="220">
        <v>46135.0</v>
      </c>
      <c r="C486" s="35" t="s">
        <v>51</v>
      </c>
      <c r="D486" s="9" t="s">
        <v>1830</v>
      </c>
      <c r="E486" s="11" t="s">
        <v>1831</v>
      </c>
      <c r="F486" s="221"/>
      <c r="G486" s="31" t="s">
        <v>1832</v>
      </c>
      <c r="H486" s="50" t="s">
        <v>22</v>
      </c>
      <c r="I486" s="217" t="s">
        <v>83</v>
      </c>
      <c r="J486" s="218">
        <v>46150.0</v>
      </c>
      <c r="K486" s="219"/>
      <c r="L486" s="219"/>
      <c r="M486" s="223" t="s">
        <v>183</v>
      </c>
    </row>
    <row r="487">
      <c r="A487" s="230" t="s">
        <v>39</v>
      </c>
      <c r="B487" s="220">
        <v>46135.0</v>
      </c>
      <c r="C487" s="35" t="s">
        <v>51</v>
      </c>
      <c r="D487" s="9" t="s">
        <v>1833</v>
      </c>
      <c r="E487" s="11" t="s">
        <v>1834</v>
      </c>
      <c r="F487" s="221"/>
      <c r="G487" s="31" t="s">
        <v>1835</v>
      </c>
      <c r="H487" s="50" t="s">
        <v>22</v>
      </c>
      <c r="I487" s="217" t="s">
        <v>83</v>
      </c>
      <c r="J487" s="218">
        <v>46136.0</v>
      </c>
      <c r="K487" s="219"/>
      <c r="L487" s="219"/>
      <c r="M487" s="223" t="s">
        <v>1836</v>
      </c>
    </row>
    <row r="488">
      <c r="A488" s="230" t="s">
        <v>120</v>
      </c>
      <c r="B488" s="220">
        <v>46137.0</v>
      </c>
      <c r="C488" s="35" t="s">
        <v>51</v>
      </c>
      <c r="D488" s="9" t="s">
        <v>1837</v>
      </c>
      <c r="E488" s="11" t="s">
        <v>1838</v>
      </c>
      <c r="F488" s="221"/>
      <c r="G488" s="31"/>
      <c r="H488" s="50"/>
      <c r="I488" s="217" t="s">
        <v>89</v>
      </c>
      <c r="J488" s="218">
        <v>46137.0</v>
      </c>
      <c r="K488" s="219"/>
      <c r="L488" s="219"/>
      <c r="M488" s="223" t="s">
        <v>1839</v>
      </c>
    </row>
    <row r="489">
      <c r="A489" s="230" t="s">
        <v>39</v>
      </c>
      <c r="B489" s="220">
        <v>46137.0</v>
      </c>
      <c r="C489" s="35" t="s">
        <v>51</v>
      </c>
      <c r="D489" s="9" t="s">
        <v>1840</v>
      </c>
      <c r="E489" s="11" t="s">
        <v>1841</v>
      </c>
      <c r="F489" s="221"/>
      <c r="G489" s="31"/>
      <c r="H489" s="50"/>
      <c r="I489" s="217" t="s">
        <v>89</v>
      </c>
      <c r="J489" s="218">
        <v>46137.0</v>
      </c>
      <c r="K489" s="219"/>
      <c r="L489" s="219"/>
      <c r="M489" s="192" t="s">
        <v>1842</v>
      </c>
    </row>
    <row r="490">
      <c r="A490" s="230" t="s">
        <v>76</v>
      </c>
      <c r="B490" s="220">
        <v>46137.0</v>
      </c>
      <c r="C490" s="35" t="s">
        <v>51</v>
      </c>
      <c r="D490" s="9" t="s">
        <v>1843</v>
      </c>
      <c r="E490" s="11" t="s">
        <v>1844</v>
      </c>
      <c r="F490" s="221"/>
      <c r="G490" s="31" t="str">
        <f>M489</f>
        <v>主要的決策者是媽媽，周先生在台中工作，只有周一二方便，媽媽先來參訪
下周二4/28 早上0900-0930先撥給媽媽預約(約的時間較彈性)
人數：2位</v>
      </c>
      <c r="H490" s="50" t="s">
        <v>22</v>
      </c>
      <c r="I490" s="217" t="s">
        <v>83</v>
      </c>
      <c r="J490" s="218">
        <v>46140.0</v>
      </c>
      <c r="K490" s="219"/>
      <c r="L490" s="219"/>
      <c r="M490" s="192" t="s">
        <v>1845</v>
      </c>
    </row>
    <row r="491">
      <c r="A491" s="230" t="s">
        <v>39</v>
      </c>
      <c r="B491" s="220">
        <v>46140.0</v>
      </c>
      <c r="C491" s="35" t="s">
        <v>51</v>
      </c>
      <c r="D491" s="9" t="s">
        <v>1846</v>
      </c>
      <c r="E491" s="11" t="s">
        <v>1847</v>
      </c>
      <c r="F491" s="221"/>
      <c r="G491" s="31" t="s">
        <v>1848</v>
      </c>
      <c r="H491" s="50" t="s">
        <v>22</v>
      </c>
      <c r="I491" s="217" t="s">
        <v>83</v>
      </c>
      <c r="J491" s="218">
        <v>46140.0</v>
      </c>
      <c r="K491" s="220"/>
      <c r="L491" s="223"/>
      <c r="M491" s="223" t="s">
        <v>1849</v>
      </c>
    </row>
    <row r="492">
      <c r="A492" s="230" t="s">
        <v>39</v>
      </c>
      <c r="B492" s="220">
        <v>46140.0</v>
      </c>
      <c r="C492" s="35" t="s">
        <v>51</v>
      </c>
      <c r="D492" s="9" t="s">
        <v>1850</v>
      </c>
      <c r="E492" s="11" t="s">
        <v>1851</v>
      </c>
      <c r="F492" s="221"/>
      <c r="G492" s="31" t="s">
        <v>1852</v>
      </c>
      <c r="H492" s="50" t="s">
        <v>22</v>
      </c>
      <c r="I492" s="217" t="s">
        <v>83</v>
      </c>
      <c r="J492" s="218">
        <v>46140.0</v>
      </c>
      <c r="K492" s="220">
        <v>46144.0</v>
      </c>
      <c r="L492" s="223">
        <v>2.0</v>
      </c>
      <c r="M492" s="223" t="s">
        <v>1853</v>
      </c>
      <c r="N492" s="287"/>
      <c r="O492" s="287"/>
      <c r="P492" s="287"/>
      <c r="Q492" s="287"/>
      <c r="R492" s="287"/>
      <c r="S492" s="287"/>
      <c r="T492" s="287"/>
      <c r="U492" s="287"/>
      <c r="V492" s="287"/>
      <c r="W492" s="287"/>
      <c r="X492" s="287"/>
      <c r="Y492" s="287"/>
      <c r="Z492" s="287"/>
      <c r="AA492" s="287"/>
    </row>
    <row r="493">
      <c r="A493" s="230" t="s">
        <v>120</v>
      </c>
      <c r="B493" s="220">
        <v>46140.0</v>
      </c>
      <c r="C493" s="35" t="s">
        <v>51</v>
      </c>
      <c r="D493" s="9" t="s">
        <v>1854</v>
      </c>
      <c r="E493" s="11" t="s">
        <v>1855</v>
      </c>
      <c r="F493" s="221"/>
      <c r="G493" s="31" t="s">
        <v>1856</v>
      </c>
      <c r="H493" s="50" t="s">
        <v>22</v>
      </c>
      <c r="I493" s="217" t="s">
        <v>83</v>
      </c>
      <c r="J493" s="218">
        <v>46141.0</v>
      </c>
      <c r="K493" s="219"/>
      <c r="L493" s="219"/>
      <c r="M493" s="288" t="s">
        <v>1857</v>
      </c>
    </row>
    <row r="494">
      <c r="A494" s="282" t="s">
        <v>76</v>
      </c>
      <c r="B494" s="289">
        <v>46140.0</v>
      </c>
      <c r="C494" s="35" t="s">
        <v>51</v>
      </c>
      <c r="D494" s="9" t="s">
        <v>1858</v>
      </c>
      <c r="E494" s="290" t="s">
        <v>1859</v>
      </c>
      <c r="F494" s="291"/>
      <c r="G494" s="292" t="s">
        <v>1860</v>
      </c>
      <c r="H494" s="293"/>
      <c r="I494" s="294" t="s">
        <v>83</v>
      </c>
      <c r="J494" s="295">
        <v>46143.0</v>
      </c>
      <c r="K494" s="296"/>
      <c r="L494" s="296"/>
      <c r="M494" s="288" t="s">
        <v>1861</v>
      </c>
    </row>
    <row r="495">
      <c r="A495" s="230" t="s">
        <v>811</v>
      </c>
      <c r="B495" s="220">
        <v>46140.0</v>
      </c>
      <c r="C495" s="35" t="s">
        <v>51</v>
      </c>
      <c r="D495" s="9" t="s">
        <v>1862</v>
      </c>
      <c r="E495" s="11" t="s">
        <v>1863</v>
      </c>
      <c r="F495" s="221"/>
      <c r="G495" s="31" t="s">
        <v>1864</v>
      </c>
      <c r="H495" s="50"/>
      <c r="I495" s="217"/>
      <c r="J495" s="218"/>
      <c r="K495" s="219"/>
      <c r="L495" s="219"/>
      <c r="M495" s="219"/>
    </row>
    <row r="496">
      <c r="A496" s="230" t="s">
        <v>39</v>
      </c>
      <c r="B496" s="220">
        <v>46140.0</v>
      </c>
      <c r="C496" s="35" t="s">
        <v>51</v>
      </c>
      <c r="D496" s="9" t="s">
        <v>1865</v>
      </c>
      <c r="E496" s="11" t="s">
        <v>1866</v>
      </c>
      <c r="F496" s="221"/>
      <c r="G496" s="31" t="s">
        <v>1867</v>
      </c>
      <c r="H496" s="50"/>
      <c r="I496" s="217" t="s">
        <v>83</v>
      </c>
      <c r="J496" s="218">
        <v>46140.0</v>
      </c>
      <c r="K496" s="219"/>
      <c r="L496" s="219"/>
      <c r="M496" s="223" t="s">
        <v>1868</v>
      </c>
    </row>
    <row r="497">
      <c r="A497" s="230" t="s">
        <v>39</v>
      </c>
      <c r="B497" s="220">
        <v>46140.0</v>
      </c>
      <c r="C497" s="35" t="s">
        <v>51</v>
      </c>
      <c r="D497" s="9" t="s">
        <v>1869</v>
      </c>
      <c r="E497" s="11" t="s">
        <v>1870</v>
      </c>
      <c r="F497" s="221" t="s">
        <v>83</v>
      </c>
      <c r="G497" s="31" t="s">
        <v>1871</v>
      </c>
      <c r="H497" s="50" t="s">
        <v>22</v>
      </c>
      <c r="I497" s="217" t="s">
        <v>83</v>
      </c>
      <c r="J497" s="218">
        <v>46141.0</v>
      </c>
      <c r="K497" s="219"/>
      <c r="L497" s="219"/>
      <c r="M497" s="223" t="s">
        <v>1872</v>
      </c>
    </row>
    <row r="498">
      <c r="A498" s="230" t="s">
        <v>76</v>
      </c>
      <c r="B498" s="220">
        <v>46140.0</v>
      </c>
      <c r="C498" s="35" t="s">
        <v>51</v>
      </c>
      <c r="D498" s="9" t="s">
        <v>1873</v>
      </c>
      <c r="E498" s="11" t="s">
        <v>1874</v>
      </c>
      <c r="F498" s="221" t="s">
        <v>83</v>
      </c>
      <c r="G498" s="31" t="s">
        <v>1875</v>
      </c>
      <c r="H498" s="50"/>
      <c r="I498" s="217" t="s">
        <v>83</v>
      </c>
      <c r="J498" s="218">
        <v>46141.0</v>
      </c>
      <c r="K498" s="220"/>
      <c r="L498" s="223"/>
      <c r="M498" s="192" t="s">
        <v>1876</v>
      </c>
    </row>
    <row r="499">
      <c r="A499" s="230" t="s">
        <v>39</v>
      </c>
      <c r="B499" s="220">
        <v>46141.0</v>
      </c>
      <c r="C499" s="35" t="s">
        <v>51</v>
      </c>
      <c r="D499" s="9" t="s">
        <v>1877</v>
      </c>
      <c r="E499" s="11" t="s">
        <v>1878</v>
      </c>
      <c r="F499" s="221" t="s">
        <v>83</v>
      </c>
      <c r="G499" s="31" t="s">
        <v>1879</v>
      </c>
      <c r="H499" s="50" t="s">
        <v>22</v>
      </c>
      <c r="I499" s="217" t="s">
        <v>83</v>
      </c>
      <c r="J499" s="218">
        <v>46141.0</v>
      </c>
      <c r="K499" s="220"/>
      <c r="L499" s="223">
        <v>2.0</v>
      </c>
      <c r="M499" s="223" t="s">
        <v>1880</v>
      </c>
    </row>
    <row r="500">
      <c r="A500" s="230" t="s">
        <v>120</v>
      </c>
      <c r="B500" s="220">
        <v>46142.0</v>
      </c>
      <c r="C500" s="35" t="s">
        <v>51</v>
      </c>
      <c r="D500" s="9" t="s">
        <v>1881</v>
      </c>
      <c r="E500" s="11" t="s">
        <v>1882</v>
      </c>
      <c r="F500" s="221" t="s">
        <v>83</v>
      </c>
      <c r="G500" s="31" t="s">
        <v>1883</v>
      </c>
      <c r="H500" s="50" t="s">
        <v>22</v>
      </c>
      <c r="I500" s="217" t="s">
        <v>83</v>
      </c>
      <c r="J500" s="218">
        <v>46150.0</v>
      </c>
      <c r="K500" s="219"/>
      <c r="L500" s="219"/>
      <c r="M500" s="223" t="s">
        <v>1884</v>
      </c>
    </row>
    <row r="501">
      <c r="A501" s="230" t="s">
        <v>76</v>
      </c>
      <c r="B501" s="220">
        <v>46142.0</v>
      </c>
      <c r="C501" s="35" t="s">
        <v>51</v>
      </c>
      <c r="D501" s="9" t="s">
        <v>1885</v>
      </c>
      <c r="E501" s="11" t="s">
        <v>1886</v>
      </c>
      <c r="F501" s="221" t="s">
        <v>83</v>
      </c>
      <c r="G501" s="31" t="s">
        <v>1887</v>
      </c>
      <c r="H501" s="50" t="s">
        <v>22</v>
      </c>
      <c r="I501" s="217" t="s">
        <v>83</v>
      </c>
      <c r="J501" s="218">
        <v>46148.0</v>
      </c>
      <c r="K501" s="219"/>
      <c r="L501" s="219"/>
      <c r="M501" s="223" t="s">
        <v>1888</v>
      </c>
    </row>
    <row r="502">
      <c r="A502" s="230" t="s">
        <v>39</v>
      </c>
      <c r="B502" s="220">
        <v>46142.0</v>
      </c>
      <c r="C502" s="35" t="s">
        <v>51</v>
      </c>
      <c r="D502" s="9" t="s">
        <v>1889</v>
      </c>
      <c r="E502" s="11" t="s">
        <v>1890</v>
      </c>
      <c r="F502" s="221" t="s">
        <v>83</v>
      </c>
      <c r="G502" s="31" t="s">
        <v>1891</v>
      </c>
      <c r="H502" s="50" t="s">
        <v>22</v>
      </c>
      <c r="I502" s="217" t="s">
        <v>83</v>
      </c>
      <c r="J502" s="218">
        <v>46142.0</v>
      </c>
      <c r="K502" s="219"/>
      <c r="L502" s="219"/>
      <c r="M502" s="223" t="s">
        <v>1892</v>
      </c>
    </row>
    <row r="503">
      <c r="A503" s="230" t="s">
        <v>39</v>
      </c>
      <c r="B503" s="220">
        <v>46142.0</v>
      </c>
      <c r="C503" s="35" t="s">
        <v>51</v>
      </c>
      <c r="D503" s="9" t="s">
        <v>1893</v>
      </c>
      <c r="E503" s="11" t="s">
        <v>1894</v>
      </c>
      <c r="F503" s="221" t="s">
        <v>89</v>
      </c>
      <c r="G503" s="31" t="s">
        <v>1895</v>
      </c>
      <c r="H503" s="50"/>
      <c r="I503" s="217" t="s">
        <v>83</v>
      </c>
      <c r="J503" s="218">
        <v>46142.0</v>
      </c>
      <c r="K503" s="219"/>
      <c r="L503" s="219"/>
      <c r="M503" s="223" t="s">
        <v>1896</v>
      </c>
    </row>
    <row r="504">
      <c r="A504" s="230" t="s">
        <v>39</v>
      </c>
      <c r="B504" s="220">
        <v>46143.0</v>
      </c>
      <c r="C504" s="35" t="s">
        <v>51</v>
      </c>
      <c r="D504" s="9" t="s">
        <v>1897</v>
      </c>
      <c r="E504" s="11" t="s">
        <v>1898</v>
      </c>
      <c r="F504" s="221" t="s">
        <v>83</v>
      </c>
      <c r="G504" s="31" t="s">
        <v>1899</v>
      </c>
      <c r="H504" s="50"/>
      <c r="I504" s="217" t="s">
        <v>83</v>
      </c>
      <c r="J504" s="218">
        <v>46143.0</v>
      </c>
      <c r="K504" s="220"/>
      <c r="L504" s="223"/>
      <c r="M504" s="223" t="s">
        <v>1900</v>
      </c>
    </row>
    <row r="505">
      <c r="A505" s="31" t="s">
        <v>811</v>
      </c>
      <c r="B505" s="220">
        <v>46143.0</v>
      </c>
      <c r="C505" s="35" t="s">
        <v>51</v>
      </c>
      <c r="D505" s="9" t="s">
        <v>1901</v>
      </c>
      <c r="E505" s="11" t="s">
        <v>1902</v>
      </c>
      <c r="F505" s="221" t="s">
        <v>83</v>
      </c>
      <c r="G505" s="31" t="s">
        <v>1903</v>
      </c>
      <c r="H505" s="50" t="s">
        <v>22</v>
      </c>
      <c r="I505" s="217" t="s">
        <v>83</v>
      </c>
      <c r="J505" s="218">
        <v>46144.0</v>
      </c>
      <c r="K505" s="219"/>
      <c r="L505" s="219"/>
      <c r="M505" s="223" t="s">
        <v>1904</v>
      </c>
    </row>
    <row r="506">
      <c r="A506" s="230" t="s">
        <v>120</v>
      </c>
      <c r="B506" s="220">
        <v>46143.0</v>
      </c>
      <c r="C506" s="35" t="s">
        <v>51</v>
      </c>
      <c r="D506" s="9" t="s">
        <v>1905</v>
      </c>
      <c r="E506" s="11" t="s">
        <v>1906</v>
      </c>
      <c r="F506" s="221" t="s">
        <v>83</v>
      </c>
      <c r="G506" s="31" t="s">
        <v>1907</v>
      </c>
      <c r="H506" s="50"/>
      <c r="I506" s="217" t="s">
        <v>83</v>
      </c>
      <c r="J506" s="218">
        <v>46143.0</v>
      </c>
      <c r="K506" s="219"/>
      <c r="L506" s="219"/>
      <c r="M506" s="223" t="s">
        <v>1908</v>
      </c>
    </row>
    <row r="507">
      <c r="A507" s="230" t="s">
        <v>39</v>
      </c>
      <c r="B507" s="220">
        <v>46144.0</v>
      </c>
      <c r="C507" s="35" t="s">
        <v>51</v>
      </c>
      <c r="D507" s="9" t="s">
        <v>1909</v>
      </c>
      <c r="E507" s="11" t="s">
        <v>1910</v>
      </c>
      <c r="F507" s="221" t="s">
        <v>83</v>
      </c>
      <c r="G507" s="31" t="s">
        <v>1911</v>
      </c>
      <c r="H507" s="50"/>
      <c r="I507" s="217" t="s">
        <v>83</v>
      </c>
      <c r="J507" s="218">
        <v>46150.0</v>
      </c>
      <c r="K507" s="219"/>
      <c r="L507" s="219"/>
      <c r="M507" s="223" t="s">
        <v>1912</v>
      </c>
    </row>
    <row r="508">
      <c r="A508" s="230" t="s">
        <v>39</v>
      </c>
      <c r="B508" s="220">
        <v>46147.0</v>
      </c>
      <c r="C508" s="35" t="s">
        <v>51</v>
      </c>
      <c r="D508" s="9" t="s">
        <v>1913</v>
      </c>
      <c r="E508" s="11" t="s">
        <v>1914</v>
      </c>
      <c r="F508" s="221" t="s">
        <v>83</v>
      </c>
      <c r="G508" s="31" t="s">
        <v>1915</v>
      </c>
      <c r="H508" s="50" t="s">
        <v>22</v>
      </c>
      <c r="I508" s="217" t="s">
        <v>83</v>
      </c>
      <c r="J508" s="218">
        <v>46147.0</v>
      </c>
      <c r="K508" s="220"/>
      <c r="L508" s="223">
        <v>1.0</v>
      </c>
      <c r="M508" s="223" t="s">
        <v>1916</v>
      </c>
    </row>
    <row r="509">
      <c r="A509" s="230" t="s">
        <v>120</v>
      </c>
      <c r="B509" s="220">
        <v>46147.0</v>
      </c>
      <c r="C509" s="35" t="s">
        <v>51</v>
      </c>
      <c r="D509" s="9" t="s">
        <v>1917</v>
      </c>
      <c r="E509" s="11" t="s">
        <v>1918</v>
      </c>
      <c r="F509" s="221" t="s">
        <v>83</v>
      </c>
      <c r="G509" s="31" t="s">
        <v>1919</v>
      </c>
      <c r="H509" s="50" t="s">
        <v>22</v>
      </c>
      <c r="I509" s="217" t="s">
        <v>83</v>
      </c>
      <c r="J509" s="218">
        <v>46150.0</v>
      </c>
      <c r="K509" s="219"/>
      <c r="L509" s="219"/>
      <c r="M509" s="223" t="s">
        <v>1920</v>
      </c>
    </row>
    <row r="510">
      <c r="A510" s="230" t="s">
        <v>39</v>
      </c>
      <c r="B510" s="220">
        <v>46147.0</v>
      </c>
      <c r="C510" s="35" t="s">
        <v>51</v>
      </c>
      <c r="D510" s="9" t="s">
        <v>1921</v>
      </c>
      <c r="E510" s="11" t="s">
        <v>1922</v>
      </c>
      <c r="F510" s="221" t="s">
        <v>83</v>
      </c>
      <c r="G510" s="31" t="s">
        <v>1923</v>
      </c>
      <c r="H510" s="50" t="s">
        <v>22</v>
      </c>
      <c r="I510" s="217" t="s">
        <v>83</v>
      </c>
      <c r="J510" s="218">
        <v>46150.0</v>
      </c>
      <c r="K510" s="219"/>
      <c r="L510" s="219"/>
      <c r="M510" s="223" t="s">
        <v>1924</v>
      </c>
    </row>
    <row r="511">
      <c r="A511" s="230" t="s">
        <v>39</v>
      </c>
      <c r="B511" s="220">
        <v>46147.0</v>
      </c>
      <c r="C511" s="35" t="s">
        <v>51</v>
      </c>
      <c r="D511" s="9" t="s">
        <v>1925</v>
      </c>
      <c r="E511" s="11" t="s">
        <v>1926</v>
      </c>
      <c r="F511" s="221" t="s">
        <v>83</v>
      </c>
      <c r="G511" s="31" t="s">
        <v>1927</v>
      </c>
      <c r="H511" s="50" t="s">
        <v>22</v>
      </c>
      <c r="I511" s="217" t="s">
        <v>83</v>
      </c>
      <c r="J511" s="218">
        <v>46147.0</v>
      </c>
      <c r="K511" s="219"/>
      <c r="L511" s="219"/>
      <c r="M511" s="223" t="s">
        <v>1928</v>
      </c>
    </row>
    <row r="512">
      <c r="A512" s="230" t="s">
        <v>39</v>
      </c>
      <c r="B512" s="220">
        <v>46147.0</v>
      </c>
      <c r="C512" s="35" t="s">
        <v>51</v>
      </c>
      <c r="D512" s="9" t="s">
        <v>1929</v>
      </c>
      <c r="E512" s="11" t="s">
        <v>1930</v>
      </c>
      <c r="F512" s="221" t="s">
        <v>83</v>
      </c>
      <c r="G512" s="31" t="s">
        <v>1931</v>
      </c>
      <c r="H512" s="50" t="s">
        <v>22</v>
      </c>
      <c r="I512" s="217" t="s">
        <v>83</v>
      </c>
      <c r="J512" s="218">
        <v>46148.0</v>
      </c>
      <c r="K512" s="219"/>
      <c r="L512" s="219"/>
      <c r="M512" s="223" t="s">
        <v>1932</v>
      </c>
    </row>
    <row r="513">
      <c r="A513" s="230" t="s">
        <v>39</v>
      </c>
      <c r="B513" s="220">
        <v>46147.0</v>
      </c>
      <c r="C513" s="35" t="s">
        <v>51</v>
      </c>
      <c r="D513" s="9" t="s">
        <v>1933</v>
      </c>
      <c r="E513" s="11" t="s">
        <v>1934</v>
      </c>
      <c r="F513" s="221" t="s">
        <v>83</v>
      </c>
      <c r="G513" s="31" t="s">
        <v>1935</v>
      </c>
      <c r="H513" s="50"/>
      <c r="I513" s="217" t="s">
        <v>83</v>
      </c>
      <c r="J513" s="218">
        <v>46147.0</v>
      </c>
      <c r="K513" s="219"/>
      <c r="L513" s="219"/>
      <c r="M513" s="223" t="s">
        <v>1936</v>
      </c>
    </row>
    <row r="514">
      <c r="A514" s="230" t="s">
        <v>39</v>
      </c>
      <c r="B514" s="220">
        <v>46147.0</v>
      </c>
      <c r="C514" s="35" t="s">
        <v>51</v>
      </c>
      <c r="D514" s="9" t="s">
        <v>1937</v>
      </c>
      <c r="E514" s="11" t="s">
        <v>1938</v>
      </c>
      <c r="F514" s="221" t="s">
        <v>83</v>
      </c>
      <c r="G514" s="31" t="s">
        <v>1939</v>
      </c>
      <c r="H514" s="50"/>
      <c r="I514" s="217" t="s">
        <v>83</v>
      </c>
      <c r="J514" s="218">
        <v>46147.0</v>
      </c>
      <c r="K514" s="220">
        <v>46151.0</v>
      </c>
      <c r="L514" s="223">
        <v>1.0</v>
      </c>
      <c r="M514" s="223" t="s">
        <v>1940</v>
      </c>
    </row>
    <row r="515">
      <c r="A515" s="230" t="s">
        <v>39</v>
      </c>
      <c r="B515" s="220">
        <v>46147.0</v>
      </c>
      <c r="C515" s="35" t="s">
        <v>51</v>
      </c>
      <c r="D515" s="9" t="s">
        <v>1941</v>
      </c>
      <c r="E515" s="11" t="s">
        <v>1942</v>
      </c>
      <c r="F515" s="221" t="s">
        <v>83</v>
      </c>
      <c r="G515" s="31" t="s">
        <v>1943</v>
      </c>
      <c r="H515" s="50" t="s">
        <v>22</v>
      </c>
      <c r="I515" s="217" t="s">
        <v>83</v>
      </c>
      <c r="J515" s="218">
        <v>46148.0</v>
      </c>
      <c r="K515" s="220"/>
      <c r="L515" s="223">
        <v>3.0</v>
      </c>
      <c r="M515" s="223" t="s">
        <v>1944</v>
      </c>
    </row>
    <row r="516">
      <c r="A516" s="230" t="s">
        <v>39</v>
      </c>
      <c r="B516" s="220">
        <v>46147.0</v>
      </c>
      <c r="C516" s="35" t="s">
        <v>51</v>
      </c>
      <c r="D516" s="9" t="s">
        <v>1945</v>
      </c>
      <c r="E516" s="11" t="s">
        <v>1946</v>
      </c>
      <c r="F516" s="221" t="s">
        <v>83</v>
      </c>
      <c r="G516" s="31" t="s">
        <v>1947</v>
      </c>
      <c r="H516" s="50" t="s">
        <v>22</v>
      </c>
      <c r="I516" s="217" t="s">
        <v>83</v>
      </c>
      <c r="J516" s="218">
        <v>46148.0</v>
      </c>
      <c r="K516" s="219"/>
      <c r="L516" s="219"/>
      <c r="M516" s="223" t="s">
        <v>1948</v>
      </c>
    </row>
    <row r="517">
      <c r="A517" s="31" t="s">
        <v>120</v>
      </c>
      <c r="B517" s="220">
        <v>46147.0</v>
      </c>
      <c r="C517" s="35" t="s">
        <v>51</v>
      </c>
      <c r="D517" s="9" t="s">
        <v>774</v>
      </c>
      <c r="E517" s="11" t="s">
        <v>1949</v>
      </c>
      <c r="F517" s="221" t="s">
        <v>83</v>
      </c>
      <c r="G517" s="229" t="s">
        <v>1950</v>
      </c>
      <c r="H517" s="50"/>
      <c r="I517" s="217" t="s">
        <v>83</v>
      </c>
      <c r="J517" s="218">
        <v>46149.0</v>
      </c>
      <c r="K517" s="219"/>
      <c r="L517" s="219"/>
      <c r="M517" s="223" t="s">
        <v>1951</v>
      </c>
    </row>
    <row r="518">
      <c r="A518" s="230" t="s">
        <v>39</v>
      </c>
      <c r="B518" s="220">
        <v>46147.0</v>
      </c>
      <c r="C518" s="35" t="s">
        <v>51</v>
      </c>
      <c r="D518" s="9" t="s">
        <v>1952</v>
      </c>
      <c r="E518" s="11" t="s">
        <v>1953</v>
      </c>
      <c r="F518" s="221" t="s">
        <v>527</v>
      </c>
      <c r="G518" s="31" t="s">
        <v>1954</v>
      </c>
      <c r="H518" s="50"/>
      <c r="I518" s="217" t="s">
        <v>83</v>
      </c>
      <c r="J518" s="218">
        <v>46149.0</v>
      </c>
      <c r="K518" s="220">
        <v>46151.0</v>
      </c>
      <c r="L518" s="223">
        <v>2.0</v>
      </c>
      <c r="M518" s="223" t="s">
        <v>1955</v>
      </c>
    </row>
    <row r="519">
      <c r="A519" s="230" t="s">
        <v>39</v>
      </c>
      <c r="B519" s="220">
        <v>46148.0</v>
      </c>
      <c r="C519" s="35" t="s">
        <v>51</v>
      </c>
      <c r="D519" s="9" t="s">
        <v>1956</v>
      </c>
      <c r="E519" s="11" t="s">
        <v>1957</v>
      </c>
      <c r="F519" s="221"/>
      <c r="G519" s="31" t="s">
        <v>1958</v>
      </c>
      <c r="H519" s="50" t="s">
        <v>22</v>
      </c>
      <c r="I519" s="217" t="s">
        <v>83</v>
      </c>
      <c r="J519" s="218">
        <v>46148.0</v>
      </c>
      <c r="K519" s="219"/>
      <c r="L519" s="219"/>
      <c r="M519" s="223" t="s">
        <v>1959</v>
      </c>
    </row>
    <row r="520">
      <c r="A520" s="230" t="s">
        <v>39</v>
      </c>
      <c r="B520" s="220">
        <v>46148.0</v>
      </c>
      <c r="C520" s="35" t="s">
        <v>51</v>
      </c>
      <c r="D520" s="9" t="s">
        <v>1960</v>
      </c>
      <c r="E520" s="11" t="s">
        <v>1961</v>
      </c>
      <c r="F520" s="221"/>
      <c r="G520" s="31" t="s">
        <v>1962</v>
      </c>
      <c r="H520" s="50" t="s">
        <v>22</v>
      </c>
      <c r="I520" s="217" t="s">
        <v>83</v>
      </c>
      <c r="J520" s="218">
        <v>46148.0</v>
      </c>
      <c r="K520" s="219"/>
      <c r="L520" s="219"/>
      <c r="M520" s="223" t="s">
        <v>1963</v>
      </c>
    </row>
    <row r="521">
      <c r="A521" s="230" t="s">
        <v>120</v>
      </c>
      <c r="B521" s="220">
        <v>46148.0</v>
      </c>
      <c r="C521" s="35" t="s">
        <v>51</v>
      </c>
      <c r="D521" s="9" t="s">
        <v>1964</v>
      </c>
      <c r="E521" s="11" t="s">
        <v>1965</v>
      </c>
      <c r="F521" s="221"/>
      <c r="G521" s="229" t="s">
        <v>1966</v>
      </c>
      <c r="H521" s="50"/>
      <c r="I521" s="217" t="s">
        <v>83</v>
      </c>
      <c r="J521" s="218">
        <v>46148.0</v>
      </c>
      <c r="K521" s="219"/>
      <c r="L521" s="219"/>
      <c r="M521" s="223" t="s">
        <v>1967</v>
      </c>
    </row>
    <row r="522">
      <c r="A522" s="230" t="s">
        <v>120</v>
      </c>
      <c r="B522" s="220">
        <v>46149.0</v>
      </c>
      <c r="C522" s="35" t="s">
        <v>51</v>
      </c>
      <c r="D522" s="9" t="s">
        <v>1968</v>
      </c>
      <c r="E522" s="11" t="s">
        <v>1969</v>
      </c>
      <c r="F522" s="221"/>
      <c r="G522" s="31" t="s">
        <v>1970</v>
      </c>
      <c r="H522" s="50" t="s">
        <v>22</v>
      </c>
      <c r="I522" s="217" t="s">
        <v>83</v>
      </c>
      <c r="J522" s="218">
        <v>46162.0</v>
      </c>
      <c r="K522" s="219"/>
      <c r="L522" s="219"/>
      <c r="M522" s="223" t="s">
        <v>1971</v>
      </c>
    </row>
    <row r="523">
      <c r="A523" s="31" t="s">
        <v>39</v>
      </c>
      <c r="B523" s="220">
        <v>46149.0</v>
      </c>
      <c r="C523" s="35" t="s">
        <v>51</v>
      </c>
      <c r="D523" s="9" t="s">
        <v>1972</v>
      </c>
      <c r="E523" s="11" t="s">
        <v>1973</v>
      </c>
      <c r="F523" s="221" t="s">
        <v>83</v>
      </c>
      <c r="G523" s="31" t="s">
        <v>1974</v>
      </c>
      <c r="H523" s="50"/>
      <c r="I523" s="217" t="s">
        <v>527</v>
      </c>
      <c r="J523" s="218">
        <v>46149.0</v>
      </c>
      <c r="K523" s="220">
        <v>46171.0</v>
      </c>
      <c r="L523" s="223">
        <v>1.0</v>
      </c>
      <c r="M523" s="223" t="s">
        <v>1975</v>
      </c>
      <c r="N523" s="21" t="s">
        <v>1976</v>
      </c>
    </row>
    <row r="524">
      <c r="A524" s="230" t="s">
        <v>76</v>
      </c>
      <c r="B524" s="220">
        <v>46150.0</v>
      </c>
      <c r="C524" s="35" t="s">
        <v>51</v>
      </c>
      <c r="D524" s="9" t="s">
        <v>234</v>
      </c>
      <c r="E524" s="11" t="s">
        <v>235</v>
      </c>
      <c r="F524" s="221"/>
      <c r="G524" s="31" t="s">
        <v>1977</v>
      </c>
      <c r="H524" s="50" t="s">
        <v>22</v>
      </c>
      <c r="I524" s="217" t="s">
        <v>527</v>
      </c>
      <c r="J524" s="218">
        <v>46150.0</v>
      </c>
      <c r="K524" s="219"/>
      <c r="L524" s="219"/>
      <c r="M524" s="223" t="s">
        <v>35</v>
      </c>
    </row>
    <row r="525">
      <c r="A525" s="230" t="s">
        <v>120</v>
      </c>
      <c r="B525" s="220">
        <v>46150.0</v>
      </c>
      <c r="C525" s="35" t="s">
        <v>51</v>
      </c>
      <c r="D525" s="9" t="s">
        <v>1318</v>
      </c>
      <c r="E525" s="11" t="s">
        <v>1978</v>
      </c>
      <c r="F525" s="221"/>
      <c r="G525" s="31" t="s">
        <v>1979</v>
      </c>
      <c r="H525" s="50" t="s">
        <v>22</v>
      </c>
      <c r="I525" s="217" t="s">
        <v>83</v>
      </c>
      <c r="J525" s="218">
        <v>46150.0</v>
      </c>
      <c r="K525" s="219"/>
      <c r="L525" s="219"/>
      <c r="M525" s="223" t="s">
        <v>1980</v>
      </c>
    </row>
    <row r="526">
      <c r="A526" s="230" t="s">
        <v>39</v>
      </c>
      <c r="B526" s="220">
        <v>46150.0</v>
      </c>
      <c r="C526" s="35" t="s">
        <v>51</v>
      </c>
      <c r="D526" s="9" t="s">
        <v>1981</v>
      </c>
      <c r="E526" s="11" t="s">
        <v>1982</v>
      </c>
      <c r="F526" s="221"/>
      <c r="G526" s="31" t="s">
        <v>1983</v>
      </c>
      <c r="H526" s="50"/>
      <c r="I526" s="217" t="s">
        <v>527</v>
      </c>
      <c r="J526" s="218">
        <v>46150.0</v>
      </c>
      <c r="K526" s="220"/>
      <c r="L526" s="223">
        <v>1.0</v>
      </c>
      <c r="M526" s="223" t="s">
        <v>1984</v>
      </c>
    </row>
    <row r="527">
      <c r="A527" s="230" t="s">
        <v>811</v>
      </c>
      <c r="B527" s="220">
        <v>46151.0</v>
      </c>
      <c r="C527" s="35" t="s">
        <v>51</v>
      </c>
      <c r="D527" s="9" t="s">
        <v>1985</v>
      </c>
      <c r="E527" s="11" t="s">
        <v>1986</v>
      </c>
      <c r="F527" s="221"/>
      <c r="G527" s="31" t="s">
        <v>1970</v>
      </c>
      <c r="H527" s="50" t="s">
        <v>22</v>
      </c>
      <c r="I527" s="217" t="s">
        <v>83</v>
      </c>
      <c r="J527" s="218">
        <v>46154.0</v>
      </c>
      <c r="K527" s="219"/>
      <c r="L527" s="219"/>
      <c r="M527" s="223" t="s">
        <v>1987</v>
      </c>
    </row>
    <row r="528">
      <c r="A528" s="56" t="s">
        <v>39</v>
      </c>
      <c r="B528" s="58">
        <v>46025.0</v>
      </c>
      <c r="C528" s="35" t="s">
        <v>51</v>
      </c>
      <c r="D528" s="9" t="s">
        <v>1988</v>
      </c>
      <c r="E528" s="11" t="s">
        <v>1989</v>
      </c>
      <c r="F528" s="61" t="s">
        <v>56</v>
      </c>
      <c r="G528" s="297" t="s">
        <v>157</v>
      </c>
      <c r="H528" s="63" t="s">
        <v>22</v>
      </c>
      <c r="I528" s="64" t="s">
        <v>89</v>
      </c>
      <c r="J528" s="65">
        <v>46029.0</v>
      </c>
      <c r="K528" s="66"/>
      <c r="L528" s="67"/>
      <c r="M528" s="68" t="s">
        <v>1990</v>
      </c>
    </row>
    <row r="529">
      <c r="A529" s="230" t="s">
        <v>811</v>
      </c>
      <c r="B529" s="220">
        <v>46151.0</v>
      </c>
      <c r="C529" s="35" t="s">
        <v>51</v>
      </c>
      <c r="D529" s="9" t="s">
        <v>1988</v>
      </c>
      <c r="E529" s="11" t="s">
        <v>1989</v>
      </c>
      <c r="F529" s="221"/>
      <c r="G529" s="31" t="s">
        <v>1991</v>
      </c>
      <c r="H529" s="50" t="s">
        <v>22</v>
      </c>
      <c r="I529" s="217" t="s">
        <v>83</v>
      </c>
      <c r="J529" s="218">
        <v>46154.0</v>
      </c>
      <c r="K529" s="219"/>
      <c r="L529" s="219"/>
      <c r="M529" s="223" t="s">
        <v>183</v>
      </c>
    </row>
    <row r="530">
      <c r="A530" s="230" t="s">
        <v>39</v>
      </c>
      <c r="B530" s="220">
        <v>46151.0</v>
      </c>
      <c r="C530" s="35" t="s">
        <v>51</v>
      </c>
      <c r="D530" s="9" t="s">
        <v>1992</v>
      </c>
      <c r="E530" s="11" t="s">
        <v>1993</v>
      </c>
      <c r="F530" s="221"/>
      <c r="G530" s="31"/>
      <c r="H530" s="50" t="s">
        <v>22</v>
      </c>
      <c r="I530" s="217" t="s">
        <v>83</v>
      </c>
      <c r="J530" s="218">
        <v>46154.0</v>
      </c>
      <c r="K530" s="219"/>
      <c r="L530" s="219"/>
      <c r="M530" s="223" t="s">
        <v>1994</v>
      </c>
    </row>
    <row r="531">
      <c r="A531" s="230" t="s">
        <v>120</v>
      </c>
      <c r="B531" s="220">
        <v>46154.0</v>
      </c>
      <c r="C531" s="35" t="s">
        <v>51</v>
      </c>
      <c r="D531" s="9" t="s">
        <v>1995</v>
      </c>
      <c r="E531" s="11" t="s">
        <v>1996</v>
      </c>
      <c r="F531" s="221"/>
      <c r="G531" s="31" t="s">
        <v>1997</v>
      </c>
      <c r="H531" s="50"/>
      <c r="I531" s="217" t="s">
        <v>83</v>
      </c>
      <c r="J531" s="218">
        <v>46154.0</v>
      </c>
      <c r="K531" s="219"/>
      <c r="L531" s="219"/>
      <c r="M531" s="223" t="s">
        <v>1998</v>
      </c>
    </row>
    <row r="532">
      <c r="A532" s="230" t="s">
        <v>39</v>
      </c>
      <c r="B532" s="220">
        <v>46154.0</v>
      </c>
      <c r="C532" s="35" t="s">
        <v>51</v>
      </c>
      <c r="D532" s="9" t="s">
        <v>1999</v>
      </c>
      <c r="E532" s="11" t="s">
        <v>2000</v>
      </c>
      <c r="F532" s="221"/>
      <c r="G532" s="31" t="s">
        <v>2001</v>
      </c>
      <c r="H532" s="50" t="s">
        <v>22</v>
      </c>
      <c r="I532" s="217" t="s">
        <v>83</v>
      </c>
      <c r="J532" s="218">
        <v>46154.0</v>
      </c>
      <c r="K532" s="220">
        <v>46155.0</v>
      </c>
      <c r="L532" s="223">
        <v>1.0</v>
      </c>
      <c r="M532" s="223" t="s">
        <v>2002</v>
      </c>
    </row>
    <row r="533">
      <c r="A533" s="230" t="s">
        <v>120</v>
      </c>
      <c r="B533" s="220">
        <v>46154.0</v>
      </c>
      <c r="C533" s="35" t="s">
        <v>51</v>
      </c>
      <c r="D533" s="9" t="s">
        <v>2003</v>
      </c>
      <c r="E533" s="11" t="s">
        <v>2004</v>
      </c>
      <c r="F533" s="221"/>
      <c r="G533" s="31" t="s">
        <v>2005</v>
      </c>
      <c r="H533" s="50" t="s">
        <v>22</v>
      </c>
      <c r="I533" s="217" t="s">
        <v>83</v>
      </c>
      <c r="J533" s="218">
        <v>46154.0</v>
      </c>
      <c r="K533" s="219"/>
      <c r="L533" s="219"/>
      <c r="M533" s="223" t="s">
        <v>2006</v>
      </c>
    </row>
    <row r="534">
      <c r="A534" s="230" t="s">
        <v>120</v>
      </c>
      <c r="B534" s="220">
        <v>46154.0</v>
      </c>
      <c r="C534" s="35" t="s">
        <v>51</v>
      </c>
      <c r="D534" s="9" t="s">
        <v>2007</v>
      </c>
      <c r="E534" s="11" t="s">
        <v>2008</v>
      </c>
      <c r="F534" s="221"/>
      <c r="G534" s="31" t="s">
        <v>2009</v>
      </c>
      <c r="H534" s="50" t="s">
        <v>22</v>
      </c>
      <c r="I534" s="217" t="s">
        <v>83</v>
      </c>
      <c r="J534" s="218">
        <v>46154.0</v>
      </c>
      <c r="K534" s="219"/>
      <c r="L534" s="219"/>
      <c r="M534" s="223" t="s">
        <v>2010</v>
      </c>
    </row>
    <row r="535">
      <c r="A535" s="230" t="s">
        <v>39</v>
      </c>
      <c r="B535" s="220">
        <v>46154.0</v>
      </c>
      <c r="C535" s="35" t="s">
        <v>51</v>
      </c>
      <c r="D535" s="9" t="s">
        <v>2011</v>
      </c>
      <c r="E535" s="11" t="s">
        <v>2012</v>
      </c>
      <c r="F535" s="221"/>
      <c r="G535" s="31" t="s">
        <v>2013</v>
      </c>
      <c r="H535" s="50" t="s">
        <v>22</v>
      </c>
      <c r="I535" s="217" t="s">
        <v>83</v>
      </c>
      <c r="J535" s="218">
        <v>46154.0</v>
      </c>
      <c r="K535" s="220">
        <v>46158.0</v>
      </c>
      <c r="L535" s="223">
        <v>2.0</v>
      </c>
      <c r="M535" s="223" t="s">
        <v>2014</v>
      </c>
    </row>
    <row r="536">
      <c r="A536" s="230" t="s">
        <v>39</v>
      </c>
      <c r="B536" s="220">
        <v>46156.0</v>
      </c>
      <c r="C536" s="35" t="s">
        <v>51</v>
      </c>
      <c r="D536" s="9" t="s">
        <v>2015</v>
      </c>
      <c r="E536" s="11" t="s">
        <v>2016</v>
      </c>
      <c r="F536" s="221"/>
      <c r="G536" s="31" t="s">
        <v>2017</v>
      </c>
      <c r="H536" s="50" t="s">
        <v>22</v>
      </c>
      <c r="I536" s="217" t="s">
        <v>83</v>
      </c>
      <c r="J536" s="218">
        <v>46156.0</v>
      </c>
      <c r="K536" s="219"/>
      <c r="L536" s="219"/>
      <c r="M536" s="223" t="s">
        <v>2018</v>
      </c>
    </row>
    <row r="537">
      <c r="A537" s="230" t="s">
        <v>39</v>
      </c>
      <c r="B537" s="220">
        <v>46157.0</v>
      </c>
      <c r="C537" s="35" t="s">
        <v>51</v>
      </c>
      <c r="D537" s="9" t="s">
        <v>2019</v>
      </c>
      <c r="E537" s="11" t="s">
        <v>2020</v>
      </c>
      <c r="F537" s="221"/>
      <c r="G537" s="31" t="s">
        <v>2021</v>
      </c>
      <c r="H537" s="50"/>
      <c r="I537" s="217" t="s">
        <v>83</v>
      </c>
      <c r="J537" s="218">
        <v>46154.0</v>
      </c>
      <c r="K537" s="220">
        <v>46165.0</v>
      </c>
      <c r="L537" s="223">
        <v>2.0</v>
      </c>
      <c r="M537" s="223" t="s">
        <v>2022</v>
      </c>
    </row>
    <row r="538">
      <c r="A538" s="230" t="s">
        <v>76</v>
      </c>
      <c r="B538" s="220">
        <v>46154.0</v>
      </c>
      <c r="C538" s="35" t="s">
        <v>51</v>
      </c>
      <c r="D538" s="9" t="s">
        <v>1791</v>
      </c>
      <c r="E538" s="11" t="s">
        <v>2023</v>
      </c>
      <c r="F538" s="221"/>
      <c r="G538" s="31" t="s">
        <v>2024</v>
      </c>
      <c r="H538" s="50"/>
      <c r="I538" s="217" t="s">
        <v>83</v>
      </c>
      <c r="J538" s="218">
        <v>46157.0</v>
      </c>
      <c r="K538" s="219"/>
      <c r="L538" s="219"/>
      <c r="M538" s="223" t="s">
        <v>2025</v>
      </c>
    </row>
    <row r="539">
      <c r="A539" s="230" t="s">
        <v>39</v>
      </c>
      <c r="B539" s="220">
        <v>46154.0</v>
      </c>
      <c r="C539" s="35" t="s">
        <v>51</v>
      </c>
      <c r="D539" s="9" t="s">
        <v>2026</v>
      </c>
      <c r="E539" s="298" t="s">
        <v>2027</v>
      </c>
      <c r="F539" s="221"/>
      <c r="G539" s="31" t="s">
        <v>2028</v>
      </c>
      <c r="H539" s="50" t="s">
        <v>22</v>
      </c>
      <c r="I539" s="217" t="s">
        <v>89</v>
      </c>
      <c r="J539" s="218">
        <v>46161.0</v>
      </c>
      <c r="K539" s="220">
        <v>46171.0</v>
      </c>
      <c r="L539" s="223">
        <v>2.0</v>
      </c>
      <c r="M539" s="223" t="s">
        <v>2029</v>
      </c>
    </row>
    <row r="540">
      <c r="A540" s="230" t="s">
        <v>39</v>
      </c>
      <c r="B540" s="220">
        <v>46154.0</v>
      </c>
      <c r="C540" s="35" t="s">
        <v>51</v>
      </c>
      <c r="D540" s="9" t="s">
        <v>2030</v>
      </c>
      <c r="E540" s="11" t="s">
        <v>2031</v>
      </c>
      <c r="F540" s="221"/>
      <c r="G540" s="31" t="s">
        <v>2032</v>
      </c>
      <c r="H540" s="50"/>
      <c r="I540" s="217" t="s">
        <v>83</v>
      </c>
      <c r="J540" s="218">
        <v>46154.0</v>
      </c>
      <c r="K540" s="220">
        <v>46199.0</v>
      </c>
      <c r="L540" s="223">
        <v>1.0</v>
      </c>
      <c r="M540" s="223" t="s">
        <v>2033</v>
      </c>
    </row>
    <row r="541">
      <c r="A541" s="230" t="s">
        <v>120</v>
      </c>
      <c r="B541" s="220">
        <v>46154.0</v>
      </c>
      <c r="C541" s="35" t="s">
        <v>51</v>
      </c>
      <c r="D541" s="9" t="s">
        <v>2034</v>
      </c>
      <c r="E541" s="11" t="s">
        <v>2035</v>
      </c>
      <c r="F541" s="221"/>
      <c r="G541" s="37" t="s">
        <v>2036</v>
      </c>
      <c r="H541" s="50" t="s">
        <v>22</v>
      </c>
      <c r="I541" s="217" t="s">
        <v>83</v>
      </c>
      <c r="J541" s="218">
        <v>46154.0</v>
      </c>
      <c r="K541" s="192"/>
      <c r="L541" s="223">
        <v>2.0</v>
      </c>
      <c r="M541" s="223" t="s">
        <v>2037</v>
      </c>
    </row>
    <row r="542">
      <c r="A542" s="230" t="s">
        <v>39</v>
      </c>
      <c r="B542" s="220">
        <v>46154.0</v>
      </c>
      <c r="C542" s="35" t="s">
        <v>51</v>
      </c>
      <c r="D542" s="9" t="s">
        <v>2038</v>
      </c>
      <c r="E542" s="11" t="s">
        <v>2039</v>
      </c>
      <c r="F542" s="221"/>
      <c r="G542" s="31" t="s">
        <v>2040</v>
      </c>
      <c r="H542" s="50" t="s">
        <v>22</v>
      </c>
      <c r="I542" s="217" t="s">
        <v>83</v>
      </c>
      <c r="J542" s="218">
        <v>46154.0</v>
      </c>
      <c r="K542" s="220">
        <v>46158.0</v>
      </c>
      <c r="L542" s="223">
        <v>1.0</v>
      </c>
      <c r="M542" s="223" t="s">
        <v>2041</v>
      </c>
    </row>
    <row r="543">
      <c r="A543" s="230" t="s">
        <v>39</v>
      </c>
      <c r="B543" s="220">
        <v>46154.0</v>
      </c>
      <c r="C543" s="35" t="s">
        <v>51</v>
      </c>
      <c r="D543" s="9" t="s">
        <v>2042</v>
      </c>
      <c r="E543" s="11" t="s">
        <v>2000</v>
      </c>
      <c r="F543" s="221"/>
      <c r="G543" s="31" t="s">
        <v>2043</v>
      </c>
      <c r="H543" s="50" t="s">
        <v>22</v>
      </c>
      <c r="I543" s="217" t="s">
        <v>83</v>
      </c>
      <c r="J543" s="218">
        <v>46154.0</v>
      </c>
      <c r="K543" s="220">
        <v>46155.0</v>
      </c>
      <c r="L543" s="223">
        <v>1.0</v>
      </c>
      <c r="M543" s="223" t="s">
        <v>2044</v>
      </c>
    </row>
    <row r="544">
      <c r="A544" s="230" t="s">
        <v>811</v>
      </c>
      <c r="B544" s="220">
        <v>46154.0</v>
      </c>
      <c r="C544" s="35" t="s">
        <v>51</v>
      </c>
      <c r="D544" s="9" t="s">
        <v>2045</v>
      </c>
      <c r="E544" s="11" t="s">
        <v>2046</v>
      </c>
      <c r="F544" s="221"/>
      <c r="G544" s="31" t="s">
        <v>2047</v>
      </c>
      <c r="H544" s="50" t="s">
        <v>22</v>
      </c>
      <c r="I544" s="217" t="s">
        <v>83</v>
      </c>
      <c r="J544" s="218">
        <v>46162.0</v>
      </c>
      <c r="K544" s="219"/>
      <c r="L544" s="219"/>
      <c r="M544" s="223" t="s">
        <v>2048</v>
      </c>
    </row>
    <row r="545">
      <c r="A545" s="230" t="s">
        <v>39</v>
      </c>
      <c r="B545" s="220">
        <v>46154.0</v>
      </c>
      <c r="C545" s="35" t="s">
        <v>51</v>
      </c>
      <c r="D545" s="9" t="s">
        <v>2049</v>
      </c>
      <c r="E545" s="11" t="s">
        <v>2050</v>
      </c>
      <c r="F545" s="221"/>
      <c r="G545" s="31" t="s">
        <v>2051</v>
      </c>
      <c r="H545" s="50"/>
      <c r="I545" s="217" t="s">
        <v>83</v>
      </c>
      <c r="J545" s="218">
        <v>46154.0</v>
      </c>
      <c r="K545" s="219"/>
      <c r="L545" s="219"/>
      <c r="M545" s="223" t="s">
        <v>2052</v>
      </c>
    </row>
    <row r="546">
      <c r="A546" s="230" t="s">
        <v>39</v>
      </c>
      <c r="B546" s="220">
        <v>46155.0</v>
      </c>
      <c r="C546" s="35" t="s">
        <v>51</v>
      </c>
      <c r="D546" s="9" t="s">
        <v>2053</v>
      </c>
      <c r="E546" s="11" t="s">
        <v>2054</v>
      </c>
      <c r="F546" s="221" t="s">
        <v>527</v>
      </c>
      <c r="G546" s="31"/>
      <c r="H546" s="50" t="s">
        <v>22</v>
      </c>
      <c r="I546" s="217"/>
      <c r="J546" s="218"/>
      <c r="K546" s="220">
        <v>46155.0</v>
      </c>
      <c r="L546" s="223">
        <v>1.0</v>
      </c>
      <c r="M546" s="31" t="s">
        <v>2040</v>
      </c>
    </row>
    <row r="547">
      <c r="A547" s="230" t="s">
        <v>39</v>
      </c>
      <c r="B547" s="220">
        <v>46155.0</v>
      </c>
      <c r="C547" s="35" t="s">
        <v>51</v>
      </c>
      <c r="D547" s="9" t="s">
        <v>2055</v>
      </c>
      <c r="E547" s="11" t="s">
        <v>2056</v>
      </c>
      <c r="F547" s="221" t="s">
        <v>527</v>
      </c>
      <c r="G547" s="31" t="s">
        <v>2057</v>
      </c>
      <c r="H547" s="50" t="s">
        <v>22</v>
      </c>
      <c r="I547" s="217" t="s">
        <v>83</v>
      </c>
      <c r="J547" s="218">
        <v>46157.0</v>
      </c>
      <c r="K547" s="220">
        <v>46179.0</v>
      </c>
      <c r="L547" s="223">
        <v>4.0</v>
      </c>
      <c r="M547" s="223" t="s">
        <v>2058</v>
      </c>
    </row>
    <row r="548">
      <c r="A548" s="230" t="s">
        <v>76</v>
      </c>
      <c r="B548" s="220">
        <v>46156.0</v>
      </c>
      <c r="C548" s="35" t="s">
        <v>51</v>
      </c>
      <c r="D548" s="9" t="s">
        <v>2059</v>
      </c>
      <c r="E548" s="11" t="s">
        <v>2060</v>
      </c>
      <c r="F548" s="221"/>
      <c r="G548" s="31" t="s">
        <v>2061</v>
      </c>
      <c r="H548" s="50" t="s">
        <v>22</v>
      </c>
      <c r="I548" s="217" t="s">
        <v>527</v>
      </c>
      <c r="J548" s="218">
        <v>46156.0</v>
      </c>
      <c r="K548" s="219"/>
      <c r="L548" s="219"/>
      <c r="M548" s="223" t="s">
        <v>2062</v>
      </c>
    </row>
    <row r="549">
      <c r="A549" s="230" t="s">
        <v>120</v>
      </c>
      <c r="B549" s="220">
        <v>46156.0</v>
      </c>
      <c r="C549" s="35" t="s">
        <v>51</v>
      </c>
      <c r="D549" s="9" t="s">
        <v>2063</v>
      </c>
      <c r="E549" s="11" t="s">
        <v>2064</v>
      </c>
      <c r="F549" s="221"/>
      <c r="G549" s="31" t="s">
        <v>2065</v>
      </c>
      <c r="H549" s="50" t="s">
        <v>22</v>
      </c>
      <c r="I549" s="217" t="s">
        <v>527</v>
      </c>
      <c r="J549" s="218">
        <v>46156.0</v>
      </c>
      <c r="K549" s="220"/>
      <c r="L549" s="219"/>
      <c r="M549" s="223" t="s">
        <v>2066</v>
      </c>
    </row>
    <row r="550">
      <c r="A550" s="230" t="s">
        <v>811</v>
      </c>
      <c r="B550" s="220">
        <v>46156.0</v>
      </c>
      <c r="C550" s="35" t="s">
        <v>51</v>
      </c>
      <c r="D550" s="9" t="s">
        <v>2067</v>
      </c>
      <c r="E550" s="11" t="s">
        <v>2068</v>
      </c>
      <c r="F550" s="221"/>
      <c r="G550" s="31" t="s">
        <v>2069</v>
      </c>
      <c r="H550" s="50" t="s">
        <v>22</v>
      </c>
      <c r="I550" s="217" t="s">
        <v>83</v>
      </c>
      <c r="J550" s="218">
        <v>46162.0</v>
      </c>
      <c r="K550" s="219"/>
      <c r="L550" s="219"/>
      <c r="M550" s="223" t="s">
        <v>2070</v>
      </c>
    </row>
    <row r="551">
      <c r="A551" s="230" t="s">
        <v>811</v>
      </c>
      <c r="B551" s="220">
        <v>46156.0</v>
      </c>
      <c r="C551" s="35" t="s">
        <v>51</v>
      </c>
      <c r="D551" s="9" t="s">
        <v>2071</v>
      </c>
      <c r="E551" s="11" t="s">
        <v>2072</v>
      </c>
      <c r="F551" s="221"/>
      <c r="G551" s="31" t="s">
        <v>2073</v>
      </c>
      <c r="H551" s="50" t="s">
        <v>22</v>
      </c>
      <c r="I551" s="217" t="s">
        <v>83</v>
      </c>
      <c r="J551" s="218">
        <v>46157.0</v>
      </c>
      <c r="K551" s="219"/>
      <c r="L551" s="219"/>
      <c r="M551" s="223" t="s">
        <v>2070</v>
      </c>
    </row>
    <row r="552">
      <c r="A552" s="230" t="s">
        <v>76</v>
      </c>
      <c r="B552" s="220">
        <v>46156.0</v>
      </c>
      <c r="C552" s="35" t="s">
        <v>51</v>
      </c>
      <c r="D552" s="9" t="s">
        <v>2074</v>
      </c>
      <c r="E552" s="11" t="s">
        <v>2075</v>
      </c>
      <c r="F552" s="221"/>
      <c r="G552" s="31" t="s">
        <v>2076</v>
      </c>
      <c r="H552" s="50" t="s">
        <v>22</v>
      </c>
      <c r="I552" s="217" t="s">
        <v>527</v>
      </c>
      <c r="J552" s="218">
        <v>46156.0</v>
      </c>
      <c r="K552" s="219"/>
      <c r="L552" s="219"/>
      <c r="M552" s="223" t="s">
        <v>2077</v>
      </c>
    </row>
    <row r="553">
      <c r="A553" s="230" t="s">
        <v>120</v>
      </c>
      <c r="B553" s="220">
        <v>46157.0</v>
      </c>
      <c r="C553" s="35" t="s">
        <v>51</v>
      </c>
      <c r="D553" s="9" t="s">
        <v>2078</v>
      </c>
      <c r="E553" s="11" t="s">
        <v>2079</v>
      </c>
      <c r="F553" s="221"/>
      <c r="G553" s="31" t="s">
        <v>2080</v>
      </c>
      <c r="H553" s="50" t="s">
        <v>22</v>
      </c>
      <c r="I553" s="217" t="s">
        <v>83</v>
      </c>
      <c r="J553" s="218">
        <v>46171.0</v>
      </c>
      <c r="K553" s="219"/>
      <c r="L553" s="219"/>
      <c r="M553" s="223" t="s">
        <v>2081</v>
      </c>
    </row>
    <row r="554">
      <c r="A554" s="230" t="s">
        <v>39</v>
      </c>
      <c r="B554" s="220">
        <v>46157.0</v>
      </c>
      <c r="C554" s="35" t="s">
        <v>51</v>
      </c>
      <c r="D554" s="9" t="s">
        <v>1119</v>
      </c>
      <c r="E554" s="11" t="s">
        <v>1120</v>
      </c>
      <c r="F554" s="221"/>
      <c r="G554" s="31" t="s">
        <v>2082</v>
      </c>
      <c r="H554" s="50" t="s">
        <v>22</v>
      </c>
      <c r="I554" s="217" t="s">
        <v>83</v>
      </c>
      <c r="J554" s="218">
        <v>46157.0</v>
      </c>
      <c r="K554" s="220">
        <v>46176.0</v>
      </c>
      <c r="L554" s="223">
        <v>1.0</v>
      </c>
      <c r="M554" s="223" t="s">
        <v>2083</v>
      </c>
    </row>
    <row r="555">
      <c r="A555" s="230" t="s">
        <v>76</v>
      </c>
      <c r="B555" s="220">
        <v>46157.0</v>
      </c>
      <c r="C555" s="35" t="s">
        <v>51</v>
      </c>
      <c r="D555" s="9" t="s">
        <v>2084</v>
      </c>
      <c r="E555" s="11" t="s">
        <v>2085</v>
      </c>
      <c r="F555" s="221"/>
      <c r="G555" s="31" t="s">
        <v>2086</v>
      </c>
      <c r="H555" s="50" t="s">
        <v>22</v>
      </c>
      <c r="I555" s="217" t="s">
        <v>83</v>
      </c>
      <c r="J555" s="218">
        <v>46157.0</v>
      </c>
      <c r="K555" s="219"/>
      <c r="L555" s="219"/>
      <c r="M555" s="223" t="s">
        <v>2087</v>
      </c>
    </row>
    <row r="556">
      <c r="A556" s="230" t="s">
        <v>39</v>
      </c>
      <c r="B556" s="48">
        <v>46157.0</v>
      </c>
      <c r="C556" s="35" t="s">
        <v>51</v>
      </c>
      <c r="D556" s="9" t="s">
        <v>2088</v>
      </c>
      <c r="E556" s="11" t="s">
        <v>2089</v>
      </c>
      <c r="F556" s="217" t="s">
        <v>527</v>
      </c>
      <c r="G556" s="299"/>
      <c r="H556" s="50" t="s">
        <v>22</v>
      </c>
      <c r="I556" s="217" t="s">
        <v>83</v>
      </c>
      <c r="J556" s="48">
        <v>46162.0</v>
      </c>
      <c r="K556" s="41"/>
      <c r="L556" s="41"/>
      <c r="M556" s="50" t="s">
        <v>2090</v>
      </c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</row>
    <row r="557">
      <c r="A557" s="230" t="s">
        <v>39</v>
      </c>
      <c r="B557" s="220">
        <v>46157.0</v>
      </c>
      <c r="C557" s="35" t="s">
        <v>51</v>
      </c>
      <c r="D557" s="9" t="s">
        <v>2091</v>
      </c>
      <c r="E557" s="11" t="s">
        <v>2092</v>
      </c>
      <c r="F557" s="221"/>
      <c r="G557" s="31" t="s">
        <v>2093</v>
      </c>
      <c r="H557" s="50"/>
      <c r="I557" s="217" t="s">
        <v>83</v>
      </c>
      <c r="J557" s="218">
        <v>46157.0</v>
      </c>
      <c r="K557" s="220">
        <v>46165.0</v>
      </c>
      <c r="L557" s="223">
        <v>3.0</v>
      </c>
      <c r="M557" s="223" t="s">
        <v>2094</v>
      </c>
    </row>
    <row r="558">
      <c r="A558" s="230" t="s">
        <v>811</v>
      </c>
      <c r="B558" s="220">
        <v>46157.0</v>
      </c>
      <c r="C558" s="35" t="s">
        <v>51</v>
      </c>
      <c r="D558" s="9" t="s">
        <v>2095</v>
      </c>
      <c r="E558" s="11" t="s">
        <v>2096</v>
      </c>
      <c r="F558" s="221" t="s">
        <v>527</v>
      </c>
      <c r="G558" s="31" t="s">
        <v>2097</v>
      </c>
      <c r="H558" s="50" t="s">
        <v>22</v>
      </c>
      <c r="I558" s="217" t="s">
        <v>83</v>
      </c>
      <c r="J558" s="218">
        <v>46171.0</v>
      </c>
      <c r="K558" s="219"/>
      <c r="L558" s="219"/>
      <c r="M558" s="223" t="s">
        <v>183</v>
      </c>
    </row>
    <row r="559">
      <c r="A559" s="230" t="s">
        <v>76</v>
      </c>
      <c r="B559" s="220">
        <v>46158.0</v>
      </c>
      <c r="C559" s="35" t="s">
        <v>51</v>
      </c>
      <c r="D559" s="9" t="s">
        <v>2098</v>
      </c>
      <c r="E559" s="11" t="s">
        <v>2099</v>
      </c>
      <c r="F559" s="221"/>
      <c r="G559" s="31" t="s">
        <v>2100</v>
      </c>
      <c r="H559" s="50" t="s">
        <v>22</v>
      </c>
      <c r="I559" s="217" t="s">
        <v>89</v>
      </c>
      <c r="J559" s="218">
        <v>46162.0</v>
      </c>
      <c r="K559" s="219"/>
      <c r="L559" s="219"/>
      <c r="M559" s="259" t="s">
        <v>2101</v>
      </c>
    </row>
    <row r="560">
      <c r="A560" s="230" t="s">
        <v>76</v>
      </c>
      <c r="B560" s="220">
        <v>46158.0</v>
      </c>
      <c r="C560" s="35" t="s">
        <v>51</v>
      </c>
      <c r="D560" s="9" t="s">
        <v>2102</v>
      </c>
      <c r="E560" s="11" t="s">
        <v>2103</v>
      </c>
      <c r="F560" s="221"/>
      <c r="G560" s="31" t="s">
        <v>2104</v>
      </c>
      <c r="H560" s="50" t="s">
        <v>22</v>
      </c>
      <c r="I560" s="217" t="s">
        <v>83</v>
      </c>
      <c r="J560" s="218">
        <v>46158.0</v>
      </c>
      <c r="K560" s="219"/>
      <c r="L560" s="219"/>
      <c r="M560" s="223" t="s">
        <v>2105</v>
      </c>
    </row>
    <row r="561">
      <c r="A561" s="230" t="s">
        <v>39</v>
      </c>
      <c r="B561" s="220">
        <v>46158.0</v>
      </c>
      <c r="C561" s="35" t="s">
        <v>51</v>
      </c>
      <c r="D561" s="210" t="s">
        <v>2106</v>
      </c>
      <c r="E561" s="11" t="s">
        <v>2107</v>
      </c>
      <c r="F561" s="221"/>
      <c r="G561" s="31" t="s">
        <v>2108</v>
      </c>
      <c r="H561" s="50" t="s">
        <v>22</v>
      </c>
      <c r="I561" s="217" t="s">
        <v>89</v>
      </c>
      <c r="J561" s="218">
        <v>46162.0</v>
      </c>
      <c r="K561" s="219"/>
      <c r="L561" s="219"/>
      <c r="M561" s="223" t="s">
        <v>2109</v>
      </c>
    </row>
    <row r="562">
      <c r="A562" s="230" t="s">
        <v>120</v>
      </c>
      <c r="B562" s="220">
        <v>46158.0</v>
      </c>
      <c r="C562" s="35" t="s">
        <v>51</v>
      </c>
      <c r="D562" s="9" t="s">
        <v>942</v>
      </c>
      <c r="E562" s="11" t="s">
        <v>2110</v>
      </c>
      <c r="F562" s="221"/>
      <c r="G562" s="31" t="s">
        <v>2111</v>
      </c>
      <c r="H562" s="50" t="s">
        <v>22</v>
      </c>
      <c r="I562" s="217" t="s">
        <v>89</v>
      </c>
      <c r="J562" s="218">
        <v>46161.0</v>
      </c>
      <c r="K562" s="219"/>
      <c r="L562" s="219"/>
      <c r="M562" s="300" t="s">
        <v>2112</v>
      </c>
    </row>
    <row r="563">
      <c r="A563" s="230" t="s">
        <v>39</v>
      </c>
      <c r="B563" s="220">
        <v>46161.0</v>
      </c>
      <c r="C563" s="35" t="s">
        <v>51</v>
      </c>
      <c r="D563" s="9" t="s">
        <v>2113</v>
      </c>
      <c r="E563" s="11" t="s">
        <v>2114</v>
      </c>
      <c r="F563" s="221" t="s">
        <v>89</v>
      </c>
      <c r="G563" s="31"/>
      <c r="H563" s="50"/>
      <c r="I563" s="217" t="s">
        <v>89</v>
      </c>
      <c r="J563" s="218">
        <v>46161.0</v>
      </c>
      <c r="K563" s="220">
        <v>46165.0</v>
      </c>
      <c r="L563" s="223">
        <v>4.0</v>
      </c>
      <c r="M563" s="192" t="s">
        <v>2115</v>
      </c>
    </row>
    <row r="564">
      <c r="A564" s="230" t="s">
        <v>39</v>
      </c>
      <c r="B564" s="220">
        <v>46161.0</v>
      </c>
      <c r="C564" s="35" t="s">
        <v>51</v>
      </c>
      <c r="D564" s="210" t="s">
        <v>2116</v>
      </c>
      <c r="E564" s="11" t="s">
        <v>2117</v>
      </c>
      <c r="F564" s="221"/>
      <c r="G564" s="31" t="s">
        <v>2118</v>
      </c>
      <c r="H564" s="50" t="s">
        <v>22</v>
      </c>
      <c r="I564" s="217" t="s">
        <v>89</v>
      </c>
      <c r="J564" s="218">
        <v>46161.0</v>
      </c>
      <c r="K564" s="219"/>
      <c r="L564" s="219"/>
      <c r="M564" s="301" t="s">
        <v>2119</v>
      </c>
    </row>
    <row r="565">
      <c r="A565" s="230" t="s">
        <v>39</v>
      </c>
      <c r="B565" s="220">
        <v>46161.0</v>
      </c>
      <c r="C565" s="35" t="s">
        <v>51</v>
      </c>
      <c r="D565" s="9" t="s">
        <v>2120</v>
      </c>
      <c r="E565" s="11" t="s">
        <v>2121</v>
      </c>
      <c r="F565" s="221"/>
      <c r="G565" s="31" t="s">
        <v>2122</v>
      </c>
      <c r="H565" s="50" t="s">
        <v>22</v>
      </c>
      <c r="I565" s="217" t="s">
        <v>89</v>
      </c>
      <c r="J565" s="218">
        <v>46161.0</v>
      </c>
      <c r="K565" s="219"/>
      <c r="L565" s="219"/>
      <c r="M565" s="223" t="s">
        <v>2123</v>
      </c>
    </row>
    <row r="566">
      <c r="A566" s="230" t="s">
        <v>76</v>
      </c>
      <c r="B566" s="220">
        <v>46161.0</v>
      </c>
      <c r="C566" s="35" t="s">
        <v>51</v>
      </c>
      <c r="D566" s="210" t="s">
        <v>2124</v>
      </c>
      <c r="E566" s="11" t="s">
        <v>2125</v>
      </c>
      <c r="F566" s="221"/>
      <c r="G566" s="31" t="s">
        <v>2126</v>
      </c>
      <c r="H566" s="50"/>
      <c r="I566" s="217" t="s">
        <v>89</v>
      </c>
      <c r="J566" s="218">
        <v>46161.0</v>
      </c>
      <c r="K566" s="220"/>
      <c r="L566" s="223">
        <v>1.0</v>
      </c>
      <c r="M566" s="223" t="s">
        <v>2127</v>
      </c>
    </row>
    <row r="567">
      <c r="A567" s="230" t="s">
        <v>39</v>
      </c>
      <c r="B567" s="220">
        <v>46161.0</v>
      </c>
      <c r="C567" s="35" t="s">
        <v>51</v>
      </c>
      <c r="D567" s="9" t="s">
        <v>2128</v>
      </c>
      <c r="E567" s="302" t="s">
        <v>2129</v>
      </c>
      <c r="F567" s="221"/>
      <c r="G567" s="31" t="s">
        <v>2130</v>
      </c>
      <c r="H567" s="50" t="s">
        <v>22</v>
      </c>
      <c r="I567" s="217" t="s">
        <v>89</v>
      </c>
      <c r="J567" s="218">
        <v>46161.0</v>
      </c>
      <c r="K567" s="219"/>
      <c r="L567" s="219"/>
      <c r="M567" s="223" t="s">
        <v>2131</v>
      </c>
    </row>
    <row r="568">
      <c r="A568" s="230" t="s">
        <v>120</v>
      </c>
      <c r="B568" s="220">
        <v>46161.0</v>
      </c>
      <c r="C568" s="35" t="s">
        <v>51</v>
      </c>
      <c r="D568" s="9" t="s">
        <v>2132</v>
      </c>
      <c r="E568" s="11" t="s">
        <v>2133</v>
      </c>
      <c r="F568" s="221"/>
      <c r="G568" s="179" t="s">
        <v>2134</v>
      </c>
      <c r="H568" s="50"/>
      <c r="I568" s="217" t="s">
        <v>83</v>
      </c>
      <c r="J568" s="218">
        <v>46171.0</v>
      </c>
      <c r="K568" s="219"/>
      <c r="L568" s="219"/>
      <c r="M568" s="223" t="s">
        <v>2135</v>
      </c>
    </row>
    <row r="569">
      <c r="A569" s="230" t="s">
        <v>39</v>
      </c>
      <c r="B569" s="220">
        <v>46162.0</v>
      </c>
      <c r="C569" s="35" t="s">
        <v>51</v>
      </c>
      <c r="D569" s="9" t="s">
        <v>2136</v>
      </c>
      <c r="E569" s="11" t="s">
        <v>2137</v>
      </c>
      <c r="F569" s="221"/>
      <c r="G569" s="31" t="s">
        <v>2138</v>
      </c>
      <c r="H569" s="50" t="s">
        <v>22</v>
      </c>
      <c r="I569" s="217" t="s">
        <v>83</v>
      </c>
      <c r="J569" s="218">
        <v>46162.0</v>
      </c>
      <c r="K569" s="219"/>
      <c r="L569" s="219"/>
      <c r="M569" s="223" t="s">
        <v>2139</v>
      </c>
    </row>
    <row r="570">
      <c r="A570" s="230" t="s">
        <v>39</v>
      </c>
      <c r="B570" s="220">
        <v>46162.0</v>
      </c>
      <c r="C570" s="35" t="s">
        <v>51</v>
      </c>
      <c r="D570" s="210" t="s">
        <v>2140</v>
      </c>
      <c r="E570" s="11" t="s">
        <v>2141</v>
      </c>
      <c r="F570" s="221"/>
      <c r="G570" s="31" t="s">
        <v>2142</v>
      </c>
      <c r="H570" s="50" t="s">
        <v>22</v>
      </c>
      <c r="I570" s="217" t="s">
        <v>89</v>
      </c>
      <c r="J570" s="218">
        <v>46168.0</v>
      </c>
      <c r="K570" s="220"/>
      <c r="L570" s="223"/>
      <c r="M570" s="301" t="s">
        <v>2143</v>
      </c>
    </row>
    <row r="571">
      <c r="A571" s="230" t="s">
        <v>120</v>
      </c>
      <c r="B571" s="220">
        <v>46162.0</v>
      </c>
      <c r="C571" s="35" t="s">
        <v>51</v>
      </c>
      <c r="D571" s="210" t="s">
        <v>2144</v>
      </c>
      <c r="E571" s="11" t="s">
        <v>2145</v>
      </c>
      <c r="F571" s="221"/>
      <c r="G571" s="31" t="s">
        <v>2146</v>
      </c>
      <c r="H571" s="50" t="s">
        <v>22</v>
      </c>
      <c r="I571" s="217" t="s">
        <v>83</v>
      </c>
      <c r="J571" s="218">
        <v>46162.0</v>
      </c>
      <c r="K571" s="219"/>
      <c r="L571" s="219"/>
      <c r="M571" s="223" t="s">
        <v>2147</v>
      </c>
    </row>
    <row r="572">
      <c r="A572" s="230" t="s">
        <v>39</v>
      </c>
      <c r="B572" s="220">
        <v>46163.0</v>
      </c>
      <c r="C572" s="35" t="s">
        <v>51</v>
      </c>
      <c r="D572" s="210" t="s">
        <v>2148</v>
      </c>
      <c r="E572" s="11" t="s">
        <v>2149</v>
      </c>
      <c r="F572" s="221"/>
      <c r="G572" s="31" t="s">
        <v>2150</v>
      </c>
      <c r="H572" s="50"/>
      <c r="I572" s="217" t="s">
        <v>89</v>
      </c>
      <c r="J572" s="218">
        <v>46163.0</v>
      </c>
      <c r="K572" s="220">
        <v>46165.0</v>
      </c>
      <c r="L572" s="223">
        <v>2.0</v>
      </c>
      <c r="M572" s="192" t="s">
        <v>2151</v>
      </c>
    </row>
    <row r="573">
      <c r="A573" s="230" t="s">
        <v>120</v>
      </c>
      <c r="B573" s="220">
        <v>46164.0</v>
      </c>
      <c r="C573" s="35" t="s">
        <v>51</v>
      </c>
      <c r="D573" s="210" t="s">
        <v>2152</v>
      </c>
      <c r="E573" s="11" t="s">
        <v>2153</v>
      </c>
      <c r="F573" s="221"/>
      <c r="G573" s="31" t="s">
        <v>2154</v>
      </c>
      <c r="H573" s="50" t="s">
        <v>22</v>
      </c>
      <c r="I573" s="217" t="s">
        <v>89</v>
      </c>
      <c r="J573" s="218">
        <v>46164.0</v>
      </c>
      <c r="K573" s="219"/>
      <c r="L573" s="219"/>
      <c r="M573" s="192" t="s">
        <v>2155</v>
      </c>
    </row>
    <row r="574">
      <c r="A574" s="230" t="s">
        <v>39</v>
      </c>
      <c r="B574" s="220">
        <v>46164.0</v>
      </c>
      <c r="C574" s="35" t="s">
        <v>51</v>
      </c>
      <c r="D574" s="210" t="s">
        <v>2156</v>
      </c>
      <c r="E574" s="11" t="s">
        <v>2157</v>
      </c>
      <c r="F574" s="221"/>
      <c r="G574" s="31" t="s">
        <v>2158</v>
      </c>
      <c r="H574" s="50" t="s">
        <v>22</v>
      </c>
      <c r="I574" s="217" t="s">
        <v>89</v>
      </c>
      <c r="J574" s="218">
        <v>46164.0</v>
      </c>
      <c r="K574" s="220">
        <v>46176.0</v>
      </c>
      <c r="L574" s="223">
        <v>2.0</v>
      </c>
      <c r="M574" s="223" t="s">
        <v>2159</v>
      </c>
    </row>
    <row r="575">
      <c r="A575" s="230" t="s">
        <v>120</v>
      </c>
      <c r="B575" s="220">
        <v>46164.0</v>
      </c>
      <c r="C575" s="35" t="s">
        <v>51</v>
      </c>
      <c r="D575" s="210" t="s">
        <v>2160</v>
      </c>
      <c r="E575" s="11" t="s">
        <v>2161</v>
      </c>
      <c r="F575" s="221"/>
      <c r="G575" s="179" t="s">
        <v>2162</v>
      </c>
      <c r="H575" s="50" t="s">
        <v>22</v>
      </c>
      <c r="I575" s="217" t="s">
        <v>83</v>
      </c>
      <c r="J575" s="218">
        <v>46165.0</v>
      </c>
      <c r="K575" s="219"/>
      <c r="L575" s="219"/>
      <c r="M575" s="223" t="s">
        <v>2163</v>
      </c>
    </row>
    <row r="576">
      <c r="A576" s="230" t="s">
        <v>811</v>
      </c>
      <c r="B576" s="220">
        <v>46165.0</v>
      </c>
      <c r="C576" s="35" t="s">
        <v>51</v>
      </c>
      <c r="D576" s="210" t="s">
        <v>452</v>
      </c>
      <c r="E576" s="11" t="s">
        <v>2164</v>
      </c>
      <c r="F576" s="221"/>
      <c r="G576" s="31" t="s">
        <v>2165</v>
      </c>
      <c r="H576" s="50" t="s">
        <v>22</v>
      </c>
      <c r="I576" s="217" t="s">
        <v>83</v>
      </c>
      <c r="J576" s="218">
        <v>46165.0</v>
      </c>
      <c r="K576" s="219"/>
      <c r="L576" s="219"/>
      <c r="M576" s="223" t="s">
        <v>183</v>
      </c>
    </row>
    <row r="577">
      <c r="A577" s="230" t="s">
        <v>120</v>
      </c>
      <c r="B577" s="220">
        <v>46165.0</v>
      </c>
      <c r="C577" s="35" t="s">
        <v>51</v>
      </c>
      <c r="D577" s="210" t="s">
        <v>2166</v>
      </c>
      <c r="E577" s="11" t="s">
        <v>2167</v>
      </c>
      <c r="F577" s="221"/>
      <c r="G577" s="31" t="s">
        <v>2168</v>
      </c>
      <c r="H577" s="50" t="s">
        <v>22</v>
      </c>
      <c r="I577" s="217" t="s">
        <v>83</v>
      </c>
      <c r="J577" s="218">
        <v>46165.0</v>
      </c>
      <c r="K577" s="219"/>
      <c r="L577" s="219"/>
      <c r="M577" s="223" t="s">
        <v>2169</v>
      </c>
    </row>
    <row r="578">
      <c r="A578" s="230" t="s">
        <v>39</v>
      </c>
      <c r="B578" s="220">
        <v>46165.0</v>
      </c>
      <c r="C578" s="35" t="s">
        <v>51</v>
      </c>
      <c r="D578" s="210" t="s">
        <v>2170</v>
      </c>
      <c r="E578" s="11" t="s">
        <v>2171</v>
      </c>
      <c r="F578" s="221"/>
      <c r="G578" s="31" t="s">
        <v>2172</v>
      </c>
      <c r="H578" s="50" t="s">
        <v>22</v>
      </c>
      <c r="I578" s="217" t="s">
        <v>83</v>
      </c>
      <c r="J578" s="218">
        <v>46165.0</v>
      </c>
      <c r="K578" s="219"/>
      <c r="L578" s="219"/>
      <c r="M578" s="223" t="s">
        <v>2173</v>
      </c>
    </row>
    <row r="579">
      <c r="A579" s="230" t="s">
        <v>39</v>
      </c>
      <c r="B579" s="220">
        <v>46165.0</v>
      </c>
      <c r="C579" s="35" t="s">
        <v>51</v>
      </c>
      <c r="D579" s="210" t="s">
        <v>1791</v>
      </c>
      <c r="E579" s="11" t="s">
        <v>2174</v>
      </c>
      <c r="F579" s="221" t="s">
        <v>83</v>
      </c>
      <c r="G579" s="31" t="s">
        <v>2175</v>
      </c>
      <c r="H579" s="50"/>
      <c r="I579" s="217" t="s">
        <v>89</v>
      </c>
      <c r="J579" s="218">
        <v>46168.0</v>
      </c>
      <c r="K579" s="219"/>
      <c r="L579" s="219"/>
      <c r="M579" s="223" t="s">
        <v>2176</v>
      </c>
    </row>
    <row r="580">
      <c r="A580" s="230" t="s">
        <v>39</v>
      </c>
      <c r="B580" s="220">
        <v>46168.0</v>
      </c>
      <c r="C580" s="35" t="s">
        <v>51</v>
      </c>
      <c r="D580" s="210" t="s">
        <v>2177</v>
      </c>
      <c r="E580" s="11" t="s">
        <v>2178</v>
      </c>
      <c r="F580" s="221"/>
      <c r="G580" s="31" t="s">
        <v>2179</v>
      </c>
      <c r="H580" s="50" t="s">
        <v>22</v>
      </c>
      <c r="I580" s="217" t="s">
        <v>89</v>
      </c>
      <c r="J580" s="218">
        <v>46172.0</v>
      </c>
      <c r="K580" s="220">
        <v>46200.0</v>
      </c>
      <c r="L580" s="223">
        <v>1.0</v>
      </c>
      <c r="M580" s="192" t="s">
        <v>2180</v>
      </c>
    </row>
    <row r="581">
      <c r="A581" s="230" t="s">
        <v>76</v>
      </c>
      <c r="B581" s="220">
        <v>46168.0</v>
      </c>
      <c r="C581" s="35" t="s">
        <v>51</v>
      </c>
      <c r="D581" s="210" t="s">
        <v>2181</v>
      </c>
      <c r="E581" s="11" t="s">
        <v>2182</v>
      </c>
      <c r="F581" s="221"/>
      <c r="G581" s="31" t="s">
        <v>2183</v>
      </c>
      <c r="H581" s="50" t="s">
        <v>22</v>
      </c>
      <c r="I581" s="217" t="s">
        <v>89</v>
      </c>
      <c r="J581" s="218">
        <v>46168.0</v>
      </c>
      <c r="K581" s="219"/>
      <c r="L581" s="219"/>
      <c r="M581" s="223" t="s">
        <v>2184</v>
      </c>
    </row>
    <row r="582">
      <c r="A582" s="230" t="s">
        <v>120</v>
      </c>
      <c r="B582" s="220">
        <v>46168.0</v>
      </c>
      <c r="C582" s="35" t="s">
        <v>51</v>
      </c>
      <c r="D582" s="210" t="s">
        <v>2185</v>
      </c>
      <c r="E582" s="11" t="s">
        <v>2186</v>
      </c>
      <c r="F582" s="221"/>
      <c r="G582" s="31" t="s">
        <v>2187</v>
      </c>
      <c r="H582" s="50" t="s">
        <v>22</v>
      </c>
      <c r="I582" s="217" t="s">
        <v>83</v>
      </c>
      <c r="J582" s="218">
        <v>46171.0</v>
      </c>
      <c r="K582" s="219"/>
      <c r="L582" s="219"/>
      <c r="M582" s="301" t="s">
        <v>2188</v>
      </c>
    </row>
    <row r="583">
      <c r="A583" s="230" t="s">
        <v>120</v>
      </c>
      <c r="B583" s="220">
        <v>46168.0</v>
      </c>
      <c r="C583" s="35" t="s">
        <v>51</v>
      </c>
      <c r="D583" s="210" t="s">
        <v>2189</v>
      </c>
      <c r="E583" s="11" t="s">
        <v>2190</v>
      </c>
      <c r="F583" s="221"/>
      <c r="G583" s="31" t="s">
        <v>2191</v>
      </c>
      <c r="H583" s="50" t="s">
        <v>22</v>
      </c>
      <c r="I583" s="217" t="s">
        <v>83</v>
      </c>
      <c r="J583" s="218">
        <v>46171.0</v>
      </c>
      <c r="K583" s="219"/>
      <c r="L583" s="219"/>
      <c r="M583" s="288" t="s">
        <v>2192</v>
      </c>
    </row>
    <row r="584">
      <c r="A584" s="230" t="s">
        <v>120</v>
      </c>
      <c r="B584" s="220">
        <v>46168.0</v>
      </c>
      <c r="C584" s="35" t="s">
        <v>51</v>
      </c>
      <c r="D584" s="210" t="s">
        <v>1116</v>
      </c>
      <c r="E584" s="11" t="s">
        <v>2193</v>
      </c>
      <c r="F584" s="221"/>
      <c r="G584" s="31" t="s">
        <v>2194</v>
      </c>
      <c r="H584" s="50" t="s">
        <v>22</v>
      </c>
      <c r="I584" s="217" t="s">
        <v>83</v>
      </c>
      <c r="J584" s="218">
        <v>46171.0</v>
      </c>
      <c r="K584" s="219"/>
      <c r="L584" s="219"/>
      <c r="M584" s="288" t="s">
        <v>2195</v>
      </c>
    </row>
    <row r="585">
      <c r="A585" s="230" t="s">
        <v>811</v>
      </c>
      <c r="B585" s="220">
        <v>46168.0</v>
      </c>
      <c r="C585" s="35" t="s">
        <v>51</v>
      </c>
      <c r="D585" s="210" t="s">
        <v>2196</v>
      </c>
      <c r="E585" s="11" t="s">
        <v>2197</v>
      </c>
      <c r="F585" s="221"/>
      <c r="G585" s="31" t="s">
        <v>2198</v>
      </c>
      <c r="H585" s="50" t="s">
        <v>22</v>
      </c>
      <c r="I585" s="217" t="s">
        <v>89</v>
      </c>
      <c r="J585" s="218">
        <v>46168.0</v>
      </c>
      <c r="K585" s="219"/>
      <c r="L585" s="219"/>
      <c r="M585" s="303" t="s">
        <v>2199</v>
      </c>
    </row>
    <row r="586">
      <c r="A586" s="230" t="s">
        <v>811</v>
      </c>
      <c r="B586" s="220">
        <v>46168.0</v>
      </c>
      <c r="C586" s="35" t="s">
        <v>51</v>
      </c>
      <c r="D586" s="210" t="s">
        <v>2200</v>
      </c>
      <c r="E586" s="11" t="s">
        <v>2201</v>
      </c>
      <c r="F586" s="221"/>
      <c r="G586" s="31" t="s">
        <v>2202</v>
      </c>
      <c r="H586" s="50" t="s">
        <v>22</v>
      </c>
      <c r="I586" s="217" t="s">
        <v>83</v>
      </c>
      <c r="J586" s="218">
        <v>46168.0</v>
      </c>
      <c r="K586" s="219"/>
      <c r="L586" s="219"/>
      <c r="M586" s="223" t="s">
        <v>2203</v>
      </c>
    </row>
    <row r="587">
      <c r="A587" s="230" t="s">
        <v>39</v>
      </c>
      <c r="B587" s="220">
        <v>46168.0</v>
      </c>
      <c r="C587" s="35" t="s">
        <v>51</v>
      </c>
      <c r="D587" s="210" t="s">
        <v>2204</v>
      </c>
      <c r="E587" s="11" t="s">
        <v>2205</v>
      </c>
      <c r="F587" s="221"/>
      <c r="G587" s="31" t="s">
        <v>2206</v>
      </c>
      <c r="H587" s="50" t="s">
        <v>22</v>
      </c>
      <c r="I587" s="217" t="s">
        <v>83</v>
      </c>
      <c r="J587" s="218">
        <v>46168.0</v>
      </c>
      <c r="K587" s="220">
        <v>46227.0</v>
      </c>
      <c r="L587" s="223">
        <v>1.0</v>
      </c>
      <c r="M587" s="223" t="s">
        <v>2207</v>
      </c>
    </row>
    <row r="588">
      <c r="A588" s="230" t="s">
        <v>120</v>
      </c>
      <c r="B588" s="220">
        <v>46167.0</v>
      </c>
      <c r="C588" s="35" t="s">
        <v>51</v>
      </c>
      <c r="D588" s="210" t="s">
        <v>774</v>
      </c>
      <c r="E588" s="11" t="s">
        <v>2208</v>
      </c>
      <c r="F588" s="221" t="s">
        <v>83</v>
      </c>
      <c r="G588" s="31" t="s">
        <v>2209</v>
      </c>
      <c r="H588" s="50" t="s">
        <v>22</v>
      </c>
      <c r="I588" s="217" t="s">
        <v>83</v>
      </c>
      <c r="J588" s="218">
        <v>46171.0</v>
      </c>
      <c r="K588" s="219"/>
      <c r="L588" s="219"/>
      <c r="M588" s="223" t="s">
        <v>2210</v>
      </c>
    </row>
    <row r="589">
      <c r="A589" s="230" t="s">
        <v>76</v>
      </c>
      <c r="B589" s="220">
        <v>46168.0</v>
      </c>
      <c r="C589" s="35" t="s">
        <v>51</v>
      </c>
      <c r="D589" s="210" t="s">
        <v>2211</v>
      </c>
      <c r="E589" s="11" t="s">
        <v>2212</v>
      </c>
      <c r="F589" s="221" t="s">
        <v>83</v>
      </c>
      <c r="G589" s="31" t="s">
        <v>2213</v>
      </c>
      <c r="H589" s="50" t="s">
        <v>22</v>
      </c>
      <c r="I589" s="217" t="s">
        <v>83</v>
      </c>
      <c r="J589" s="218">
        <v>46168.0</v>
      </c>
      <c r="K589" s="220"/>
      <c r="L589" s="223"/>
      <c r="M589" s="223" t="s">
        <v>2214</v>
      </c>
    </row>
    <row r="590">
      <c r="A590" s="230" t="s">
        <v>811</v>
      </c>
      <c r="B590" s="220">
        <v>46169.0</v>
      </c>
      <c r="C590" s="35" t="s">
        <v>51</v>
      </c>
      <c r="D590" s="210" t="s">
        <v>2215</v>
      </c>
      <c r="E590" s="11" t="s">
        <v>2216</v>
      </c>
      <c r="F590" s="221"/>
      <c r="G590" s="31" t="s">
        <v>2217</v>
      </c>
      <c r="H590" s="50" t="s">
        <v>22</v>
      </c>
      <c r="I590" s="217" t="s">
        <v>83</v>
      </c>
      <c r="J590" s="218">
        <v>46170.0</v>
      </c>
      <c r="K590" s="219"/>
      <c r="L590" s="219"/>
      <c r="M590" s="301" t="s">
        <v>2218</v>
      </c>
    </row>
    <row r="591">
      <c r="A591" s="230" t="s">
        <v>39</v>
      </c>
      <c r="B591" s="220">
        <v>46169.0</v>
      </c>
      <c r="C591" s="35" t="s">
        <v>51</v>
      </c>
      <c r="D591" s="210" t="s">
        <v>2219</v>
      </c>
      <c r="E591" s="11" t="s">
        <v>2220</v>
      </c>
      <c r="F591" s="221"/>
      <c r="G591" s="31" t="s">
        <v>2221</v>
      </c>
      <c r="H591" s="50"/>
      <c r="I591" s="217" t="s">
        <v>89</v>
      </c>
      <c r="J591" s="218">
        <v>46169.0</v>
      </c>
      <c r="K591" s="220">
        <v>46179.0</v>
      </c>
      <c r="L591" s="223">
        <v>3.0</v>
      </c>
      <c r="M591" s="301" t="s">
        <v>2222</v>
      </c>
    </row>
    <row r="592">
      <c r="A592" s="230" t="s">
        <v>76</v>
      </c>
      <c r="B592" s="220">
        <v>46169.0</v>
      </c>
      <c r="C592" s="35" t="s">
        <v>51</v>
      </c>
      <c r="D592" s="210" t="s">
        <v>2223</v>
      </c>
      <c r="E592" s="11" t="s">
        <v>2224</v>
      </c>
      <c r="F592" s="221" t="s">
        <v>527</v>
      </c>
      <c r="G592" s="179" t="s">
        <v>2225</v>
      </c>
      <c r="H592" s="50" t="s">
        <v>22</v>
      </c>
      <c r="I592" s="217" t="s">
        <v>89</v>
      </c>
      <c r="J592" s="218">
        <v>46169.0</v>
      </c>
      <c r="K592" s="219"/>
      <c r="L592" s="219"/>
      <c r="M592" s="223" t="s">
        <v>2226</v>
      </c>
    </row>
    <row r="593">
      <c r="A593" s="230" t="s">
        <v>39</v>
      </c>
      <c r="B593" s="220">
        <v>46169.0</v>
      </c>
      <c r="C593" s="35" t="s">
        <v>51</v>
      </c>
      <c r="D593" s="210" t="s">
        <v>2227</v>
      </c>
      <c r="E593" s="11" t="s">
        <v>2228</v>
      </c>
      <c r="F593" s="221" t="s">
        <v>83</v>
      </c>
      <c r="G593" s="31" t="s">
        <v>1939</v>
      </c>
      <c r="H593" s="50"/>
      <c r="I593" s="217" t="s">
        <v>83</v>
      </c>
      <c r="J593" s="218">
        <v>46169.0</v>
      </c>
      <c r="K593" s="220">
        <v>46185.0</v>
      </c>
      <c r="L593" s="223">
        <v>5.0</v>
      </c>
      <c r="M593" s="223" t="s">
        <v>2229</v>
      </c>
    </row>
    <row r="594">
      <c r="A594" s="230" t="s">
        <v>120</v>
      </c>
      <c r="B594" s="220">
        <v>46168.0</v>
      </c>
      <c r="C594" s="35" t="s">
        <v>51</v>
      </c>
      <c r="D594" s="210" t="s">
        <v>2230</v>
      </c>
      <c r="E594" s="11" t="s">
        <v>2231</v>
      </c>
      <c r="F594" s="221"/>
      <c r="G594" s="179" t="s">
        <v>2232</v>
      </c>
      <c r="H594" s="50" t="s">
        <v>22</v>
      </c>
      <c r="I594" s="217" t="s">
        <v>83</v>
      </c>
      <c r="J594" s="218">
        <v>46171.0</v>
      </c>
      <c r="K594" s="219"/>
      <c r="L594" s="219"/>
      <c r="M594" s="223" t="s">
        <v>2233</v>
      </c>
    </row>
    <row r="595">
      <c r="A595" s="230" t="s">
        <v>811</v>
      </c>
      <c r="B595" s="220">
        <v>46170.0</v>
      </c>
      <c r="C595" s="35" t="s">
        <v>51</v>
      </c>
      <c r="D595" s="210" t="s">
        <v>2234</v>
      </c>
      <c r="E595" s="11" t="s">
        <v>2235</v>
      </c>
      <c r="F595" s="221"/>
      <c r="G595" s="31" t="s">
        <v>2236</v>
      </c>
      <c r="H595" s="50"/>
      <c r="I595" s="217"/>
      <c r="J595" s="218"/>
      <c r="K595" s="219"/>
      <c r="L595" s="219"/>
      <c r="M595" s="219"/>
    </row>
    <row r="596">
      <c r="A596" s="230" t="s">
        <v>39</v>
      </c>
      <c r="B596" s="220">
        <v>46170.0</v>
      </c>
      <c r="C596" s="35" t="s">
        <v>51</v>
      </c>
      <c r="D596" s="210" t="s">
        <v>2237</v>
      </c>
      <c r="E596" s="11" t="s">
        <v>2238</v>
      </c>
      <c r="F596" s="221" t="s">
        <v>83</v>
      </c>
      <c r="G596" s="31" t="s">
        <v>2239</v>
      </c>
      <c r="H596" s="50" t="s">
        <v>22</v>
      </c>
      <c r="I596" s="217" t="s">
        <v>83</v>
      </c>
      <c r="J596" s="218">
        <v>46170.0</v>
      </c>
      <c r="K596" s="220">
        <v>46176.0</v>
      </c>
      <c r="L596" s="223">
        <v>2.0</v>
      </c>
      <c r="M596" s="223" t="s">
        <v>2240</v>
      </c>
    </row>
    <row r="597">
      <c r="A597" s="230" t="s">
        <v>39</v>
      </c>
      <c r="B597" s="220">
        <v>46171.0</v>
      </c>
      <c r="C597" s="35" t="s">
        <v>51</v>
      </c>
      <c r="D597" s="210" t="s">
        <v>2241</v>
      </c>
      <c r="E597" s="11" t="s">
        <v>2242</v>
      </c>
      <c r="F597" s="221" t="s">
        <v>83</v>
      </c>
      <c r="G597" s="31" t="s">
        <v>2243</v>
      </c>
      <c r="H597" s="50" t="s">
        <v>22</v>
      </c>
      <c r="I597" s="217" t="s">
        <v>83</v>
      </c>
      <c r="J597" s="218">
        <v>46171.0</v>
      </c>
      <c r="K597" s="220">
        <v>46190.0</v>
      </c>
      <c r="L597" s="223">
        <v>1.0</v>
      </c>
      <c r="M597" s="223" t="s">
        <v>2244</v>
      </c>
    </row>
    <row r="598">
      <c r="A598" s="230" t="s">
        <v>811</v>
      </c>
      <c r="B598" s="220">
        <v>46171.0</v>
      </c>
      <c r="C598" s="35" t="s">
        <v>51</v>
      </c>
      <c r="D598" s="210" t="s">
        <v>96</v>
      </c>
      <c r="E598" s="11" t="s">
        <v>2245</v>
      </c>
      <c r="F598" s="221" t="s">
        <v>89</v>
      </c>
      <c r="G598" s="31" t="s">
        <v>2246</v>
      </c>
      <c r="H598" s="50" t="s">
        <v>22</v>
      </c>
      <c r="I598" s="217"/>
      <c r="J598" s="218"/>
      <c r="K598" s="219"/>
      <c r="L598" s="219"/>
      <c r="M598" s="192" t="s">
        <v>2247</v>
      </c>
    </row>
    <row r="599">
      <c r="A599" s="230" t="s">
        <v>39</v>
      </c>
      <c r="B599" s="220">
        <v>46171.0</v>
      </c>
      <c r="C599" s="35" t="s">
        <v>51</v>
      </c>
      <c r="D599" s="210" t="s">
        <v>2248</v>
      </c>
      <c r="E599" s="11" t="s">
        <v>2249</v>
      </c>
      <c r="F599" s="238" t="s">
        <v>83</v>
      </c>
      <c r="G599" s="31" t="s">
        <v>2250</v>
      </c>
      <c r="H599" s="50" t="s">
        <v>22</v>
      </c>
      <c r="I599" s="281" t="s">
        <v>89</v>
      </c>
      <c r="J599" s="218">
        <v>46172.0</v>
      </c>
      <c r="K599" s="220">
        <v>46192.0</v>
      </c>
      <c r="L599" s="223">
        <v>2.0</v>
      </c>
      <c r="M599" s="192" t="s">
        <v>2251</v>
      </c>
    </row>
    <row r="600">
      <c r="A600" s="230" t="s">
        <v>120</v>
      </c>
      <c r="B600" s="220">
        <v>46172.0</v>
      </c>
      <c r="C600" s="35" t="s">
        <v>51</v>
      </c>
      <c r="D600" s="210" t="s">
        <v>2252</v>
      </c>
      <c r="E600" s="11" t="s">
        <v>2253</v>
      </c>
      <c r="F600" s="221" t="s">
        <v>89</v>
      </c>
      <c r="G600" s="31" t="s">
        <v>2254</v>
      </c>
      <c r="H600" s="50" t="s">
        <v>22</v>
      </c>
      <c r="I600" s="217" t="s">
        <v>527</v>
      </c>
      <c r="J600" s="218">
        <v>46175.0</v>
      </c>
      <c r="K600" s="219"/>
      <c r="L600" s="219"/>
      <c r="M600" s="301" t="s">
        <v>2255</v>
      </c>
    </row>
    <row r="601">
      <c r="A601" s="230" t="s">
        <v>39</v>
      </c>
      <c r="B601" s="220">
        <v>46175.0</v>
      </c>
      <c r="C601" s="35" t="s">
        <v>51</v>
      </c>
      <c r="D601" s="210" t="s">
        <v>2256</v>
      </c>
      <c r="E601" s="11" t="s">
        <v>2257</v>
      </c>
      <c r="F601" s="221" t="s">
        <v>83</v>
      </c>
      <c r="G601" s="31" t="s">
        <v>2258</v>
      </c>
      <c r="H601" s="50" t="s">
        <v>22</v>
      </c>
      <c r="I601" s="217" t="s">
        <v>527</v>
      </c>
      <c r="J601" s="218">
        <v>46175.0</v>
      </c>
      <c r="K601" s="220">
        <v>46192.0</v>
      </c>
      <c r="L601" s="223">
        <v>2.0</v>
      </c>
      <c r="M601" s="223" t="s">
        <v>2259</v>
      </c>
    </row>
    <row r="602">
      <c r="A602" s="230" t="s">
        <v>120</v>
      </c>
      <c r="B602" s="220">
        <v>46175.0</v>
      </c>
      <c r="C602" s="35" t="s">
        <v>51</v>
      </c>
      <c r="D602" s="210" t="s">
        <v>2260</v>
      </c>
      <c r="E602" s="11" t="s">
        <v>2261</v>
      </c>
      <c r="F602" s="221" t="s">
        <v>83</v>
      </c>
      <c r="G602" s="31" t="s">
        <v>2262</v>
      </c>
      <c r="H602" s="50" t="s">
        <v>22</v>
      </c>
      <c r="I602" s="217" t="s">
        <v>527</v>
      </c>
      <c r="J602" s="218">
        <v>46175.0</v>
      </c>
      <c r="K602" s="219"/>
      <c r="L602" s="219"/>
      <c r="M602" s="223" t="s">
        <v>2263</v>
      </c>
    </row>
    <row r="603">
      <c r="A603" s="230" t="s">
        <v>76</v>
      </c>
      <c r="B603" s="220">
        <v>46175.0</v>
      </c>
      <c r="C603" s="35" t="s">
        <v>51</v>
      </c>
      <c r="D603" s="210" t="s">
        <v>2264</v>
      </c>
      <c r="E603" s="11" t="s">
        <v>2265</v>
      </c>
      <c r="F603" s="221" t="s">
        <v>83</v>
      </c>
      <c r="G603" s="31" t="s">
        <v>2266</v>
      </c>
      <c r="H603" s="50" t="s">
        <v>22</v>
      </c>
      <c r="I603" s="217" t="s">
        <v>527</v>
      </c>
      <c r="J603" s="218">
        <v>46175.0</v>
      </c>
      <c r="K603" s="219"/>
      <c r="L603" s="223">
        <v>3.0</v>
      </c>
      <c r="M603" s="223" t="s">
        <v>2267</v>
      </c>
    </row>
    <row r="604">
      <c r="A604" s="230" t="s">
        <v>120</v>
      </c>
      <c r="B604" s="220">
        <v>46175.0</v>
      </c>
      <c r="C604" s="35" t="s">
        <v>51</v>
      </c>
      <c r="D604" s="210" t="s">
        <v>1827</v>
      </c>
      <c r="E604" s="11" t="s">
        <v>1828</v>
      </c>
      <c r="F604" s="221" t="s">
        <v>83</v>
      </c>
      <c r="G604" s="31" t="s">
        <v>2268</v>
      </c>
      <c r="H604" s="50" t="s">
        <v>22</v>
      </c>
      <c r="I604" s="217" t="s">
        <v>83</v>
      </c>
      <c r="J604" s="218">
        <v>46179.0</v>
      </c>
      <c r="K604" s="219"/>
      <c r="L604" s="219"/>
      <c r="M604" s="223" t="s">
        <v>2269</v>
      </c>
    </row>
    <row r="605">
      <c r="A605" s="230" t="s">
        <v>1014</v>
      </c>
      <c r="B605" s="220">
        <v>46175.0</v>
      </c>
      <c r="C605" s="35" t="s">
        <v>51</v>
      </c>
      <c r="D605" s="210" t="s">
        <v>2270</v>
      </c>
      <c r="E605" s="11" t="s">
        <v>2271</v>
      </c>
      <c r="F605" s="221" t="s">
        <v>83</v>
      </c>
      <c r="G605" s="31" t="s">
        <v>2272</v>
      </c>
      <c r="H605" s="50" t="s">
        <v>22</v>
      </c>
      <c r="I605" s="217" t="s">
        <v>83</v>
      </c>
      <c r="J605" s="218">
        <v>46175.0</v>
      </c>
      <c r="K605" s="219"/>
      <c r="L605" s="219"/>
      <c r="M605" s="223" t="s">
        <v>2273</v>
      </c>
    </row>
    <row r="606">
      <c r="A606" s="230" t="s">
        <v>120</v>
      </c>
      <c r="B606" s="220">
        <v>46175.0</v>
      </c>
      <c r="C606" s="35" t="s">
        <v>51</v>
      </c>
      <c r="D606" s="210" t="s">
        <v>2274</v>
      </c>
      <c r="E606" s="11" t="s">
        <v>2275</v>
      </c>
      <c r="F606" s="221" t="s">
        <v>83</v>
      </c>
      <c r="G606" s="31" t="s">
        <v>2276</v>
      </c>
      <c r="H606" s="50" t="s">
        <v>22</v>
      </c>
      <c r="I606" s="217" t="s">
        <v>83</v>
      </c>
      <c r="J606" s="218">
        <v>46179.0</v>
      </c>
      <c r="K606" s="219"/>
      <c r="L606" s="219"/>
      <c r="M606" s="223" t="s">
        <v>2277</v>
      </c>
    </row>
    <row r="607">
      <c r="A607" s="230" t="s">
        <v>120</v>
      </c>
      <c r="B607" s="220">
        <v>46175.0</v>
      </c>
      <c r="C607" s="35" t="s">
        <v>51</v>
      </c>
      <c r="D607" s="210" t="s">
        <v>2278</v>
      </c>
      <c r="E607" s="11" t="s">
        <v>679</v>
      </c>
      <c r="F607" s="221" t="s">
        <v>83</v>
      </c>
      <c r="G607" s="31" t="s">
        <v>2279</v>
      </c>
      <c r="H607" s="50" t="s">
        <v>22</v>
      </c>
      <c r="I607" s="217" t="s">
        <v>527</v>
      </c>
      <c r="J607" s="218">
        <v>46175.0</v>
      </c>
      <c r="K607" s="219"/>
      <c r="L607" s="219"/>
      <c r="M607" s="223" t="s">
        <v>2280</v>
      </c>
    </row>
    <row r="608">
      <c r="A608" s="230" t="s">
        <v>120</v>
      </c>
      <c r="B608" s="220">
        <v>46175.0</v>
      </c>
      <c r="C608" s="35" t="s">
        <v>51</v>
      </c>
      <c r="D608" s="210" t="s">
        <v>833</v>
      </c>
      <c r="E608" s="11" t="s">
        <v>834</v>
      </c>
      <c r="F608" s="221" t="s">
        <v>83</v>
      </c>
      <c r="G608" s="31" t="s">
        <v>2281</v>
      </c>
      <c r="H608" s="50" t="s">
        <v>22</v>
      </c>
      <c r="I608" s="217" t="s">
        <v>83</v>
      </c>
      <c r="J608" s="218">
        <v>46175.0</v>
      </c>
      <c r="K608" s="219"/>
      <c r="L608" s="219"/>
      <c r="M608" s="223" t="s">
        <v>2282</v>
      </c>
    </row>
    <row r="609">
      <c r="A609" s="230" t="s">
        <v>120</v>
      </c>
      <c r="B609" s="220">
        <v>46175.0</v>
      </c>
      <c r="C609" s="35" t="s">
        <v>51</v>
      </c>
      <c r="D609" s="210" t="s">
        <v>2283</v>
      </c>
      <c r="E609" s="11" t="s">
        <v>2284</v>
      </c>
      <c r="F609" s="221" t="s">
        <v>83</v>
      </c>
      <c r="G609" s="31" t="s">
        <v>2285</v>
      </c>
      <c r="H609" s="50" t="s">
        <v>22</v>
      </c>
      <c r="I609" s="217" t="s">
        <v>83</v>
      </c>
      <c r="J609" s="218">
        <v>46175.0</v>
      </c>
      <c r="K609" s="219"/>
      <c r="L609" s="219"/>
      <c r="M609" s="223" t="s">
        <v>2286</v>
      </c>
    </row>
    <row r="610">
      <c r="A610" s="230" t="s">
        <v>76</v>
      </c>
      <c r="B610" s="220">
        <v>46175.0</v>
      </c>
      <c r="C610" s="35" t="s">
        <v>51</v>
      </c>
      <c r="D610" s="210" t="s">
        <v>2287</v>
      </c>
      <c r="E610" s="11" t="s">
        <v>2288</v>
      </c>
      <c r="F610" s="221" t="s">
        <v>83</v>
      </c>
      <c r="G610" s="31" t="s">
        <v>2289</v>
      </c>
      <c r="H610" s="50" t="s">
        <v>22</v>
      </c>
      <c r="I610" s="217" t="s">
        <v>83</v>
      </c>
      <c r="J610" s="218">
        <v>46175.0</v>
      </c>
      <c r="K610" s="219"/>
      <c r="L610" s="219"/>
      <c r="M610" s="223" t="s">
        <v>2290</v>
      </c>
    </row>
    <row r="611">
      <c r="A611" s="230" t="s">
        <v>39</v>
      </c>
      <c r="B611" s="220">
        <v>46175.0</v>
      </c>
      <c r="C611" s="35" t="s">
        <v>51</v>
      </c>
      <c r="D611" s="210" t="s">
        <v>2291</v>
      </c>
      <c r="E611" s="11" t="s">
        <v>2292</v>
      </c>
      <c r="F611" s="221" t="s">
        <v>83</v>
      </c>
      <c r="G611" s="31" t="s">
        <v>2293</v>
      </c>
      <c r="H611" s="50" t="s">
        <v>22</v>
      </c>
      <c r="I611" s="217" t="s">
        <v>83</v>
      </c>
      <c r="J611" s="218">
        <v>46175.0</v>
      </c>
      <c r="K611" s="220">
        <v>46192.0</v>
      </c>
      <c r="L611" s="223">
        <v>2.0</v>
      </c>
      <c r="M611" s="223" t="s">
        <v>2294</v>
      </c>
    </row>
    <row r="612">
      <c r="A612" s="230" t="s">
        <v>120</v>
      </c>
      <c r="B612" s="220">
        <v>46175.0</v>
      </c>
      <c r="C612" s="35" t="s">
        <v>51</v>
      </c>
      <c r="D612" s="210" t="s">
        <v>2295</v>
      </c>
      <c r="E612" s="11" t="s">
        <v>2296</v>
      </c>
      <c r="F612" s="221" t="s">
        <v>83</v>
      </c>
      <c r="G612" s="31" t="s">
        <v>2297</v>
      </c>
      <c r="H612" s="50" t="s">
        <v>22</v>
      </c>
      <c r="I612" s="217" t="s">
        <v>83</v>
      </c>
      <c r="J612" s="218">
        <v>46175.0</v>
      </c>
      <c r="K612" s="219"/>
      <c r="L612" s="219"/>
      <c r="M612" s="223" t="s">
        <v>2298</v>
      </c>
    </row>
    <row r="613">
      <c r="A613" s="230" t="s">
        <v>39</v>
      </c>
      <c r="B613" s="220">
        <v>46175.0</v>
      </c>
      <c r="C613" s="35" t="s">
        <v>51</v>
      </c>
      <c r="D613" s="210" t="s">
        <v>2299</v>
      </c>
      <c r="E613" s="11" t="s">
        <v>2300</v>
      </c>
      <c r="F613" s="221" t="s">
        <v>83</v>
      </c>
      <c r="G613" s="31" t="s">
        <v>2301</v>
      </c>
      <c r="H613" s="50" t="s">
        <v>22</v>
      </c>
      <c r="I613" s="217" t="s">
        <v>83</v>
      </c>
      <c r="J613" s="218">
        <v>46177.0</v>
      </c>
      <c r="K613" s="220">
        <v>46200.0</v>
      </c>
      <c r="L613" s="223">
        <v>2.0</v>
      </c>
      <c r="M613" s="223" t="s">
        <v>2302</v>
      </c>
    </row>
    <row r="614">
      <c r="A614" s="230" t="s">
        <v>120</v>
      </c>
      <c r="B614" s="220">
        <v>46175.0</v>
      </c>
      <c r="C614" s="35" t="s">
        <v>51</v>
      </c>
      <c r="D614" s="210" t="s">
        <v>2303</v>
      </c>
      <c r="E614" s="11" t="s">
        <v>2304</v>
      </c>
      <c r="F614" s="221" t="s">
        <v>83</v>
      </c>
      <c r="G614" s="31" t="s">
        <v>2305</v>
      </c>
      <c r="H614" s="50" t="s">
        <v>22</v>
      </c>
      <c r="I614" s="217" t="s">
        <v>83</v>
      </c>
      <c r="J614" s="218">
        <v>46175.0</v>
      </c>
      <c r="K614" s="219"/>
      <c r="L614" s="219"/>
      <c r="M614" s="223" t="s">
        <v>2306</v>
      </c>
    </row>
    <row r="615">
      <c r="A615" s="230" t="s">
        <v>811</v>
      </c>
      <c r="B615" s="220">
        <v>46175.0</v>
      </c>
      <c r="C615" s="35" t="s">
        <v>51</v>
      </c>
      <c r="D615" s="210" t="s">
        <v>1066</v>
      </c>
      <c r="E615" s="11" t="s">
        <v>1067</v>
      </c>
      <c r="F615" s="221" t="s">
        <v>83</v>
      </c>
      <c r="G615" s="31" t="s">
        <v>2307</v>
      </c>
      <c r="H615" s="50" t="s">
        <v>22</v>
      </c>
      <c r="I615" s="217" t="s">
        <v>83</v>
      </c>
      <c r="J615" s="218">
        <v>46179.0</v>
      </c>
      <c r="K615" s="219"/>
      <c r="L615" s="219"/>
      <c r="M615" s="223" t="s">
        <v>183</v>
      </c>
    </row>
    <row r="616">
      <c r="A616" s="230" t="s">
        <v>120</v>
      </c>
      <c r="B616" s="220">
        <v>46175.0</v>
      </c>
      <c r="C616" s="35" t="s">
        <v>51</v>
      </c>
      <c r="D616" s="210" t="s">
        <v>2308</v>
      </c>
      <c r="E616" s="11" t="s">
        <v>2309</v>
      </c>
      <c r="F616" s="221" t="s">
        <v>83</v>
      </c>
      <c r="G616" s="31" t="s">
        <v>2310</v>
      </c>
      <c r="H616" s="50" t="s">
        <v>22</v>
      </c>
      <c r="I616" s="217" t="s">
        <v>83</v>
      </c>
      <c r="J616" s="218">
        <v>46175.0</v>
      </c>
      <c r="K616" s="219"/>
      <c r="L616" s="219"/>
      <c r="M616" s="223" t="s">
        <v>2311</v>
      </c>
    </row>
    <row r="617">
      <c r="A617" s="230" t="s">
        <v>39</v>
      </c>
      <c r="B617" s="220">
        <v>46175.0</v>
      </c>
      <c r="C617" s="35" t="s">
        <v>51</v>
      </c>
      <c r="D617" s="210" t="s">
        <v>2312</v>
      </c>
      <c r="E617" s="11" t="s">
        <v>2313</v>
      </c>
      <c r="F617" s="221" t="s">
        <v>83</v>
      </c>
      <c r="G617" s="37" t="s">
        <v>2314</v>
      </c>
      <c r="H617" s="50"/>
      <c r="I617" s="217" t="s">
        <v>83</v>
      </c>
      <c r="J617" s="218">
        <v>46179.0</v>
      </c>
      <c r="K617" s="220">
        <v>46176.0</v>
      </c>
      <c r="L617" s="223">
        <v>2.0</v>
      </c>
      <c r="M617" s="223" t="s">
        <v>2315</v>
      </c>
    </row>
    <row r="618">
      <c r="A618" s="230" t="s">
        <v>811</v>
      </c>
      <c r="B618" s="220">
        <v>46175.0</v>
      </c>
      <c r="C618" s="35" t="s">
        <v>51</v>
      </c>
      <c r="D618" s="210" t="s">
        <v>2316</v>
      </c>
      <c r="E618" s="11" t="s">
        <v>2317</v>
      </c>
      <c r="F618" s="221" t="s">
        <v>83</v>
      </c>
      <c r="G618" s="31" t="s">
        <v>2318</v>
      </c>
      <c r="H618" s="50" t="s">
        <v>22</v>
      </c>
      <c r="I618" s="217" t="s">
        <v>83</v>
      </c>
      <c r="J618" s="218">
        <v>46179.0</v>
      </c>
      <c r="K618" s="219"/>
      <c r="L618" s="219"/>
      <c r="M618" s="223" t="s">
        <v>183</v>
      </c>
    </row>
    <row r="619">
      <c r="A619" s="230" t="s">
        <v>120</v>
      </c>
      <c r="B619" s="220">
        <v>46175.0</v>
      </c>
      <c r="C619" s="35" t="s">
        <v>51</v>
      </c>
      <c r="D619" s="210" t="s">
        <v>2319</v>
      </c>
      <c r="E619" s="11"/>
      <c r="F619" s="221" t="s">
        <v>527</v>
      </c>
      <c r="G619" s="31" t="s">
        <v>2320</v>
      </c>
      <c r="H619" s="50" t="s">
        <v>22</v>
      </c>
      <c r="I619" s="217" t="s">
        <v>89</v>
      </c>
      <c r="J619" s="218">
        <v>46205.0</v>
      </c>
      <c r="K619" s="219"/>
      <c r="L619" s="219"/>
      <c r="M619" s="223" t="s">
        <v>2321</v>
      </c>
    </row>
    <row r="620">
      <c r="A620" s="230" t="s">
        <v>811</v>
      </c>
      <c r="B620" s="220">
        <v>46176.0</v>
      </c>
      <c r="C620" s="35" t="s">
        <v>51</v>
      </c>
      <c r="D620" s="210" t="s">
        <v>2322</v>
      </c>
      <c r="E620" s="11" t="s">
        <v>2323</v>
      </c>
      <c r="F620" s="221"/>
      <c r="G620" s="31" t="s">
        <v>2324</v>
      </c>
      <c r="H620" s="50" t="s">
        <v>22</v>
      </c>
      <c r="I620" s="217" t="s">
        <v>83</v>
      </c>
      <c r="J620" s="218">
        <v>46177.0</v>
      </c>
      <c r="K620" s="219"/>
      <c r="L620" s="219"/>
      <c r="M620" s="223" t="s">
        <v>2325</v>
      </c>
    </row>
    <row r="621">
      <c r="A621" s="230" t="s">
        <v>811</v>
      </c>
      <c r="B621" s="220">
        <v>46176.0</v>
      </c>
      <c r="C621" s="35" t="s">
        <v>51</v>
      </c>
      <c r="D621" s="210" t="s">
        <v>2326</v>
      </c>
      <c r="E621" s="11" t="s">
        <v>2327</v>
      </c>
      <c r="F621" s="221"/>
      <c r="G621" s="31" t="s">
        <v>2328</v>
      </c>
      <c r="H621" s="50"/>
      <c r="I621" s="217"/>
      <c r="J621" s="218"/>
      <c r="K621" s="219"/>
      <c r="L621" s="219"/>
      <c r="M621" s="223"/>
    </row>
    <row r="622">
      <c r="A622" s="230" t="s">
        <v>120</v>
      </c>
      <c r="B622" s="220">
        <v>46177.0</v>
      </c>
      <c r="C622" s="35" t="s">
        <v>51</v>
      </c>
      <c r="D622" s="210" t="s">
        <v>2329</v>
      </c>
      <c r="E622" s="11" t="s">
        <v>2330</v>
      </c>
      <c r="F622" s="221" t="s">
        <v>83</v>
      </c>
      <c r="G622" s="31" t="s">
        <v>2331</v>
      </c>
      <c r="H622" s="50" t="s">
        <v>22</v>
      </c>
      <c r="I622" s="217" t="s">
        <v>83</v>
      </c>
      <c r="J622" s="218">
        <v>46177.0</v>
      </c>
      <c r="K622" s="219"/>
      <c r="L622" s="219"/>
      <c r="M622" s="223" t="s">
        <v>2332</v>
      </c>
    </row>
    <row r="623">
      <c r="A623" s="230" t="s">
        <v>120</v>
      </c>
      <c r="B623" s="220">
        <v>46177.0</v>
      </c>
      <c r="C623" s="35" t="s">
        <v>51</v>
      </c>
      <c r="D623" s="210" t="s">
        <v>2333</v>
      </c>
      <c r="E623" s="11" t="s">
        <v>2334</v>
      </c>
      <c r="F623" s="221" t="s">
        <v>83</v>
      </c>
      <c r="G623" s="31" t="s">
        <v>2335</v>
      </c>
      <c r="H623" s="50" t="s">
        <v>22</v>
      </c>
      <c r="I623" s="217" t="s">
        <v>83</v>
      </c>
      <c r="J623" s="218">
        <v>46177.0</v>
      </c>
      <c r="K623" s="219"/>
      <c r="L623" s="219"/>
      <c r="M623" s="223" t="s">
        <v>2336</v>
      </c>
    </row>
    <row r="624">
      <c r="A624" s="230" t="s">
        <v>39</v>
      </c>
      <c r="B624" s="220">
        <v>46177.0</v>
      </c>
      <c r="C624" s="35" t="s">
        <v>51</v>
      </c>
      <c r="D624" s="210" t="s">
        <v>2337</v>
      </c>
      <c r="E624" s="11" t="s">
        <v>2338</v>
      </c>
      <c r="F624" s="221" t="s">
        <v>83</v>
      </c>
      <c r="G624" s="31" t="s">
        <v>2339</v>
      </c>
      <c r="H624" s="50" t="s">
        <v>22</v>
      </c>
      <c r="I624" s="217" t="s">
        <v>83</v>
      </c>
      <c r="J624" s="218">
        <v>46179.0</v>
      </c>
      <c r="K624" s="219"/>
      <c r="L624" s="219"/>
      <c r="M624" s="223" t="s">
        <v>2340</v>
      </c>
    </row>
    <row r="625">
      <c r="A625" s="230" t="s">
        <v>120</v>
      </c>
      <c r="B625" s="220">
        <v>46177.0</v>
      </c>
      <c r="C625" s="35" t="s">
        <v>51</v>
      </c>
      <c r="D625" s="210" t="s">
        <v>2341</v>
      </c>
      <c r="E625" s="11" t="s">
        <v>2342</v>
      </c>
      <c r="F625" s="221" t="s">
        <v>83</v>
      </c>
      <c r="G625" s="31" t="s">
        <v>2343</v>
      </c>
      <c r="H625" s="50"/>
      <c r="I625" s="217" t="s">
        <v>83</v>
      </c>
      <c r="J625" s="218">
        <v>46179.0</v>
      </c>
      <c r="K625" s="219"/>
      <c r="L625" s="219"/>
      <c r="M625" s="223"/>
    </row>
    <row r="626">
      <c r="A626" s="230" t="s">
        <v>39</v>
      </c>
      <c r="B626" s="220">
        <v>46177.0</v>
      </c>
      <c r="C626" s="35" t="s">
        <v>51</v>
      </c>
      <c r="D626" s="210" t="s">
        <v>2344</v>
      </c>
      <c r="E626" s="11" t="s">
        <v>2345</v>
      </c>
      <c r="F626" s="221" t="s">
        <v>83</v>
      </c>
      <c r="G626" s="31" t="s">
        <v>2346</v>
      </c>
      <c r="H626" s="50"/>
      <c r="I626" s="217" t="s">
        <v>89</v>
      </c>
      <c r="J626" s="218">
        <v>46185.0</v>
      </c>
      <c r="K626" s="220">
        <v>46200.0</v>
      </c>
      <c r="L626" s="223">
        <v>3.0</v>
      </c>
      <c r="M626" s="223" t="s">
        <v>2347</v>
      </c>
    </row>
    <row r="627">
      <c r="A627" s="230" t="s">
        <v>120</v>
      </c>
      <c r="B627" s="220">
        <v>46177.0</v>
      </c>
      <c r="C627" s="35" t="s">
        <v>51</v>
      </c>
      <c r="D627" s="210" t="s">
        <v>1680</v>
      </c>
      <c r="E627" s="11" t="s">
        <v>2348</v>
      </c>
      <c r="F627" s="221" t="s">
        <v>83</v>
      </c>
      <c r="G627" s="31" t="s">
        <v>2349</v>
      </c>
      <c r="H627" s="50" t="s">
        <v>22</v>
      </c>
      <c r="I627" s="217" t="s">
        <v>83</v>
      </c>
      <c r="J627" s="218">
        <v>46177.0</v>
      </c>
      <c r="K627" s="219"/>
      <c r="L627" s="219"/>
      <c r="M627" s="223" t="s">
        <v>2350</v>
      </c>
    </row>
    <row r="628">
      <c r="A628" s="230" t="s">
        <v>39</v>
      </c>
      <c r="B628" s="220">
        <v>46177.0</v>
      </c>
      <c r="C628" s="35" t="s">
        <v>51</v>
      </c>
      <c r="D628" s="210" t="s">
        <v>2351</v>
      </c>
      <c r="E628" s="11" t="s">
        <v>2352</v>
      </c>
      <c r="F628" s="221" t="s">
        <v>527</v>
      </c>
      <c r="G628" s="31"/>
      <c r="H628" s="50" t="s">
        <v>22</v>
      </c>
      <c r="I628" s="217" t="s">
        <v>83</v>
      </c>
      <c r="J628" s="218">
        <v>46179.0</v>
      </c>
      <c r="K628" s="220">
        <v>46190.0</v>
      </c>
      <c r="L628" s="223">
        <v>2.0</v>
      </c>
      <c r="M628" s="192" t="s">
        <v>2353</v>
      </c>
    </row>
    <row r="629">
      <c r="A629" s="230" t="s">
        <v>39</v>
      </c>
      <c r="B629" s="220">
        <v>46177.0</v>
      </c>
      <c r="C629" s="35" t="s">
        <v>51</v>
      </c>
      <c r="D629" s="210" t="s">
        <v>2354</v>
      </c>
      <c r="E629" s="11" t="s">
        <v>2355</v>
      </c>
      <c r="F629" s="221" t="s">
        <v>89</v>
      </c>
      <c r="G629" s="31" t="s">
        <v>2356</v>
      </c>
      <c r="H629" s="50" t="s">
        <v>22</v>
      </c>
      <c r="I629" s="217" t="s">
        <v>83</v>
      </c>
      <c r="J629" s="218">
        <v>46177.0</v>
      </c>
      <c r="K629" s="219"/>
      <c r="L629" s="219"/>
      <c r="M629" s="223" t="s">
        <v>2357</v>
      </c>
    </row>
    <row r="630">
      <c r="A630" s="230" t="s">
        <v>76</v>
      </c>
      <c r="B630" s="220">
        <v>46178.0</v>
      </c>
      <c r="C630" s="35" t="s">
        <v>51</v>
      </c>
      <c r="D630" s="210" t="s">
        <v>2358</v>
      </c>
      <c r="E630" s="11" t="s">
        <v>2359</v>
      </c>
      <c r="F630" s="221" t="s">
        <v>83</v>
      </c>
      <c r="G630" s="31" t="s">
        <v>2360</v>
      </c>
      <c r="H630" s="50" t="s">
        <v>22</v>
      </c>
      <c r="I630" s="217" t="s">
        <v>83</v>
      </c>
      <c r="J630" s="218">
        <v>46179.0</v>
      </c>
      <c r="K630" s="219"/>
      <c r="L630" s="219"/>
      <c r="M630" s="223" t="s">
        <v>2361</v>
      </c>
    </row>
    <row r="631">
      <c r="A631" s="230" t="s">
        <v>120</v>
      </c>
      <c r="B631" s="220">
        <v>46178.0</v>
      </c>
      <c r="C631" s="35" t="s">
        <v>51</v>
      </c>
      <c r="D631" s="210" t="s">
        <v>547</v>
      </c>
      <c r="E631" s="11" t="s">
        <v>548</v>
      </c>
      <c r="F631" s="221" t="s">
        <v>83</v>
      </c>
      <c r="G631" s="31" t="s">
        <v>2362</v>
      </c>
      <c r="H631" s="50" t="s">
        <v>22</v>
      </c>
      <c r="I631" s="217" t="s">
        <v>83</v>
      </c>
      <c r="J631" s="218">
        <v>46179.0</v>
      </c>
      <c r="K631" s="219"/>
      <c r="L631" s="219"/>
      <c r="M631" s="223" t="s">
        <v>2363</v>
      </c>
    </row>
    <row r="632">
      <c r="A632" s="230" t="s">
        <v>76</v>
      </c>
      <c r="B632" s="220">
        <v>46178.0</v>
      </c>
      <c r="C632" s="35" t="s">
        <v>51</v>
      </c>
      <c r="D632" s="210" t="s">
        <v>2364</v>
      </c>
      <c r="E632" s="11" t="s">
        <v>2365</v>
      </c>
      <c r="F632" s="221"/>
      <c r="G632" s="31"/>
      <c r="H632" s="50" t="s">
        <v>22</v>
      </c>
      <c r="I632" s="217" t="s">
        <v>83</v>
      </c>
      <c r="J632" s="218">
        <v>46179.0</v>
      </c>
      <c r="K632" s="219"/>
      <c r="L632" s="219"/>
      <c r="M632" s="223" t="s">
        <v>2366</v>
      </c>
    </row>
    <row r="633">
      <c r="A633" s="230" t="s">
        <v>811</v>
      </c>
      <c r="B633" s="220">
        <v>46178.0</v>
      </c>
      <c r="C633" s="35" t="s">
        <v>51</v>
      </c>
      <c r="D633" s="210" t="s">
        <v>2367</v>
      </c>
      <c r="E633" s="11" t="s">
        <v>2368</v>
      </c>
      <c r="F633" s="221" t="s">
        <v>89</v>
      </c>
      <c r="G633" s="31" t="s">
        <v>2369</v>
      </c>
      <c r="H633" s="50" t="s">
        <v>22</v>
      </c>
      <c r="I633" s="217" t="s">
        <v>83</v>
      </c>
      <c r="J633" s="218">
        <v>46179.0</v>
      </c>
      <c r="K633" s="219"/>
      <c r="L633" s="219"/>
      <c r="M633" s="223" t="s">
        <v>183</v>
      </c>
    </row>
    <row r="634">
      <c r="A634" s="230" t="s">
        <v>811</v>
      </c>
      <c r="B634" s="220">
        <v>46179.0</v>
      </c>
      <c r="C634" s="35" t="s">
        <v>51</v>
      </c>
      <c r="D634" s="210" t="s">
        <v>2370</v>
      </c>
      <c r="E634" s="11" t="s">
        <v>2371</v>
      </c>
      <c r="F634" s="221" t="s">
        <v>83</v>
      </c>
      <c r="G634" s="31" t="s">
        <v>2372</v>
      </c>
      <c r="H634" s="50" t="s">
        <v>22</v>
      </c>
      <c r="I634" s="217" t="s">
        <v>83</v>
      </c>
      <c r="J634" s="218">
        <v>46179.0</v>
      </c>
      <c r="K634" s="219"/>
      <c r="L634" s="219"/>
      <c r="M634" s="223" t="s">
        <v>173</v>
      </c>
    </row>
    <row r="635">
      <c r="A635" s="230" t="s">
        <v>120</v>
      </c>
      <c r="B635" s="220">
        <v>46179.0</v>
      </c>
      <c r="C635" s="35" t="s">
        <v>51</v>
      </c>
      <c r="D635" s="210" t="s">
        <v>2373</v>
      </c>
      <c r="E635" s="11" t="s">
        <v>2374</v>
      </c>
      <c r="F635" s="221" t="s">
        <v>83</v>
      </c>
      <c r="G635" s="31" t="s">
        <v>2375</v>
      </c>
      <c r="H635" s="50" t="s">
        <v>22</v>
      </c>
      <c r="I635" s="217" t="s">
        <v>83</v>
      </c>
      <c r="J635" s="218">
        <v>46179.0</v>
      </c>
      <c r="K635" s="219"/>
      <c r="L635" s="219"/>
      <c r="M635" s="223" t="s">
        <v>2376</v>
      </c>
    </row>
    <row r="636">
      <c r="A636" s="230" t="s">
        <v>811</v>
      </c>
      <c r="B636" s="220">
        <v>46179.0</v>
      </c>
      <c r="C636" s="35" t="s">
        <v>51</v>
      </c>
      <c r="D636" s="210" t="s">
        <v>2377</v>
      </c>
      <c r="E636" s="11" t="s">
        <v>2378</v>
      </c>
      <c r="F636" s="221" t="s">
        <v>83</v>
      </c>
      <c r="G636" s="31" t="s">
        <v>2379</v>
      </c>
      <c r="H636" s="50" t="s">
        <v>22</v>
      </c>
      <c r="I636" s="217" t="s">
        <v>83</v>
      </c>
      <c r="J636" s="218">
        <v>46179.0</v>
      </c>
      <c r="K636" s="219"/>
      <c r="L636" s="219"/>
      <c r="M636" s="223" t="s">
        <v>2380</v>
      </c>
    </row>
    <row r="637">
      <c r="A637" s="230" t="s">
        <v>76</v>
      </c>
      <c r="B637" s="220">
        <v>46182.0</v>
      </c>
      <c r="C637" s="35" t="s">
        <v>51</v>
      </c>
      <c r="D637" s="210" t="s">
        <v>2381</v>
      </c>
      <c r="E637" s="11" t="s">
        <v>2382</v>
      </c>
      <c r="F637" s="221" t="s">
        <v>83</v>
      </c>
      <c r="G637" s="31" t="s">
        <v>2383</v>
      </c>
      <c r="H637" s="50"/>
      <c r="I637" s="217" t="s">
        <v>83</v>
      </c>
      <c r="J637" s="218">
        <v>46182.0</v>
      </c>
      <c r="K637" s="219"/>
      <c r="L637" s="219"/>
      <c r="M637" s="192" t="s">
        <v>2384</v>
      </c>
    </row>
    <row r="638">
      <c r="A638" s="230" t="s">
        <v>76</v>
      </c>
      <c r="B638" s="220">
        <v>46182.0</v>
      </c>
      <c r="C638" s="35" t="s">
        <v>51</v>
      </c>
      <c r="D638" s="210" t="s">
        <v>2385</v>
      </c>
      <c r="E638" s="11" t="s">
        <v>2386</v>
      </c>
      <c r="F638" s="221"/>
      <c r="G638" s="31" t="s">
        <v>2387</v>
      </c>
      <c r="H638" s="50"/>
      <c r="I638" s="217" t="s">
        <v>89</v>
      </c>
      <c r="J638" s="218">
        <v>46184.0</v>
      </c>
      <c r="K638" s="219"/>
      <c r="L638" s="219"/>
      <c r="M638" s="223" t="s">
        <v>2388</v>
      </c>
    </row>
    <row r="639">
      <c r="A639" s="230" t="s">
        <v>120</v>
      </c>
      <c r="B639" s="220">
        <v>46182.0</v>
      </c>
      <c r="C639" s="35" t="s">
        <v>51</v>
      </c>
      <c r="D639" s="210" t="s">
        <v>2389</v>
      </c>
      <c r="E639" s="11" t="s">
        <v>2390</v>
      </c>
      <c r="F639" s="221" t="s">
        <v>83</v>
      </c>
      <c r="G639" s="31" t="s">
        <v>2391</v>
      </c>
      <c r="H639" s="50"/>
      <c r="I639" s="217" t="s">
        <v>83</v>
      </c>
      <c r="J639" s="218">
        <v>46182.0</v>
      </c>
      <c r="K639" s="219"/>
      <c r="L639" s="219"/>
      <c r="M639" s="223" t="s">
        <v>2392</v>
      </c>
    </row>
    <row r="640">
      <c r="A640" s="230" t="s">
        <v>811</v>
      </c>
      <c r="B640" s="220">
        <v>46182.0</v>
      </c>
      <c r="C640" s="35" t="s">
        <v>51</v>
      </c>
      <c r="D640" s="210" t="s">
        <v>2393</v>
      </c>
      <c r="E640" s="11" t="s">
        <v>2394</v>
      </c>
      <c r="F640" s="221" t="s">
        <v>83</v>
      </c>
      <c r="G640" s="31" t="s">
        <v>2395</v>
      </c>
      <c r="H640" s="50" t="s">
        <v>22</v>
      </c>
      <c r="I640" s="217" t="s">
        <v>83</v>
      </c>
      <c r="J640" s="218">
        <v>46182.0</v>
      </c>
      <c r="K640" s="219"/>
      <c r="L640" s="219"/>
      <c r="M640" s="223" t="s">
        <v>2396</v>
      </c>
    </row>
    <row r="641">
      <c r="A641" s="230" t="s">
        <v>811</v>
      </c>
      <c r="B641" s="220">
        <v>46182.0</v>
      </c>
      <c r="C641" s="35" t="s">
        <v>51</v>
      </c>
      <c r="D641" s="210" t="s">
        <v>2397</v>
      </c>
      <c r="E641" s="11" t="s">
        <v>2398</v>
      </c>
      <c r="F641" s="221" t="s">
        <v>83</v>
      </c>
      <c r="G641" s="31" t="s">
        <v>2399</v>
      </c>
      <c r="H641" s="50" t="s">
        <v>22</v>
      </c>
      <c r="I641" s="217"/>
      <c r="J641" s="218"/>
      <c r="K641" s="219"/>
      <c r="L641" s="219"/>
      <c r="M641" s="223"/>
    </row>
    <row r="642">
      <c r="A642" s="230" t="s">
        <v>811</v>
      </c>
      <c r="B642" s="220">
        <v>46182.0</v>
      </c>
      <c r="C642" s="35" t="s">
        <v>51</v>
      </c>
      <c r="D642" s="210" t="s">
        <v>2400</v>
      </c>
      <c r="E642" s="11" t="s">
        <v>2401</v>
      </c>
      <c r="F642" s="221" t="s">
        <v>83</v>
      </c>
      <c r="G642" s="31" t="s">
        <v>2402</v>
      </c>
      <c r="H642" s="50" t="s">
        <v>22</v>
      </c>
      <c r="I642" s="217" t="s">
        <v>83</v>
      </c>
      <c r="J642" s="218">
        <v>46183.0</v>
      </c>
      <c r="K642" s="219"/>
      <c r="L642" s="219"/>
      <c r="M642" s="223" t="s">
        <v>2403</v>
      </c>
    </row>
    <row r="643">
      <c r="A643" s="230" t="s">
        <v>811</v>
      </c>
      <c r="B643" s="220">
        <v>46182.0</v>
      </c>
      <c r="C643" s="35" t="s">
        <v>51</v>
      </c>
      <c r="D643" s="210" t="s">
        <v>2404</v>
      </c>
      <c r="E643" s="11" t="s">
        <v>2405</v>
      </c>
      <c r="F643" s="221" t="s">
        <v>83</v>
      </c>
      <c r="G643" s="31" t="s">
        <v>2406</v>
      </c>
      <c r="H643" s="50" t="s">
        <v>22</v>
      </c>
      <c r="I643" s="217" t="s">
        <v>83</v>
      </c>
      <c r="J643" s="218">
        <v>46182.0</v>
      </c>
      <c r="K643" s="219"/>
      <c r="L643" s="219"/>
      <c r="M643" s="223" t="s">
        <v>173</v>
      </c>
    </row>
    <row r="644">
      <c r="A644" s="230" t="s">
        <v>120</v>
      </c>
      <c r="B644" s="220">
        <v>46182.0</v>
      </c>
      <c r="C644" s="35" t="s">
        <v>51</v>
      </c>
      <c r="D644" s="210" t="s">
        <v>2407</v>
      </c>
      <c r="E644" s="11" t="s">
        <v>2408</v>
      </c>
      <c r="F644" s="221" t="s">
        <v>83</v>
      </c>
      <c r="G644" s="31" t="s">
        <v>2409</v>
      </c>
      <c r="H644" s="50" t="s">
        <v>22</v>
      </c>
      <c r="I644" s="217" t="s">
        <v>83</v>
      </c>
      <c r="J644" s="218">
        <v>46183.0</v>
      </c>
      <c r="K644" s="219"/>
      <c r="L644" s="219"/>
      <c r="M644" s="223" t="s">
        <v>2410</v>
      </c>
    </row>
    <row r="645">
      <c r="A645" s="230" t="s">
        <v>811</v>
      </c>
      <c r="B645" s="220">
        <v>46182.0</v>
      </c>
      <c r="C645" s="35" t="s">
        <v>51</v>
      </c>
      <c r="D645" s="210" t="s">
        <v>2411</v>
      </c>
      <c r="E645" s="11" t="s">
        <v>2412</v>
      </c>
      <c r="F645" s="221" t="s">
        <v>83</v>
      </c>
      <c r="G645" s="31" t="s">
        <v>2413</v>
      </c>
      <c r="H645" s="50" t="s">
        <v>22</v>
      </c>
      <c r="I645" s="217" t="s">
        <v>83</v>
      </c>
      <c r="J645" s="116" t="s">
        <v>2414</v>
      </c>
      <c r="K645" s="219"/>
      <c r="L645" s="219"/>
      <c r="M645" s="223" t="s">
        <v>2415</v>
      </c>
    </row>
    <row r="646">
      <c r="A646" s="230" t="s">
        <v>811</v>
      </c>
      <c r="B646" s="220">
        <v>46182.0</v>
      </c>
      <c r="C646" s="35" t="s">
        <v>51</v>
      </c>
      <c r="D646" s="210" t="s">
        <v>2416</v>
      </c>
      <c r="E646" s="11" t="s">
        <v>2417</v>
      </c>
      <c r="F646" s="221" t="s">
        <v>83</v>
      </c>
      <c r="G646" s="31" t="s">
        <v>2418</v>
      </c>
      <c r="H646" s="50" t="s">
        <v>22</v>
      </c>
      <c r="I646" s="217" t="s">
        <v>83</v>
      </c>
      <c r="J646" s="218">
        <v>46182.0</v>
      </c>
      <c r="K646" s="219"/>
      <c r="L646" s="219"/>
      <c r="M646" s="223" t="s">
        <v>183</v>
      </c>
    </row>
    <row r="647">
      <c r="A647" s="230" t="s">
        <v>811</v>
      </c>
      <c r="B647" s="220">
        <v>46182.0</v>
      </c>
      <c r="C647" s="35" t="s">
        <v>51</v>
      </c>
      <c r="D647" s="210" t="s">
        <v>2419</v>
      </c>
      <c r="E647" s="11" t="s">
        <v>2420</v>
      </c>
      <c r="F647" s="221" t="s">
        <v>83</v>
      </c>
      <c r="G647" s="31" t="s">
        <v>2421</v>
      </c>
      <c r="H647" s="50"/>
      <c r="I647" s="217" t="s">
        <v>83</v>
      </c>
      <c r="J647" s="218">
        <v>46183.0</v>
      </c>
      <c r="K647" s="219"/>
      <c r="L647" s="219"/>
      <c r="M647" s="223" t="s">
        <v>173</v>
      </c>
    </row>
    <row r="648">
      <c r="A648" s="230" t="s">
        <v>39</v>
      </c>
      <c r="B648" s="220">
        <v>46182.0</v>
      </c>
      <c r="C648" s="35" t="s">
        <v>51</v>
      </c>
      <c r="D648" s="210" t="s">
        <v>2422</v>
      </c>
      <c r="E648" s="11" t="s">
        <v>2423</v>
      </c>
      <c r="F648" s="221"/>
      <c r="G648" s="31" t="s">
        <v>2424</v>
      </c>
      <c r="H648" s="50"/>
      <c r="I648" s="217" t="s">
        <v>83</v>
      </c>
      <c r="J648" s="218">
        <v>46182.0</v>
      </c>
      <c r="K648" s="219"/>
      <c r="L648" s="219"/>
      <c r="M648" s="223" t="s">
        <v>2425</v>
      </c>
    </row>
    <row r="649">
      <c r="A649" s="230" t="s">
        <v>811</v>
      </c>
      <c r="B649" s="220">
        <v>46182.0</v>
      </c>
      <c r="C649" s="35" t="s">
        <v>51</v>
      </c>
      <c r="D649" s="210" t="s">
        <v>2426</v>
      </c>
      <c r="E649" s="11" t="s">
        <v>2427</v>
      </c>
      <c r="F649" s="221" t="s">
        <v>83</v>
      </c>
      <c r="G649" s="31" t="s">
        <v>2428</v>
      </c>
      <c r="H649" s="50" t="s">
        <v>22</v>
      </c>
      <c r="I649" s="217" t="s">
        <v>83</v>
      </c>
      <c r="J649" s="218">
        <v>46182.0</v>
      </c>
      <c r="K649" s="223" t="s">
        <v>2414</v>
      </c>
      <c r="L649" s="219"/>
      <c r="M649" s="223" t="s">
        <v>2429</v>
      </c>
    </row>
    <row r="650">
      <c r="A650" s="230" t="s">
        <v>811</v>
      </c>
      <c r="B650" s="220">
        <v>46182.0</v>
      </c>
      <c r="C650" s="35" t="s">
        <v>51</v>
      </c>
      <c r="D650" s="210" t="s">
        <v>2430</v>
      </c>
      <c r="E650" s="11" t="s">
        <v>2431</v>
      </c>
      <c r="F650" s="221" t="s">
        <v>83</v>
      </c>
      <c r="G650" s="31" t="s">
        <v>2432</v>
      </c>
      <c r="H650" s="50" t="s">
        <v>22</v>
      </c>
      <c r="I650" s="217" t="s">
        <v>83</v>
      </c>
      <c r="J650" s="218">
        <v>46182.0</v>
      </c>
      <c r="K650" s="219"/>
      <c r="L650" s="219"/>
      <c r="M650" s="223" t="s">
        <v>183</v>
      </c>
    </row>
    <row r="651">
      <c r="A651" s="230" t="s">
        <v>120</v>
      </c>
      <c r="B651" s="220">
        <v>46183.0</v>
      </c>
      <c r="C651" s="35" t="s">
        <v>51</v>
      </c>
      <c r="D651" s="210" t="s">
        <v>2433</v>
      </c>
      <c r="E651" s="11" t="s">
        <v>2434</v>
      </c>
      <c r="F651" s="221"/>
      <c r="G651" s="37" t="s">
        <v>2435</v>
      </c>
      <c r="H651" s="50"/>
      <c r="I651" s="217" t="s">
        <v>83</v>
      </c>
      <c r="J651" s="218">
        <v>46183.0</v>
      </c>
      <c r="K651" s="219"/>
      <c r="L651" s="219"/>
      <c r="M651" s="223" t="s">
        <v>2436</v>
      </c>
    </row>
    <row r="652">
      <c r="A652" s="230" t="s">
        <v>39</v>
      </c>
      <c r="B652" s="220">
        <v>46183.0</v>
      </c>
      <c r="C652" s="35" t="s">
        <v>51</v>
      </c>
      <c r="D652" s="210" t="s">
        <v>2437</v>
      </c>
      <c r="E652" s="11" t="s">
        <v>2438</v>
      </c>
      <c r="F652" s="221"/>
      <c r="G652" s="31" t="s">
        <v>2439</v>
      </c>
      <c r="H652" s="50"/>
      <c r="I652" s="217" t="s">
        <v>83</v>
      </c>
      <c r="J652" s="218">
        <v>46183.0</v>
      </c>
      <c r="K652" s="219"/>
      <c r="L652" s="219"/>
      <c r="M652" s="223" t="s">
        <v>2440</v>
      </c>
    </row>
    <row r="653">
      <c r="A653" s="230" t="s">
        <v>76</v>
      </c>
      <c r="B653" s="220">
        <v>46183.0</v>
      </c>
      <c r="C653" s="35" t="s">
        <v>51</v>
      </c>
      <c r="D653" s="210" t="s">
        <v>2441</v>
      </c>
      <c r="E653" s="11" t="s">
        <v>2442</v>
      </c>
      <c r="F653" s="221"/>
      <c r="G653" s="31" t="s">
        <v>2443</v>
      </c>
      <c r="H653" s="50"/>
      <c r="I653" s="217" t="s">
        <v>83</v>
      </c>
      <c r="J653" s="218">
        <v>46183.0</v>
      </c>
      <c r="K653" s="219"/>
      <c r="L653" s="219"/>
      <c r="M653" s="223" t="s">
        <v>2444</v>
      </c>
    </row>
    <row r="654">
      <c r="A654" s="230" t="s">
        <v>811</v>
      </c>
      <c r="B654" s="220">
        <v>46184.0</v>
      </c>
      <c r="C654" s="35" t="s">
        <v>51</v>
      </c>
      <c r="D654" s="210" t="s">
        <v>2445</v>
      </c>
      <c r="E654" s="298">
        <f>447518845569</f>
        <v>447518845569</v>
      </c>
      <c r="F654" s="221"/>
      <c r="G654" s="31" t="s">
        <v>2446</v>
      </c>
      <c r="H654" s="50"/>
      <c r="I654" s="217"/>
      <c r="J654" s="116" t="s">
        <v>2447</v>
      </c>
      <c r="K654" s="223" t="s">
        <v>2414</v>
      </c>
      <c r="L654" s="219"/>
      <c r="M654" s="304" t="s">
        <v>2414</v>
      </c>
    </row>
    <row r="655">
      <c r="A655" s="230" t="s">
        <v>39</v>
      </c>
      <c r="B655" s="220">
        <v>46184.0</v>
      </c>
      <c r="C655" s="35" t="s">
        <v>51</v>
      </c>
      <c r="D655" s="37" t="s">
        <v>2448</v>
      </c>
      <c r="E655" s="11" t="s">
        <v>2449</v>
      </c>
      <c r="F655" s="221"/>
      <c r="G655" s="31" t="s">
        <v>2450</v>
      </c>
      <c r="H655" s="50" t="s">
        <v>22</v>
      </c>
      <c r="I655" s="217" t="s">
        <v>89</v>
      </c>
      <c r="J655" s="218">
        <v>46186.0</v>
      </c>
      <c r="K655" s="219"/>
      <c r="L655" s="219"/>
      <c r="M655" s="223" t="s">
        <v>2451</v>
      </c>
    </row>
    <row r="656">
      <c r="A656" s="230" t="s">
        <v>811</v>
      </c>
      <c r="B656" s="220">
        <v>46185.0</v>
      </c>
      <c r="C656" s="35" t="s">
        <v>51</v>
      </c>
      <c r="D656" s="210" t="s">
        <v>2452</v>
      </c>
      <c r="E656" s="11" t="s">
        <v>2453</v>
      </c>
      <c r="F656" s="221"/>
      <c r="G656" s="31" t="s">
        <v>2454</v>
      </c>
      <c r="H656" s="50" t="s">
        <v>22</v>
      </c>
      <c r="I656" s="217" t="s">
        <v>527</v>
      </c>
      <c r="J656" s="218">
        <v>46186.0</v>
      </c>
      <c r="K656" s="223" t="s">
        <v>2414</v>
      </c>
      <c r="L656" s="219"/>
      <c r="M656" s="223" t="s">
        <v>2455</v>
      </c>
    </row>
    <row r="657">
      <c r="A657" s="230" t="s">
        <v>39</v>
      </c>
      <c r="B657" s="220">
        <v>46185.0</v>
      </c>
      <c r="C657" s="35" t="s">
        <v>51</v>
      </c>
      <c r="D657" s="210" t="s">
        <v>2456</v>
      </c>
      <c r="E657" s="11" t="s">
        <v>2457</v>
      </c>
      <c r="F657" s="221"/>
      <c r="G657" s="31" t="s">
        <v>2458</v>
      </c>
      <c r="H657" s="50" t="s">
        <v>22</v>
      </c>
      <c r="I657" s="217" t="s">
        <v>527</v>
      </c>
      <c r="J657" s="218">
        <v>46186.0</v>
      </c>
      <c r="K657" s="219"/>
      <c r="L657" s="219"/>
      <c r="M657" s="223" t="s">
        <v>2459</v>
      </c>
    </row>
    <row r="658">
      <c r="A658" s="230" t="s">
        <v>120</v>
      </c>
      <c r="B658" s="220">
        <v>46185.0</v>
      </c>
      <c r="C658" s="35" t="s">
        <v>51</v>
      </c>
      <c r="D658" s="210" t="s">
        <v>2460</v>
      </c>
      <c r="E658" s="11" t="s">
        <v>2461</v>
      </c>
      <c r="F658" s="221"/>
      <c r="G658" s="31" t="s">
        <v>2462</v>
      </c>
      <c r="H658" s="50" t="s">
        <v>22</v>
      </c>
      <c r="I658" s="217" t="s">
        <v>527</v>
      </c>
      <c r="J658" s="218">
        <v>46186.0</v>
      </c>
      <c r="K658" s="219"/>
      <c r="L658" s="219"/>
      <c r="M658" s="223" t="s">
        <v>2463</v>
      </c>
    </row>
    <row r="659">
      <c r="A659" s="230" t="s">
        <v>39</v>
      </c>
      <c r="B659" s="220">
        <v>46185.0</v>
      </c>
      <c r="C659" s="35" t="s">
        <v>51</v>
      </c>
      <c r="D659" s="210" t="s">
        <v>279</v>
      </c>
      <c r="E659" s="11" t="s">
        <v>2464</v>
      </c>
      <c r="F659" s="221"/>
      <c r="G659" s="31" t="s">
        <v>2465</v>
      </c>
      <c r="H659" s="50" t="s">
        <v>22</v>
      </c>
      <c r="I659" s="217" t="s">
        <v>527</v>
      </c>
      <c r="J659" s="218">
        <v>46186.0</v>
      </c>
      <c r="K659" s="219"/>
      <c r="L659" s="219"/>
      <c r="M659" s="223" t="s">
        <v>2466</v>
      </c>
    </row>
    <row r="660">
      <c r="A660" s="230" t="s">
        <v>39</v>
      </c>
      <c r="B660" s="220">
        <v>46186.0</v>
      </c>
      <c r="C660" s="35" t="s">
        <v>51</v>
      </c>
      <c r="D660" s="210" t="s">
        <v>2467</v>
      </c>
      <c r="E660" s="11" t="s">
        <v>2468</v>
      </c>
      <c r="F660" s="221"/>
      <c r="G660" s="31" t="s">
        <v>2469</v>
      </c>
      <c r="H660" s="50" t="s">
        <v>22</v>
      </c>
      <c r="I660" s="217" t="s">
        <v>89</v>
      </c>
      <c r="J660" s="218">
        <v>46186.0</v>
      </c>
      <c r="K660" s="220">
        <v>46191.0</v>
      </c>
      <c r="L660" s="223">
        <v>2.0</v>
      </c>
      <c r="M660" s="192" t="s">
        <v>2470</v>
      </c>
    </row>
    <row r="661">
      <c r="A661" s="230" t="s">
        <v>76</v>
      </c>
      <c r="B661" s="220">
        <v>46186.0</v>
      </c>
      <c r="C661" s="35" t="s">
        <v>51</v>
      </c>
      <c r="D661" s="210" t="s">
        <v>2471</v>
      </c>
      <c r="E661" s="11" t="s">
        <v>2472</v>
      </c>
      <c r="F661" s="221"/>
      <c r="G661" s="31" t="s">
        <v>2473</v>
      </c>
      <c r="H661" s="50" t="s">
        <v>22</v>
      </c>
      <c r="I661" s="217" t="s">
        <v>527</v>
      </c>
      <c r="J661" s="218">
        <v>46186.0</v>
      </c>
      <c r="K661" s="219"/>
      <c r="L661" s="219"/>
      <c r="M661" s="223" t="s">
        <v>2474</v>
      </c>
    </row>
    <row r="662">
      <c r="A662" s="230" t="s">
        <v>39</v>
      </c>
      <c r="B662" s="220">
        <v>46186.0</v>
      </c>
      <c r="C662" s="35" t="s">
        <v>51</v>
      </c>
      <c r="D662" s="37" t="s">
        <v>2475</v>
      </c>
      <c r="E662" s="11" t="s">
        <v>2476</v>
      </c>
      <c r="F662" s="221"/>
      <c r="G662" s="31" t="s">
        <v>2477</v>
      </c>
      <c r="H662" s="50" t="s">
        <v>22</v>
      </c>
      <c r="I662" s="217" t="s">
        <v>527</v>
      </c>
      <c r="J662" s="218">
        <v>46186.0</v>
      </c>
      <c r="K662" s="220">
        <v>46214.0</v>
      </c>
      <c r="L662" s="223">
        <v>1.0</v>
      </c>
      <c r="M662" s="223" t="s">
        <v>2478</v>
      </c>
    </row>
    <row r="663">
      <c r="A663" s="230" t="s">
        <v>811</v>
      </c>
      <c r="B663" s="220">
        <v>46186.0</v>
      </c>
      <c r="C663" s="35" t="s">
        <v>51</v>
      </c>
      <c r="D663" s="210" t="s">
        <v>2479</v>
      </c>
      <c r="E663" s="11" t="s">
        <v>2480</v>
      </c>
      <c r="F663" s="221"/>
      <c r="G663" s="31" t="s">
        <v>2481</v>
      </c>
      <c r="H663" s="50" t="s">
        <v>22</v>
      </c>
      <c r="I663" s="217" t="s">
        <v>527</v>
      </c>
      <c r="J663" s="218">
        <v>46186.0</v>
      </c>
      <c r="K663" s="219"/>
      <c r="L663" s="219"/>
      <c r="M663" s="223" t="s">
        <v>173</v>
      </c>
    </row>
    <row r="664">
      <c r="A664" s="230" t="s">
        <v>811</v>
      </c>
      <c r="B664" s="220">
        <v>46186.0</v>
      </c>
      <c r="C664" s="35" t="s">
        <v>51</v>
      </c>
      <c r="D664" s="210" t="s">
        <v>2482</v>
      </c>
      <c r="E664" s="11" t="s">
        <v>2483</v>
      </c>
      <c r="F664" s="221"/>
      <c r="G664" s="31" t="s">
        <v>2484</v>
      </c>
      <c r="H664" s="50" t="s">
        <v>22</v>
      </c>
      <c r="I664" s="217" t="s">
        <v>527</v>
      </c>
      <c r="J664" s="218">
        <v>46186.0</v>
      </c>
      <c r="K664" s="219"/>
      <c r="L664" s="219"/>
      <c r="M664" s="223" t="s">
        <v>183</v>
      </c>
    </row>
    <row r="665">
      <c r="A665" s="230" t="s">
        <v>811</v>
      </c>
      <c r="B665" s="220">
        <v>46186.0</v>
      </c>
      <c r="C665" s="35" t="s">
        <v>51</v>
      </c>
      <c r="D665" s="210" t="s">
        <v>2485</v>
      </c>
      <c r="E665" s="11" t="s">
        <v>2486</v>
      </c>
      <c r="F665" s="221"/>
      <c r="G665" s="31" t="s">
        <v>2462</v>
      </c>
      <c r="H665" s="50" t="s">
        <v>22</v>
      </c>
      <c r="I665" s="217" t="s">
        <v>527</v>
      </c>
      <c r="J665" s="218">
        <v>46186.0</v>
      </c>
      <c r="K665" s="219"/>
      <c r="L665" s="219"/>
      <c r="M665" s="223" t="s">
        <v>173</v>
      </c>
    </row>
    <row r="666">
      <c r="A666" s="230" t="s">
        <v>39</v>
      </c>
      <c r="B666" s="220">
        <v>46186.0</v>
      </c>
      <c r="C666" s="35" t="s">
        <v>51</v>
      </c>
      <c r="D666" s="210" t="s">
        <v>2487</v>
      </c>
      <c r="E666" s="11" t="s">
        <v>2488</v>
      </c>
      <c r="F666" s="221" t="s">
        <v>527</v>
      </c>
      <c r="G666" s="31"/>
      <c r="H666" s="50" t="s">
        <v>22</v>
      </c>
      <c r="I666" s="217"/>
      <c r="J666" s="218">
        <v>46186.0</v>
      </c>
      <c r="K666" s="220">
        <v>46190.0</v>
      </c>
      <c r="L666" s="223">
        <v>2.0</v>
      </c>
      <c r="M666" s="223" t="s">
        <v>2489</v>
      </c>
    </row>
    <row r="667">
      <c r="A667" s="230" t="s">
        <v>39</v>
      </c>
      <c r="B667" s="220">
        <v>46189.0</v>
      </c>
      <c r="C667" s="35" t="s">
        <v>51</v>
      </c>
      <c r="D667" s="210" t="s">
        <v>2490</v>
      </c>
      <c r="E667" s="11" t="s">
        <v>2491</v>
      </c>
      <c r="F667" s="221"/>
      <c r="G667" s="31" t="s">
        <v>2492</v>
      </c>
      <c r="H667" s="50"/>
      <c r="I667" s="217" t="s">
        <v>89</v>
      </c>
      <c r="J667" s="218">
        <v>46189.0</v>
      </c>
      <c r="K667" s="220">
        <v>46199.0</v>
      </c>
      <c r="L667" s="223">
        <v>2.0</v>
      </c>
      <c r="M667" s="288" t="s">
        <v>2493</v>
      </c>
    </row>
    <row r="668">
      <c r="A668" s="230" t="s">
        <v>39</v>
      </c>
      <c r="B668" s="220">
        <v>46189.0</v>
      </c>
      <c r="C668" s="35" t="s">
        <v>51</v>
      </c>
      <c r="D668" s="210" t="s">
        <v>2494</v>
      </c>
      <c r="E668" s="11" t="s">
        <v>2495</v>
      </c>
      <c r="F668" s="238"/>
      <c r="G668" s="31"/>
      <c r="H668" s="50" t="s">
        <v>22</v>
      </c>
      <c r="I668" s="281" t="s">
        <v>89</v>
      </c>
      <c r="J668" s="218">
        <v>46189.0</v>
      </c>
      <c r="K668" s="220">
        <v>46207.0</v>
      </c>
      <c r="L668" s="223">
        <v>2.0</v>
      </c>
      <c r="M668" s="223" t="s">
        <v>2496</v>
      </c>
    </row>
    <row r="669">
      <c r="A669" s="230" t="s">
        <v>811</v>
      </c>
      <c r="B669" s="220">
        <v>46189.0</v>
      </c>
      <c r="C669" s="35" t="s">
        <v>51</v>
      </c>
      <c r="D669" s="210" t="s">
        <v>2497</v>
      </c>
      <c r="E669" s="11" t="s">
        <v>2498</v>
      </c>
      <c r="F669" s="221"/>
      <c r="G669" s="31" t="s">
        <v>2499</v>
      </c>
      <c r="H669" s="50" t="s">
        <v>22</v>
      </c>
      <c r="I669" s="217"/>
      <c r="J669" s="116" t="s">
        <v>2447</v>
      </c>
      <c r="K669" s="219"/>
      <c r="L669" s="219"/>
      <c r="M669" s="288" t="s">
        <v>183</v>
      </c>
    </row>
    <row r="670">
      <c r="A670" s="230" t="s">
        <v>120</v>
      </c>
      <c r="B670" s="220">
        <v>46189.0</v>
      </c>
      <c r="C670" s="35" t="s">
        <v>51</v>
      </c>
      <c r="D670" s="210" t="s">
        <v>2500</v>
      </c>
      <c r="E670" s="11" t="s">
        <v>2501</v>
      </c>
      <c r="F670" s="221"/>
      <c r="G670" s="31" t="s">
        <v>2502</v>
      </c>
      <c r="H670" s="50" t="s">
        <v>22</v>
      </c>
      <c r="I670" s="217" t="s">
        <v>89</v>
      </c>
      <c r="J670" s="218">
        <v>46189.0</v>
      </c>
      <c r="K670" s="219"/>
      <c r="L670" s="219"/>
      <c r="M670" s="223" t="s">
        <v>2503</v>
      </c>
    </row>
    <row r="671">
      <c r="A671" s="230" t="s">
        <v>811</v>
      </c>
      <c r="B671" s="220">
        <v>46189.0</v>
      </c>
      <c r="C671" s="35" t="s">
        <v>51</v>
      </c>
      <c r="D671" s="210" t="s">
        <v>2504</v>
      </c>
      <c r="E671" s="11" t="s">
        <v>2505</v>
      </c>
      <c r="F671" s="238"/>
      <c r="G671" s="31" t="s">
        <v>2506</v>
      </c>
      <c r="H671" s="50" t="s">
        <v>22</v>
      </c>
      <c r="I671" s="281" t="s">
        <v>89</v>
      </c>
      <c r="J671" s="218">
        <v>46189.0</v>
      </c>
      <c r="K671" s="219"/>
      <c r="L671" s="219"/>
      <c r="M671" s="223" t="s">
        <v>183</v>
      </c>
    </row>
    <row r="672">
      <c r="A672" s="230" t="s">
        <v>811</v>
      </c>
      <c r="B672" s="220">
        <v>46189.0</v>
      </c>
      <c r="C672" s="35" t="s">
        <v>51</v>
      </c>
      <c r="D672" s="210" t="s">
        <v>2507</v>
      </c>
      <c r="E672" s="11" t="s">
        <v>2508</v>
      </c>
      <c r="F672" s="238"/>
      <c r="G672" s="31" t="s">
        <v>2509</v>
      </c>
      <c r="H672" s="50" t="s">
        <v>22</v>
      </c>
      <c r="I672" s="281" t="s">
        <v>89</v>
      </c>
      <c r="J672" s="218">
        <v>46189.0</v>
      </c>
      <c r="K672" s="219"/>
      <c r="L672" s="219"/>
      <c r="M672" s="223" t="s">
        <v>173</v>
      </c>
    </row>
    <row r="673">
      <c r="A673" s="230" t="s">
        <v>811</v>
      </c>
      <c r="B673" s="220">
        <v>46189.0</v>
      </c>
      <c r="C673" s="35" t="s">
        <v>51</v>
      </c>
      <c r="D673" s="210" t="s">
        <v>2510</v>
      </c>
      <c r="E673" s="11" t="s">
        <v>2511</v>
      </c>
      <c r="F673" s="221"/>
      <c r="G673" s="31" t="s">
        <v>2512</v>
      </c>
      <c r="H673" s="50" t="s">
        <v>22</v>
      </c>
      <c r="I673" s="217" t="s">
        <v>89</v>
      </c>
      <c r="J673" s="218">
        <v>46189.0</v>
      </c>
      <c r="K673" s="219"/>
      <c r="L673" s="219"/>
      <c r="M673" s="223" t="s">
        <v>183</v>
      </c>
    </row>
    <row r="674">
      <c r="A674" s="282" t="s">
        <v>811</v>
      </c>
      <c r="B674" s="289">
        <v>46189.0</v>
      </c>
      <c r="C674" s="35" t="s">
        <v>51</v>
      </c>
      <c r="D674" s="305" t="s">
        <v>2513</v>
      </c>
      <c r="E674" s="290" t="s">
        <v>2514</v>
      </c>
      <c r="F674" s="291"/>
      <c r="G674" s="292" t="s">
        <v>2515</v>
      </c>
      <c r="H674" s="293" t="s">
        <v>22</v>
      </c>
      <c r="I674" s="294"/>
      <c r="J674" s="295"/>
      <c r="K674" s="296"/>
      <c r="L674" s="296"/>
      <c r="M674" s="288"/>
      <c r="N674" s="287"/>
      <c r="O674" s="287"/>
      <c r="P674" s="287"/>
      <c r="Q674" s="287"/>
      <c r="R674" s="287"/>
      <c r="S674" s="287"/>
      <c r="T674" s="287"/>
      <c r="U674" s="287"/>
      <c r="V674" s="287"/>
      <c r="W674" s="287"/>
      <c r="X674" s="287"/>
      <c r="Y674" s="287"/>
      <c r="Z674" s="287"/>
      <c r="AA674" s="287"/>
    </row>
    <row r="675">
      <c r="A675" s="230" t="s">
        <v>811</v>
      </c>
      <c r="B675" s="220">
        <v>46189.0</v>
      </c>
      <c r="C675" s="35" t="s">
        <v>51</v>
      </c>
      <c r="D675" s="210" t="s">
        <v>2516</v>
      </c>
      <c r="E675" s="11" t="s">
        <v>2517</v>
      </c>
      <c r="F675" s="221"/>
      <c r="G675" s="31" t="s">
        <v>2518</v>
      </c>
      <c r="H675" s="50" t="s">
        <v>22</v>
      </c>
      <c r="I675" s="217" t="s">
        <v>89</v>
      </c>
      <c r="J675" s="218">
        <v>46189.0</v>
      </c>
      <c r="K675" s="219"/>
      <c r="L675" s="219"/>
      <c r="M675" s="223" t="s">
        <v>173</v>
      </c>
    </row>
    <row r="676">
      <c r="A676" s="282" t="s">
        <v>811</v>
      </c>
      <c r="B676" s="289">
        <v>46189.0</v>
      </c>
      <c r="C676" s="35" t="s">
        <v>51</v>
      </c>
      <c r="D676" s="305" t="s">
        <v>2519</v>
      </c>
      <c r="E676" s="290" t="s">
        <v>2520</v>
      </c>
      <c r="F676" s="291"/>
      <c r="G676" s="292" t="s">
        <v>2521</v>
      </c>
      <c r="H676" s="293" t="s">
        <v>22</v>
      </c>
      <c r="I676" s="294"/>
      <c r="J676" s="295"/>
      <c r="K676" s="296"/>
      <c r="L676" s="296"/>
      <c r="M676" s="288"/>
      <c r="N676" s="287"/>
      <c r="O676" s="287"/>
      <c r="P676" s="287"/>
      <c r="Q676" s="287"/>
      <c r="R676" s="287"/>
      <c r="S676" s="287"/>
      <c r="T676" s="287"/>
      <c r="U676" s="287"/>
      <c r="V676" s="287"/>
      <c r="W676" s="287"/>
      <c r="X676" s="287"/>
      <c r="Y676" s="287"/>
      <c r="Z676" s="287"/>
      <c r="AA676" s="287"/>
    </row>
    <row r="677">
      <c r="A677" s="230" t="s">
        <v>811</v>
      </c>
      <c r="B677" s="220">
        <v>46189.0</v>
      </c>
      <c r="C677" s="35" t="s">
        <v>51</v>
      </c>
      <c r="D677" s="305" t="s">
        <v>2522</v>
      </c>
      <c r="E677" s="11" t="s">
        <v>2523</v>
      </c>
      <c r="F677" s="221"/>
      <c r="G677" s="31" t="s">
        <v>2524</v>
      </c>
      <c r="H677" s="50" t="s">
        <v>22</v>
      </c>
      <c r="I677" s="217"/>
      <c r="J677" s="218">
        <v>46190.0</v>
      </c>
      <c r="K677" s="219"/>
      <c r="L677" s="219"/>
      <c r="M677" s="223" t="s">
        <v>183</v>
      </c>
    </row>
    <row r="678">
      <c r="A678" s="306" t="s">
        <v>120</v>
      </c>
      <c r="B678" s="307">
        <v>46189.0</v>
      </c>
      <c r="C678" s="35" t="s">
        <v>51</v>
      </c>
      <c r="D678" s="308" t="s">
        <v>2525</v>
      </c>
      <c r="E678" s="309" t="s">
        <v>2526</v>
      </c>
      <c r="F678" s="310"/>
      <c r="G678" s="179" t="s">
        <v>2527</v>
      </c>
      <c r="H678" s="311" t="s">
        <v>22</v>
      </c>
      <c r="I678" s="312" t="s">
        <v>89</v>
      </c>
      <c r="J678" s="313">
        <v>46189.0</v>
      </c>
      <c r="K678" s="314"/>
      <c r="L678" s="314"/>
      <c r="M678" s="301" t="s">
        <v>2528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230" t="s">
        <v>76</v>
      </c>
      <c r="B679" s="220">
        <v>46189.0</v>
      </c>
      <c r="C679" s="35" t="s">
        <v>51</v>
      </c>
      <c r="D679" s="210" t="s">
        <v>2529</v>
      </c>
      <c r="E679" s="11" t="s">
        <v>2530</v>
      </c>
      <c r="F679" s="221"/>
      <c r="G679" s="31" t="s">
        <v>2531</v>
      </c>
      <c r="H679" s="50" t="s">
        <v>22</v>
      </c>
      <c r="I679" s="217" t="s">
        <v>89</v>
      </c>
      <c r="J679" s="218">
        <v>46189.0</v>
      </c>
      <c r="K679" s="219"/>
      <c r="L679" s="219"/>
      <c r="M679" s="315" t="s">
        <v>2532</v>
      </c>
    </row>
    <row r="680">
      <c r="A680" s="230" t="s">
        <v>811</v>
      </c>
      <c r="B680" s="220">
        <v>46189.0</v>
      </c>
      <c r="C680" s="35" t="s">
        <v>51</v>
      </c>
      <c r="D680" s="210" t="s">
        <v>2533</v>
      </c>
      <c r="E680" s="11" t="s">
        <v>2534</v>
      </c>
      <c r="F680" s="221"/>
      <c r="G680" s="31" t="s">
        <v>2535</v>
      </c>
      <c r="H680" s="50" t="s">
        <v>22</v>
      </c>
      <c r="I680" s="217" t="s">
        <v>89</v>
      </c>
      <c r="J680" s="218">
        <v>46189.0</v>
      </c>
      <c r="K680" s="219"/>
      <c r="L680" s="219"/>
      <c r="M680" s="223" t="s">
        <v>183</v>
      </c>
    </row>
    <row r="681">
      <c r="A681" s="282" t="s">
        <v>120</v>
      </c>
      <c r="B681" s="289">
        <v>46189.0</v>
      </c>
      <c r="C681" s="35" t="s">
        <v>51</v>
      </c>
      <c r="D681" s="305" t="s">
        <v>2536</v>
      </c>
      <c r="E681" s="290" t="s">
        <v>2537</v>
      </c>
      <c r="F681" s="291"/>
      <c r="G681" s="292" t="s">
        <v>2538</v>
      </c>
      <c r="H681" s="293" t="s">
        <v>22</v>
      </c>
      <c r="I681" s="294" t="s">
        <v>89</v>
      </c>
      <c r="J681" s="295">
        <v>46189.0</v>
      </c>
      <c r="K681" s="296"/>
      <c r="L681" s="296"/>
      <c r="M681" s="288" t="s">
        <v>2539</v>
      </c>
      <c r="N681" s="287"/>
      <c r="O681" s="287"/>
      <c r="P681" s="287"/>
      <c r="Q681" s="287"/>
      <c r="R681" s="287"/>
      <c r="S681" s="287"/>
      <c r="T681" s="287"/>
      <c r="U681" s="287"/>
      <c r="V681" s="287"/>
      <c r="W681" s="287"/>
      <c r="X681" s="287"/>
      <c r="Y681" s="287"/>
      <c r="Z681" s="287"/>
      <c r="AA681" s="287"/>
    </row>
    <row r="682">
      <c r="A682" s="230" t="s">
        <v>39</v>
      </c>
      <c r="B682" s="220">
        <v>46189.0</v>
      </c>
      <c r="C682" s="35" t="s">
        <v>51</v>
      </c>
      <c r="D682" s="210" t="s">
        <v>2540</v>
      </c>
      <c r="E682" s="11" t="s">
        <v>2541</v>
      </c>
      <c r="F682" s="221"/>
      <c r="G682" s="31" t="s">
        <v>2542</v>
      </c>
      <c r="H682" s="50" t="s">
        <v>22</v>
      </c>
      <c r="I682" s="217" t="s">
        <v>89</v>
      </c>
      <c r="J682" s="218">
        <v>46189.0</v>
      </c>
      <c r="K682" s="223" t="s">
        <v>2414</v>
      </c>
      <c r="L682" s="219"/>
      <c r="M682" s="223" t="s">
        <v>2543</v>
      </c>
    </row>
    <row r="683">
      <c r="A683" s="230" t="s">
        <v>811</v>
      </c>
      <c r="B683" s="220">
        <v>46189.0</v>
      </c>
      <c r="C683" s="35" t="s">
        <v>51</v>
      </c>
      <c r="D683" s="210" t="s">
        <v>2544</v>
      </c>
      <c r="E683" s="11" t="s">
        <v>2545</v>
      </c>
      <c r="F683" s="221"/>
      <c r="G683" s="292" t="s">
        <v>2546</v>
      </c>
      <c r="H683" s="50"/>
      <c r="I683" s="217"/>
      <c r="J683" s="218"/>
      <c r="K683" s="219"/>
      <c r="L683" s="219"/>
      <c r="M683" s="223"/>
    </row>
    <row r="684">
      <c r="A684" s="230" t="s">
        <v>76</v>
      </c>
      <c r="B684" s="220">
        <v>46189.0</v>
      </c>
      <c r="C684" s="35" t="s">
        <v>51</v>
      </c>
      <c r="D684" s="210" t="s">
        <v>2547</v>
      </c>
      <c r="E684" s="11" t="s">
        <v>2548</v>
      </c>
      <c r="F684" s="221" t="s">
        <v>89</v>
      </c>
      <c r="G684" s="31" t="s">
        <v>2549</v>
      </c>
      <c r="H684" s="50" t="s">
        <v>22</v>
      </c>
      <c r="I684" s="217" t="s">
        <v>89</v>
      </c>
      <c r="J684" s="218">
        <v>46189.0</v>
      </c>
      <c r="K684" s="219"/>
      <c r="L684" s="219"/>
      <c r="M684" s="223" t="s">
        <v>2550</v>
      </c>
    </row>
    <row r="685">
      <c r="A685" s="230" t="s">
        <v>811</v>
      </c>
      <c r="B685" s="220">
        <v>46190.0</v>
      </c>
      <c r="C685" s="35" t="s">
        <v>51</v>
      </c>
      <c r="D685" s="210" t="s">
        <v>2551</v>
      </c>
      <c r="E685" s="11" t="s">
        <v>2552</v>
      </c>
      <c r="F685" s="221"/>
      <c r="G685" s="31" t="s">
        <v>2553</v>
      </c>
      <c r="H685" s="50" t="s">
        <v>22</v>
      </c>
      <c r="I685" s="217"/>
      <c r="J685" s="218">
        <v>46190.0</v>
      </c>
      <c r="K685" s="219"/>
      <c r="L685" s="219"/>
      <c r="M685" s="223" t="s">
        <v>183</v>
      </c>
    </row>
    <row r="686">
      <c r="A686" s="230" t="s">
        <v>811</v>
      </c>
      <c r="B686" s="220">
        <v>46190.0</v>
      </c>
      <c r="C686" s="35" t="s">
        <v>51</v>
      </c>
      <c r="D686" s="210" t="s">
        <v>2554</v>
      </c>
      <c r="E686" s="11" t="s">
        <v>2555</v>
      </c>
      <c r="F686" s="221"/>
      <c r="G686" s="31" t="s">
        <v>2556</v>
      </c>
      <c r="H686" s="50" t="s">
        <v>22</v>
      </c>
      <c r="I686" s="217"/>
      <c r="J686" s="218">
        <v>46190.0</v>
      </c>
      <c r="K686" s="223" t="s">
        <v>2414</v>
      </c>
      <c r="L686" s="219"/>
      <c r="M686" s="223" t="s">
        <v>2557</v>
      </c>
    </row>
    <row r="687">
      <c r="A687" s="230" t="s">
        <v>811</v>
      </c>
      <c r="B687" s="220">
        <v>46191.0</v>
      </c>
      <c r="C687" s="35" t="s">
        <v>51</v>
      </c>
      <c r="D687" s="210" t="s">
        <v>2558</v>
      </c>
      <c r="E687" s="11" t="s">
        <v>2559</v>
      </c>
      <c r="F687" s="221"/>
      <c r="G687" s="31" t="s">
        <v>2560</v>
      </c>
      <c r="H687" s="50" t="s">
        <v>22</v>
      </c>
      <c r="I687" s="217" t="s">
        <v>89</v>
      </c>
      <c r="J687" s="218">
        <v>46197.0</v>
      </c>
      <c r="K687" s="219"/>
      <c r="L687" s="219"/>
      <c r="M687" s="223" t="s">
        <v>173</v>
      </c>
    </row>
    <row r="688">
      <c r="A688" s="230" t="s">
        <v>811</v>
      </c>
      <c r="B688" s="220">
        <v>46191.0</v>
      </c>
      <c r="C688" s="35" t="s">
        <v>51</v>
      </c>
      <c r="D688" s="210" t="s">
        <v>2561</v>
      </c>
      <c r="E688" s="11" t="s">
        <v>2562</v>
      </c>
      <c r="F688" s="221"/>
      <c r="G688" s="31" t="s">
        <v>2481</v>
      </c>
      <c r="H688" s="50" t="s">
        <v>22</v>
      </c>
      <c r="I688" s="217" t="s">
        <v>89</v>
      </c>
      <c r="J688" s="218">
        <v>46197.0</v>
      </c>
      <c r="K688" s="219"/>
      <c r="L688" s="219"/>
      <c r="M688" s="223" t="s">
        <v>173</v>
      </c>
    </row>
    <row r="689">
      <c r="A689" s="230" t="s">
        <v>811</v>
      </c>
      <c r="B689" s="220">
        <v>46191.0</v>
      </c>
      <c r="C689" s="35" t="s">
        <v>51</v>
      </c>
      <c r="D689" s="210" t="s">
        <v>2563</v>
      </c>
      <c r="E689" s="11" t="s">
        <v>2564</v>
      </c>
      <c r="F689" s="221"/>
      <c r="G689" s="31" t="s">
        <v>2560</v>
      </c>
      <c r="H689" s="50" t="s">
        <v>22</v>
      </c>
      <c r="I689" s="217" t="s">
        <v>89</v>
      </c>
      <c r="J689" s="218">
        <v>46197.0</v>
      </c>
      <c r="K689" s="219"/>
      <c r="L689" s="219"/>
      <c r="M689" s="223" t="s">
        <v>183</v>
      </c>
    </row>
    <row r="690">
      <c r="A690" s="230" t="s">
        <v>811</v>
      </c>
      <c r="B690" s="220">
        <v>46191.0</v>
      </c>
      <c r="C690" s="35" t="s">
        <v>51</v>
      </c>
      <c r="D690" s="210" t="s">
        <v>2551</v>
      </c>
      <c r="E690" s="11" t="s">
        <v>2552</v>
      </c>
      <c r="F690" s="221"/>
      <c r="G690" s="31" t="s">
        <v>2553</v>
      </c>
      <c r="H690" s="50" t="s">
        <v>22</v>
      </c>
      <c r="I690" s="217" t="s">
        <v>89</v>
      </c>
      <c r="J690" s="218">
        <v>46197.0</v>
      </c>
      <c r="K690" s="219"/>
      <c r="L690" s="219"/>
      <c r="M690" s="223" t="s">
        <v>183</v>
      </c>
    </row>
    <row r="691">
      <c r="A691" s="230" t="s">
        <v>811</v>
      </c>
      <c r="B691" s="316">
        <v>46191.0</v>
      </c>
      <c r="C691" s="35" t="s">
        <v>51</v>
      </c>
      <c r="D691" s="317" t="s">
        <v>2554</v>
      </c>
      <c r="E691" s="318" t="s">
        <v>2555</v>
      </c>
      <c r="F691" s="319"/>
      <c r="G691" s="320" t="s">
        <v>2556</v>
      </c>
      <c r="H691" s="321" t="s">
        <v>22</v>
      </c>
      <c r="I691" s="322" t="s">
        <v>89</v>
      </c>
      <c r="J691" s="323">
        <v>46197.0</v>
      </c>
      <c r="K691" s="324"/>
      <c r="L691" s="324"/>
      <c r="M691" s="325" t="s">
        <v>173</v>
      </c>
    </row>
    <row r="692">
      <c r="A692" s="31" t="s">
        <v>120</v>
      </c>
      <c r="B692" s="307">
        <v>46190.0</v>
      </c>
      <c r="C692" s="35" t="s">
        <v>51</v>
      </c>
      <c r="D692" s="308" t="s">
        <v>2565</v>
      </c>
      <c r="E692" s="309" t="s">
        <v>2566</v>
      </c>
      <c r="F692" s="310"/>
      <c r="G692" s="179" t="s">
        <v>2567</v>
      </c>
      <c r="H692" s="311" t="s">
        <v>22</v>
      </c>
      <c r="I692" s="312" t="s">
        <v>89</v>
      </c>
      <c r="J692" s="313">
        <v>46190.0</v>
      </c>
      <c r="K692" s="314"/>
      <c r="L692" s="314"/>
      <c r="M692" s="300" t="s">
        <v>2568</v>
      </c>
    </row>
    <row r="693">
      <c r="A693" s="230" t="s">
        <v>811</v>
      </c>
      <c r="B693" s="326">
        <v>46192.0</v>
      </c>
      <c r="C693" s="35" t="s">
        <v>51</v>
      </c>
      <c r="D693" s="327" t="s">
        <v>2569</v>
      </c>
      <c r="E693" s="328" t="s">
        <v>2570</v>
      </c>
      <c r="F693" s="329"/>
      <c r="G693" s="330" t="s">
        <v>2571</v>
      </c>
      <c r="H693" s="331" t="s">
        <v>22</v>
      </c>
      <c r="I693" s="332" t="s">
        <v>89</v>
      </c>
      <c r="J693" s="333">
        <v>46197.0</v>
      </c>
      <c r="K693" s="334"/>
      <c r="L693" s="334"/>
      <c r="M693" s="335" t="s">
        <v>173</v>
      </c>
    </row>
    <row r="694">
      <c r="A694" s="306" t="s">
        <v>39</v>
      </c>
      <c r="B694" s="307">
        <v>46196.0</v>
      </c>
      <c r="C694" s="35" t="s">
        <v>51</v>
      </c>
      <c r="D694" s="308" t="s">
        <v>2572</v>
      </c>
      <c r="E694" s="309" t="s">
        <v>2573</v>
      </c>
      <c r="F694" s="310"/>
      <c r="G694" s="336" t="s">
        <v>2574</v>
      </c>
      <c r="H694" s="311"/>
      <c r="I694" s="312" t="s">
        <v>89</v>
      </c>
      <c r="J694" s="313">
        <v>46196.0</v>
      </c>
      <c r="K694" s="307">
        <v>46200.0</v>
      </c>
      <c r="L694" s="301">
        <v>3.0</v>
      </c>
      <c r="M694" s="301" t="s">
        <v>2575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230" t="s">
        <v>39</v>
      </c>
      <c r="B695" s="220">
        <v>46196.0</v>
      </c>
      <c r="C695" s="35" t="s">
        <v>51</v>
      </c>
      <c r="D695" s="210" t="s">
        <v>2576</v>
      </c>
      <c r="E695" s="11" t="s">
        <v>2577</v>
      </c>
      <c r="F695" s="238"/>
      <c r="G695" s="337" t="s">
        <v>2578</v>
      </c>
      <c r="H695" s="50"/>
      <c r="I695" s="281" t="s">
        <v>89</v>
      </c>
      <c r="J695" s="218">
        <v>46197.0</v>
      </c>
      <c r="K695" s="220">
        <v>46218.0</v>
      </c>
      <c r="L695" s="223">
        <v>2.0</v>
      </c>
      <c r="M695" s="223" t="s">
        <v>2579</v>
      </c>
    </row>
    <row r="696">
      <c r="A696" s="230" t="s">
        <v>39</v>
      </c>
      <c r="B696" s="220">
        <v>46196.0</v>
      </c>
      <c r="C696" s="35" t="s">
        <v>51</v>
      </c>
      <c r="D696" s="210" t="s">
        <v>2580</v>
      </c>
      <c r="E696" s="11" t="s">
        <v>2581</v>
      </c>
      <c r="F696" s="221"/>
      <c r="G696" s="338" t="s">
        <v>2582</v>
      </c>
      <c r="H696" s="50"/>
      <c r="I696" s="217" t="s">
        <v>89</v>
      </c>
      <c r="J696" s="218">
        <v>46196.0</v>
      </c>
      <c r="K696" s="219"/>
      <c r="L696" s="219"/>
      <c r="M696" s="223" t="s">
        <v>2583</v>
      </c>
    </row>
    <row r="697">
      <c r="A697" s="230" t="s">
        <v>39</v>
      </c>
      <c r="B697" s="220">
        <v>46196.0</v>
      </c>
      <c r="C697" s="35" t="s">
        <v>51</v>
      </c>
      <c r="D697" s="210" t="s">
        <v>2584</v>
      </c>
      <c r="E697" s="11" t="s">
        <v>2585</v>
      </c>
      <c r="F697" s="221"/>
      <c r="G697" s="338" t="s">
        <v>2586</v>
      </c>
      <c r="H697" s="50" t="s">
        <v>22</v>
      </c>
      <c r="I697" s="217" t="s">
        <v>89</v>
      </c>
      <c r="J697" s="218">
        <v>46196.0</v>
      </c>
      <c r="K697" s="220">
        <v>46218.0</v>
      </c>
      <c r="L697" s="223">
        <v>2.0</v>
      </c>
      <c r="M697" s="223" t="s">
        <v>2587</v>
      </c>
    </row>
    <row r="698">
      <c r="A698" s="230" t="s">
        <v>39</v>
      </c>
      <c r="B698" s="220">
        <v>46196.0</v>
      </c>
      <c r="C698" s="35" t="s">
        <v>51</v>
      </c>
      <c r="D698" s="210" t="s">
        <v>2588</v>
      </c>
      <c r="E698" s="11" t="s">
        <v>2589</v>
      </c>
      <c r="F698" s="221"/>
      <c r="G698" s="338" t="s">
        <v>2586</v>
      </c>
      <c r="H698" s="50" t="s">
        <v>22</v>
      </c>
      <c r="I698" s="217" t="s">
        <v>89</v>
      </c>
      <c r="J698" s="218">
        <v>46196.0</v>
      </c>
      <c r="K698" s="219"/>
      <c r="L698" s="219"/>
      <c r="M698" s="223" t="s">
        <v>2590</v>
      </c>
    </row>
    <row r="699">
      <c r="A699" s="230" t="s">
        <v>39</v>
      </c>
      <c r="B699" s="220">
        <v>46196.0</v>
      </c>
      <c r="C699" s="35" t="s">
        <v>51</v>
      </c>
      <c r="D699" s="210" t="s">
        <v>2591</v>
      </c>
      <c r="E699" s="11" t="s">
        <v>2592</v>
      </c>
      <c r="F699" s="221"/>
      <c r="G699" s="338" t="s">
        <v>2593</v>
      </c>
      <c r="H699" s="50" t="s">
        <v>22</v>
      </c>
      <c r="I699" s="217" t="s">
        <v>89</v>
      </c>
      <c r="J699" s="218">
        <v>46196.0</v>
      </c>
      <c r="K699" s="219"/>
      <c r="L699" s="219"/>
      <c r="M699" s="223" t="s">
        <v>2594</v>
      </c>
    </row>
    <row r="700">
      <c r="A700" s="230" t="s">
        <v>39</v>
      </c>
      <c r="B700" s="220">
        <v>46196.0</v>
      </c>
      <c r="C700" s="35" t="s">
        <v>51</v>
      </c>
      <c r="D700" s="210" t="s">
        <v>2595</v>
      </c>
      <c r="E700" s="11" t="s">
        <v>2596</v>
      </c>
      <c r="F700" s="221"/>
      <c r="G700" s="338" t="s">
        <v>2597</v>
      </c>
      <c r="H700" s="50" t="s">
        <v>22</v>
      </c>
      <c r="I700" s="217" t="s">
        <v>89</v>
      </c>
      <c r="J700" s="218">
        <v>46196.0</v>
      </c>
      <c r="K700" s="219"/>
      <c r="L700" s="219"/>
      <c r="M700" s="223" t="s">
        <v>2598</v>
      </c>
    </row>
    <row r="701">
      <c r="A701" s="230" t="s">
        <v>76</v>
      </c>
      <c r="B701" s="220">
        <v>46196.0</v>
      </c>
      <c r="C701" s="35" t="s">
        <v>51</v>
      </c>
      <c r="D701" s="210" t="s">
        <v>2599</v>
      </c>
      <c r="E701" s="11" t="s">
        <v>2600</v>
      </c>
      <c r="F701" s="221"/>
      <c r="G701" s="338" t="s">
        <v>2601</v>
      </c>
      <c r="H701" s="50" t="s">
        <v>22</v>
      </c>
      <c r="I701" s="217" t="s">
        <v>89</v>
      </c>
      <c r="J701" s="218">
        <v>46196.0</v>
      </c>
      <c r="K701" s="219"/>
      <c r="L701" s="219"/>
      <c r="M701" s="223" t="s">
        <v>2602</v>
      </c>
    </row>
    <row r="702">
      <c r="A702" s="230" t="s">
        <v>811</v>
      </c>
      <c r="B702" s="220">
        <v>46196.0</v>
      </c>
      <c r="C702" s="35" t="s">
        <v>51</v>
      </c>
      <c r="D702" s="210" t="s">
        <v>1139</v>
      </c>
      <c r="E702" s="11" t="s">
        <v>2603</v>
      </c>
      <c r="F702" s="221"/>
      <c r="G702" s="338" t="s">
        <v>2604</v>
      </c>
      <c r="H702" s="50" t="s">
        <v>22</v>
      </c>
      <c r="I702" s="217" t="s">
        <v>89</v>
      </c>
      <c r="J702" s="218">
        <v>46196.0</v>
      </c>
      <c r="K702" s="219"/>
      <c r="L702" s="219"/>
      <c r="M702" s="223" t="s">
        <v>173</v>
      </c>
    </row>
    <row r="703">
      <c r="A703" s="230" t="s">
        <v>811</v>
      </c>
      <c r="B703" s="220">
        <v>46196.0</v>
      </c>
      <c r="C703" s="35" t="s">
        <v>51</v>
      </c>
      <c r="D703" s="210" t="s">
        <v>2605</v>
      </c>
      <c r="E703" s="11" t="s">
        <v>2606</v>
      </c>
      <c r="F703" s="221"/>
      <c r="G703" s="338" t="s">
        <v>2607</v>
      </c>
      <c r="H703" s="50" t="s">
        <v>22</v>
      </c>
      <c r="I703" s="217" t="s">
        <v>89</v>
      </c>
      <c r="J703" s="218">
        <v>46196.0</v>
      </c>
      <c r="K703" s="219"/>
      <c r="L703" s="219"/>
      <c r="M703" s="223" t="s">
        <v>183</v>
      </c>
    </row>
    <row r="704">
      <c r="A704" s="230" t="s">
        <v>39</v>
      </c>
      <c r="B704" s="220">
        <v>46196.0</v>
      </c>
      <c r="C704" s="35" t="s">
        <v>51</v>
      </c>
      <c r="D704" s="210" t="s">
        <v>2608</v>
      </c>
      <c r="E704" s="11" t="s">
        <v>2609</v>
      </c>
      <c r="F704" s="221"/>
      <c r="G704" s="338" t="s">
        <v>2610</v>
      </c>
      <c r="H704" s="50" t="s">
        <v>22</v>
      </c>
      <c r="I704" s="217" t="s">
        <v>89</v>
      </c>
      <c r="J704" s="218">
        <v>46196.0</v>
      </c>
      <c r="K704" s="220">
        <v>46200.0</v>
      </c>
      <c r="L704" s="223">
        <v>2.0</v>
      </c>
      <c r="M704" s="223" t="s">
        <v>2611</v>
      </c>
    </row>
    <row r="705">
      <c r="A705" s="230" t="s">
        <v>120</v>
      </c>
      <c r="B705" s="220">
        <v>46196.0</v>
      </c>
      <c r="C705" s="35" t="s">
        <v>51</v>
      </c>
      <c r="D705" s="308" t="s">
        <v>2612</v>
      </c>
      <c r="E705" s="309" t="s">
        <v>2613</v>
      </c>
      <c r="F705" s="221"/>
      <c r="G705" s="338" t="s">
        <v>2614</v>
      </c>
      <c r="H705" s="50" t="s">
        <v>22</v>
      </c>
      <c r="I705" s="217" t="s">
        <v>89</v>
      </c>
      <c r="J705" s="218">
        <v>46197.0</v>
      </c>
      <c r="K705" s="219"/>
      <c r="L705" s="219"/>
      <c r="M705" s="223" t="s">
        <v>2615</v>
      </c>
    </row>
    <row r="706">
      <c r="A706" s="230" t="s">
        <v>120</v>
      </c>
      <c r="B706" s="220">
        <v>46196.0</v>
      </c>
      <c r="C706" s="35" t="s">
        <v>51</v>
      </c>
      <c r="D706" s="210" t="s">
        <v>2616</v>
      </c>
      <c r="E706" s="11" t="s">
        <v>2617</v>
      </c>
      <c r="F706" s="221"/>
      <c r="G706" s="338" t="s">
        <v>2618</v>
      </c>
      <c r="H706" s="50" t="s">
        <v>22</v>
      </c>
      <c r="I706" s="217" t="s">
        <v>89</v>
      </c>
      <c r="J706" s="218">
        <v>46196.0</v>
      </c>
      <c r="K706" s="219"/>
      <c r="L706" s="219"/>
      <c r="M706" s="223" t="s">
        <v>2619</v>
      </c>
    </row>
    <row r="707">
      <c r="A707" s="306" t="s">
        <v>39</v>
      </c>
      <c r="B707" s="307">
        <v>46197.0</v>
      </c>
      <c r="C707" s="35" t="s">
        <v>51</v>
      </c>
      <c r="D707" s="308" t="s">
        <v>2620</v>
      </c>
      <c r="E707" s="309" t="s">
        <v>2621</v>
      </c>
      <c r="F707" s="310"/>
      <c r="G707" s="339" t="s">
        <v>2622</v>
      </c>
      <c r="H707" s="311" t="s">
        <v>22</v>
      </c>
      <c r="I707" s="312" t="s">
        <v>89</v>
      </c>
      <c r="J707" s="313">
        <v>46197.0</v>
      </c>
      <c r="K707" s="307">
        <v>46218.0</v>
      </c>
      <c r="L707" s="301">
        <v>2.0</v>
      </c>
      <c r="M707" s="301" t="s">
        <v>2623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230" t="s">
        <v>76</v>
      </c>
      <c r="B708" s="220">
        <v>46197.0</v>
      </c>
      <c r="C708" s="35" t="s">
        <v>51</v>
      </c>
      <c r="D708" s="210" t="s">
        <v>2624</v>
      </c>
      <c r="E708" s="11" t="s">
        <v>2625</v>
      </c>
      <c r="F708" s="221"/>
      <c r="G708" s="338" t="s">
        <v>2626</v>
      </c>
      <c r="H708" s="50" t="s">
        <v>22</v>
      </c>
      <c r="I708" s="217" t="s">
        <v>89</v>
      </c>
      <c r="J708" s="218">
        <v>46197.0</v>
      </c>
      <c r="K708" s="219"/>
      <c r="L708" s="219"/>
      <c r="M708" s="223" t="s">
        <v>2627</v>
      </c>
    </row>
    <row r="709">
      <c r="A709" s="230" t="s">
        <v>76</v>
      </c>
      <c r="B709" s="220">
        <v>46197.0</v>
      </c>
      <c r="C709" s="35" t="s">
        <v>51</v>
      </c>
      <c r="D709" s="210" t="s">
        <v>2628</v>
      </c>
      <c r="E709" s="11" t="s">
        <v>2629</v>
      </c>
      <c r="F709" s="221"/>
      <c r="G709" s="338" t="s">
        <v>2630</v>
      </c>
      <c r="H709" s="50" t="s">
        <v>22</v>
      </c>
      <c r="I709" s="217" t="s">
        <v>89</v>
      </c>
      <c r="J709" s="218">
        <v>46197.0</v>
      </c>
      <c r="K709" s="219"/>
      <c r="L709" s="219"/>
      <c r="M709" s="223" t="s">
        <v>2631</v>
      </c>
    </row>
    <row r="710">
      <c r="A710" s="230" t="s">
        <v>811</v>
      </c>
      <c r="B710" s="220">
        <v>46197.0</v>
      </c>
      <c r="C710" s="35" t="s">
        <v>51</v>
      </c>
      <c r="D710" s="210" t="s">
        <v>2632</v>
      </c>
      <c r="E710" s="11" t="s">
        <v>2633</v>
      </c>
      <c r="F710" s="221"/>
      <c r="G710" s="338" t="s">
        <v>2634</v>
      </c>
      <c r="H710" s="50" t="s">
        <v>22</v>
      </c>
      <c r="I710" s="217" t="s">
        <v>89</v>
      </c>
      <c r="J710" s="218">
        <v>46197.0</v>
      </c>
      <c r="K710" s="223" t="s">
        <v>2414</v>
      </c>
      <c r="L710" s="219"/>
      <c r="M710" s="223" t="s">
        <v>2635</v>
      </c>
    </row>
    <row r="711">
      <c r="A711" s="306" t="s">
        <v>811</v>
      </c>
      <c r="B711" s="307">
        <v>46196.0</v>
      </c>
      <c r="C711" s="35" t="s">
        <v>51</v>
      </c>
      <c r="D711" s="308" t="s">
        <v>2636</v>
      </c>
      <c r="E711" s="309" t="s">
        <v>2637</v>
      </c>
      <c r="F711" s="310"/>
      <c r="G711" s="336" t="s">
        <v>2638</v>
      </c>
      <c r="H711" s="311" t="s">
        <v>22</v>
      </c>
      <c r="I711" s="312" t="s">
        <v>89</v>
      </c>
      <c r="J711" s="313">
        <v>46197.0</v>
      </c>
      <c r="K711" s="314"/>
      <c r="L711" s="314"/>
      <c r="M711" s="301" t="s">
        <v>2639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230" t="s">
        <v>811</v>
      </c>
      <c r="B712" s="220">
        <v>46197.0</v>
      </c>
      <c r="C712" s="35" t="s">
        <v>51</v>
      </c>
      <c r="D712" s="210" t="s">
        <v>2640</v>
      </c>
      <c r="E712" s="11" t="s">
        <v>2641</v>
      </c>
      <c r="F712" s="221"/>
      <c r="G712" s="338" t="s">
        <v>2454</v>
      </c>
      <c r="H712" s="50" t="s">
        <v>22</v>
      </c>
      <c r="I712" s="217" t="s">
        <v>89</v>
      </c>
      <c r="J712" s="218">
        <v>46198.0</v>
      </c>
      <c r="K712" s="219"/>
      <c r="L712" s="219"/>
      <c r="M712" s="223" t="s">
        <v>183</v>
      </c>
    </row>
    <row r="713">
      <c r="A713" s="306" t="s">
        <v>120</v>
      </c>
      <c r="B713" s="307">
        <v>46197.0</v>
      </c>
      <c r="C713" s="35" t="s">
        <v>51</v>
      </c>
      <c r="D713" s="308" t="s">
        <v>2642</v>
      </c>
      <c r="E713" s="309" t="s">
        <v>2643</v>
      </c>
      <c r="F713" s="310"/>
      <c r="G713" s="336" t="s">
        <v>2644</v>
      </c>
      <c r="H713" s="311" t="s">
        <v>22</v>
      </c>
      <c r="I713" s="312" t="s">
        <v>89</v>
      </c>
      <c r="J713" s="313">
        <v>46198.0</v>
      </c>
      <c r="K713" s="314"/>
      <c r="L713" s="314"/>
      <c r="M713" s="301" t="s">
        <v>2645</v>
      </c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230" t="s">
        <v>39</v>
      </c>
      <c r="B714" s="220">
        <v>46197.0</v>
      </c>
      <c r="C714" s="35" t="s">
        <v>51</v>
      </c>
      <c r="D714" s="210" t="s">
        <v>2646</v>
      </c>
      <c r="E714" s="11" t="s">
        <v>2647</v>
      </c>
      <c r="F714" s="221"/>
      <c r="G714" s="338" t="s">
        <v>2648</v>
      </c>
      <c r="H714" s="50" t="s">
        <v>22</v>
      </c>
      <c r="I714" s="217" t="s">
        <v>89</v>
      </c>
      <c r="J714" s="218">
        <v>46198.0</v>
      </c>
      <c r="K714" s="219"/>
      <c r="L714" s="219"/>
      <c r="M714" s="223" t="s">
        <v>2649</v>
      </c>
    </row>
    <row r="715">
      <c r="A715" s="230" t="s">
        <v>76</v>
      </c>
      <c r="B715" s="220">
        <v>46197.0</v>
      </c>
      <c r="C715" s="35" t="s">
        <v>51</v>
      </c>
      <c r="D715" s="210" t="s">
        <v>2650</v>
      </c>
      <c r="E715" s="11" t="s">
        <v>2651</v>
      </c>
      <c r="F715" s="221"/>
      <c r="G715" s="338" t="s">
        <v>2652</v>
      </c>
      <c r="H715" s="50" t="s">
        <v>22</v>
      </c>
      <c r="I715" s="217" t="s">
        <v>89</v>
      </c>
      <c r="J715" s="218">
        <v>46198.0</v>
      </c>
      <c r="K715" s="219"/>
      <c r="L715" s="219"/>
      <c r="M715" s="223" t="s">
        <v>2653</v>
      </c>
    </row>
    <row r="716">
      <c r="A716" s="230" t="s">
        <v>811</v>
      </c>
      <c r="B716" s="220">
        <v>46197.0</v>
      </c>
      <c r="C716" s="35" t="s">
        <v>51</v>
      </c>
      <c r="D716" s="210" t="s">
        <v>2471</v>
      </c>
      <c r="E716" s="11" t="s">
        <v>2654</v>
      </c>
      <c r="F716" s="221"/>
      <c r="G716" s="338" t="s">
        <v>2655</v>
      </c>
      <c r="H716" s="50" t="s">
        <v>22</v>
      </c>
      <c r="I716" s="217" t="s">
        <v>89</v>
      </c>
      <c r="J716" s="218">
        <v>46198.0</v>
      </c>
      <c r="K716" s="223" t="s">
        <v>2414</v>
      </c>
      <c r="L716" s="219"/>
      <c r="M716" s="223" t="s">
        <v>2656</v>
      </c>
    </row>
    <row r="717">
      <c r="A717" s="230" t="s">
        <v>39</v>
      </c>
      <c r="B717" s="220">
        <v>46197.0</v>
      </c>
      <c r="C717" s="35" t="s">
        <v>51</v>
      </c>
      <c r="D717" s="210" t="s">
        <v>2657</v>
      </c>
      <c r="E717" s="11" t="s">
        <v>2658</v>
      </c>
      <c r="F717" s="238" t="s">
        <v>527</v>
      </c>
      <c r="G717" s="337" t="s">
        <v>2659</v>
      </c>
      <c r="H717" s="50"/>
      <c r="I717" s="281" t="s">
        <v>89</v>
      </c>
      <c r="J717" s="218">
        <v>46204.0</v>
      </c>
      <c r="K717" s="220">
        <v>46206.0</v>
      </c>
      <c r="L717" s="223">
        <v>3.0</v>
      </c>
      <c r="M717" s="223" t="s">
        <v>2660</v>
      </c>
    </row>
    <row r="718">
      <c r="A718" s="230" t="s">
        <v>39</v>
      </c>
      <c r="B718" s="220">
        <v>46197.0</v>
      </c>
      <c r="C718" s="35" t="s">
        <v>51</v>
      </c>
      <c r="D718" s="210" t="s">
        <v>2661</v>
      </c>
      <c r="E718" s="11" t="s">
        <v>2662</v>
      </c>
      <c r="F718" s="238" t="s">
        <v>89</v>
      </c>
      <c r="G718" s="337" t="s">
        <v>2663</v>
      </c>
      <c r="H718" s="50"/>
      <c r="I718" s="281" t="s">
        <v>89</v>
      </c>
      <c r="J718" s="218">
        <v>46198.0</v>
      </c>
      <c r="K718" s="219"/>
      <c r="L718" s="219"/>
      <c r="M718" s="223" t="s">
        <v>2664</v>
      </c>
    </row>
    <row r="719">
      <c r="A719" s="230" t="s">
        <v>39</v>
      </c>
      <c r="B719" s="220">
        <v>46198.0</v>
      </c>
      <c r="C719" s="35" t="s">
        <v>51</v>
      </c>
      <c r="D719" s="210" t="s">
        <v>2665</v>
      </c>
      <c r="E719" s="11" t="s">
        <v>2666</v>
      </c>
      <c r="F719" s="221"/>
      <c r="G719" s="338" t="s">
        <v>2667</v>
      </c>
      <c r="H719" s="50" t="s">
        <v>22</v>
      </c>
      <c r="I719" s="217" t="s">
        <v>89</v>
      </c>
      <c r="J719" s="218">
        <v>46198.0</v>
      </c>
      <c r="K719" s="223" t="s">
        <v>2414</v>
      </c>
      <c r="L719" s="219"/>
      <c r="M719" s="223" t="s">
        <v>2668</v>
      </c>
    </row>
    <row r="720">
      <c r="A720" s="230" t="s">
        <v>76</v>
      </c>
      <c r="B720" s="220">
        <v>46198.0</v>
      </c>
      <c r="C720" s="35" t="s">
        <v>51</v>
      </c>
      <c r="D720" s="210" t="s">
        <v>2669</v>
      </c>
      <c r="E720" s="11" t="s">
        <v>2670</v>
      </c>
      <c r="F720" s="221"/>
      <c r="G720" s="338" t="s">
        <v>2671</v>
      </c>
      <c r="H720" s="50" t="s">
        <v>22</v>
      </c>
      <c r="I720" s="217" t="s">
        <v>89</v>
      </c>
      <c r="J720" s="218">
        <v>46198.0</v>
      </c>
      <c r="K720" s="219"/>
      <c r="L720" s="219"/>
      <c r="M720" s="223" t="s">
        <v>2672</v>
      </c>
    </row>
    <row r="721">
      <c r="A721" s="230" t="s">
        <v>39</v>
      </c>
      <c r="B721" s="220">
        <v>46198.0</v>
      </c>
      <c r="C721" s="35" t="s">
        <v>51</v>
      </c>
      <c r="D721" s="210" t="s">
        <v>2673</v>
      </c>
      <c r="E721" s="11" t="s">
        <v>2674</v>
      </c>
      <c r="F721" s="238"/>
      <c r="G721" s="337" t="s">
        <v>2675</v>
      </c>
      <c r="H721" s="50"/>
      <c r="I721" s="281" t="s">
        <v>89</v>
      </c>
      <c r="J721" s="218">
        <v>46198.0</v>
      </c>
      <c r="K721" s="220">
        <v>46221.0</v>
      </c>
      <c r="L721" s="223">
        <v>4.0</v>
      </c>
      <c r="M721" s="223" t="s">
        <v>2676</v>
      </c>
    </row>
    <row r="722">
      <c r="A722" s="230" t="s">
        <v>120</v>
      </c>
      <c r="B722" s="220">
        <v>46199.0</v>
      </c>
      <c r="C722" s="35" t="s">
        <v>51</v>
      </c>
      <c r="D722" s="210" t="s">
        <v>2677</v>
      </c>
      <c r="E722" s="11" t="s">
        <v>2678</v>
      </c>
      <c r="F722" s="221"/>
      <c r="G722" s="338" t="s">
        <v>2679</v>
      </c>
      <c r="H722" s="50" t="s">
        <v>22</v>
      </c>
      <c r="I722" s="217" t="s">
        <v>89</v>
      </c>
      <c r="J722" s="218">
        <v>46199.0</v>
      </c>
      <c r="K722" s="219"/>
      <c r="L722" s="219"/>
      <c r="M722" s="288" t="s">
        <v>2680</v>
      </c>
    </row>
    <row r="723">
      <c r="A723" s="230" t="s">
        <v>120</v>
      </c>
      <c r="B723" s="220">
        <v>46199.0</v>
      </c>
      <c r="C723" s="35" t="s">
        <v>51</v>
      </c>
      <c r="D723" s="210" t="s">
        <v>2681</v>
      </c>
      <c r="E723" s="11" t="s">
        <v>2682</v>
      </c>
      <c r="F723" s="221"/>
      <c r="G723" s="338" t="s">
        <v>2683</v>
      </c>
      <c r="H723" s="50" t="s">
        <v>22</v>
      </c>
      <c r="I723" s="217" t="s">
        <v>89</v>
      </c>
      <c r="J723" s="218">
        <v>46199.0</v>
      </c>
      <c r="K723" s="219"/>
      <c r="L723" s="219"/>
      <c r="M723" s="301" t="s">
        <v>2684</v>
      </c>
    </row>
    <row r="724">
      <c r="A724" s="230" t="s">
        <v>120</v>
      </c>
      <c r="B724" s="220">
        <v>46199.0</v>
      </c>
      <c r="C724" s="35" t="s">
        <v>51</v>
      </c>
      <c r="D724" s="210" t="s">
        <v>2685</v>
      </c>
      <c r="E724" s="11" t="s">
        <v>2686</v>
      </c>
      <c r="F724" s="221"/>
      <c r="G724" s="338" t="s">
        <v>2687</v>
      </c>
      <c r="H724" s="50" t="s">
        <v>22</v>
      </c>
      <c r="I724" s="217" t="s">
        <v>89</v>
      </c>
      <c r="J724" s="218">
        <v>46199.0</v>
      </c>
      <c r="K724" s="219"/>
      <c r="L724" s="219"/>
      <c r="M724" s="301" t="s">
        <v>2688</v>
      </c>
    </row>
    <row r="725">
      <c r="A725" s="230" t="s">
        <v>811</v>
      </c>
      <c r="B725" s="220">
        <v>46199.0</v>
      </c>
      <c r="C725" s="35" t="s">
        <v>51</v>
      </c>
      <c r="D725" s="210" t="s">
        <v>2689</v>
      </c>
      <c r="E725" s="11" t="s">
        <v>2690</v>
      </c>
      <c r="F725" s="221" t="s">
        <v>527</v>
      </c>
      <c r="G725" s="338" t="s">
        <v>2691</v>
      </c>
      <c r="H725" s="50" t="s">
        <v>22</v>
      </c>
      <c r="I725" s="217" t="s">
        <v>89</v>
      </c>
      <c r="J725" s="218">
        <v>46199.0</v>
      </c>
      <c r="K725" s="219"/>
      <c r="L725" s="219"/>
      <c r="M725" s="223" t="s">
        <v>183</v>
      </c>
    </row>
    <row r="726">
      <c r="A726" s="230" t="s">
        <v>39</v>
      </c>
      <c r="B726" s="220">
        <v>46199.0</v>
      </c>
      <c r="C726" s="35" t="s">
        <v>51</v>
      </c>
      <c r="D726" s="210" t="s">
        <v>2692</v>
      </c>
      <c r="E726" s="11" t="s">
        <v>2693</v>
      </c>
      <c r="F726" s="221"/>
      <c r="G726" s="338"/>
      <c r="H726" s="50" t="s">
        <v>22</v>
      </c>
      <c r="I726" s="217" t="s">
        <v>89</v>
      </c>
      <c r="J726" s="218">
        <v>46199.0</v>
      </c>
      <c r="K726" s="219"/>
      <c r="L726" s="219"/>
      <c r="M726" s="223" t="s">
        <v>2694</v>
      </c>
    </row>
    <row r="727">
      <c r="A727" s="230" t="s">
        <v>811</v>
      </c>
      <c r="B727" s="220">
        <v>46198.0</v>
      </c>
      <c r="C727" s="35" t="s">
        <v>51</v>
      </c>
      <c r="D727" s="210" t="s">
        <v>2695</v>
      </c>
      <c r="E727" s="11" t="s">
        <v>2696</v>
      </c>
      <c r="F727" s="221"/>
      <c r="G727" s="338" t="s">
        <v>2697</v>
      </c>
      <c r="H727" s="50" t="s">
        <v>22</v>
      </c>
      <c r="I727" s="217" t="s">
        <v>89</v>
      </c>
      <c r="J727" s="218">
        <v>46203.0</v>
      </c>
      <c r="K727" s="219"/>
      <c r="L727" s="219"/>
      <c r="M727" s="223" t="s">
        <v>2698</v>
      </c>
    </row>
    <row r="728">
      <c r="A728" s="230" t="s">
        <v>120</v>
      </c>
      <c r="B728" s="220">
        <v>46198.0</v>
      </c>
      <c r="C728" s="35" t="s">
        <v>51</v>
      </c>
      <c r="D728" s="210" t="s">
        <v>2699</v>
      </c>
      <c r="E728" s="11" t="s">
        <v>2700</v>
      </c>
      <c r="F728" s="221"/>
      <c r="G728" s="338" t="s">
        <v>2701</v>
      </c>
      <c r="H728" s="50" t="s">
        <v>22</v>
      </c>
      <c r="I728" s="217" t="s">
        <v>89</v>
      </c>
      <c r="J728" s="218">
        <v>46200.0</v>
      </c>
      <c r="K728" s="219"/>
      <c r="L728" s="219"/>
      <c r="M728" s="301" t="s">
        <v>2702</v>
      </c>
    </row>
    <row r="729">
      <c r="A729" s="230" t="s">
        <v>811</v>
      </c>
      <c r="B729" s="220">
        <v>46198.0</v>
      </c>
      <c r="C729" s="35" t="s">
        <v>51</v>
      </c>
      <c r="D729" s="210" t="s">
        <v>2646</v>
      </c>
      <c r="E729" s="11" t="s">
        <v>2647</v>
      </c>
      <c r="F729" s="221"/>
      <c r="G729" s="338" t="s">
        <v>2648</v>
      </c>
      <c r="H729" s="50" t="s">
        <v>22</v>
      </c>
      <c r="I729" s="217" t="s">
        <v>89</v>
      </c>
      <c r="J729" s="218">
        <v>46200.0</v>
      </c>
      <c r="K729" s="219"/>
      <c r="L729" s="219"/>
      <c r="M729" s="223" t="s">
        <v>183</v>
      </c>
    </row>
    <row r="730">
      <c r="A730" s="230" t="s">
        <v>39</v>
      </c>
      <c r="B730" s="220">
        <v>46199.0</v>
      </c>
      <c r="C730" s="35" t="s">
        <v>51</v>
      </c>
      <c r="D730" s="210" t="s">
        <v>2703</v>
      </c>
      <c r="E730" s="11" t="s">
        <v>2704</v>
      </c>
      <c r="F730" s="221"/>
      <c r="G730" s="338" t="s">
        <v>2705</v>
      </c>
      <c r="H730" s="50" t="s">
        <v>22</v>
      </c>
      <c r="I730" s="217" t="s">
        <v>89</v>
      </c>
      <c r="J730" s="218">
        <v>46200.0</v>
      </c>
      <c r="K730" s="220">
        <v>46207.0</v>
      </c>
      <c r="L730" s="223">
        <v>1.0</v>
      </c>
      <c r="M730" s="192" t="s">
        <v>2706</v>
      </c>
    </row>
    <row r="731">
      <c r="A731" s="230" t="s">
        <v>811</v>
      </c>
      <c r="B731" s="220">
        <v>46200.0</v>
      </c>
      <c r="C731" s="35" t="s">
        <v>51</v>
      </c>
      <c r="D731" s="210" t="s">
        <v>2707</v>
      </c>
      <c r="E731" s="11" t="s">
        <v>2708</v>
      </c>
      <c r="F731" s="221"/>
      <c r="G731" s="338" t="s">
        <v>2709</v>
      </c>
      <c r="H731" s="50" t="s">
        <v>22</v>
      </c>
      <c r="I731" s="217" t="s">
        <v>89</v>
      </c>
      <c r="J731" s="218">
        <v>46200.0</v>
      </c>
      <c r="K731" s="219"/>
      <c r="L731" s="219"/>
      <c r="M731" s="223" t="s">
        <v>183</v>
      </c>
    </row>
    <row r="732">
      <c r="A732" s="230" t="s">
        <v>811</v>
      </c>
      <c r="B732" s="220">
        <v>46200.0</v>
      </c>
      <c r="C732" s="35" t="s">
        <v>51</v>
      </c>
      <c r="D732" s="210" t="s">
        <v>2710</v>
      </c>
      <c r="E732" s="11" t="s">
        <v>2711</v>
      </c>
      <c r="F732" s="221"/>
      <c r="G732" s="338" t="s">
        <v>2712</v>
      </c>
      <c r="H732" s="50" t="s">
        <v>22</v>
      </c>
      <c r="I732" s="217" t="s">
        <v>89</v>
      </c>
      <c r="J732" s="218">
        <v>46203.0</v>
      </c>
      <c r="K732" s="219"/>
      <c r="L732" s="219"/>
      <c r="M732" s="223" t="s">
        <v>173</v>
      </c>
    </row>
    <row r="733">
      <c r="A733" s="230" t="s">
        <v>811</v>
      </c>
      <c r="B733" s="220">
        <v>46200.0</v>
      </c>
      <c r="C733" s="35" t="s">
        <v>51</v>
      </c>
      <c r="D733" s="210" t="s">
        <v>2713</v>
      </c>
      <c r="E733" s="11" t="s">
        <v>2714</v>
      </c>
      <c r="F733" s="221"/>
      <c r="G733" s="338" t="s">
        <v>2715</v>
      </c>
      <c r="H733" s="50" t="s">
        <v>22</v>
      </c>
      <c r="I733" s="217" t="s">
        <v>89</v>
      </c>
      <c r="J733" s="218">
        <v>46200.0</v>
      </c>
      <c r="K733" s="219"/>
      <c r="L733" s="219"/>
      <c r="M733" s="223" t="s">
        <v>183</v>
      </c>
    </row>
    <row r="734">
      <c r="A734" s="282" t="s">
        <v>76</v>
      </c>
      <c r="B734" s="289">
        <v>46203.0</v>
      </c>
      <c r="C734" s="35" t="s">
        <v>51</v>
      </c>
      <c r="D734" s="305" t="s">
        <v>2716</v>
      </c>
      <c r="E734" s="290" t="s">
        <v>2717</v>
      </c>
      <c r="F734" s="291" t="s">
        <v>527</v>
      </c>
      <c r="G734" s="340" t="s">
        <v>2718</v>
      </c>
      <c r="H734" s="293" t="s">
        <v>22</v>
      </c>
      <c r="I734" s="294" t="s">
        <v>527</v>
      </c>
      <c r="J734" s="295">
        <v>46203.0</v>
      </c>
      <c r="K734" s="289">
        <v>46218.0</v>
      </c>
      <c r="L734" s="288">
        <v>2.0</v>
      </c>
      <c r="M734" s="341" t="s">
        <v>2719</v>
      </c>
      <c r="N734" s="287"/>
      <c r="O734" s="287"/>
      <c r="P734" s="287"/>
      <c r="Q734" s="287"/>
      <c r="R734" s="287"/>
      <c r="S734" s="287"/>
      <c r="T734" s="287"/>
      <c r="U734" s="287"/>
      <c r="V734" s="287"/>
      <c r="W734" s="287"/>
      <c r="X734" s="287"/>
      <c r="Y734" s="287"/>
      <c r="Z734" s="287"/>
      <c r="AA734" s="287"/>
    </row>
    <row r="735">
      <c r="A735" s="230" t="s">
        <v>39</v>
      </c>
      <c r="B735" s="220">
        <v>46203.0</v>
      </c>
      <c r="C735" s="35" t="s">
        <v>51</v>
      </c>
      <c r="D735" s="210" t="s">
        <v>2720</v>
      </c>
      <c r="E735" s="11" t="s">
        <v>2721</v>
      </c>
      <c r="F735" s="221" t="s">
        <v>527</v>
      </c>
      <c r="G735" s="338" t="s">
        <v>2722</v>
      </c>
      <c r="H735" s="50" t="s">
        <v>22</v>
      </c>
      <c r="I735" s="217" t="s">
        <v>527</v>
      </c>
      <c r="J735" s="218">
        <v>46203.0</v>
      </c>
      <c r="K735" s="220">
        <v>46218.0</v>
      </c>
      <c r="L735" s="223">
        <v>2.0</v>
      </c>
      <c r="M735" s="223" t="s">
        <v>2723</v>
      </c>
    </row>
    <row r="736">
      <c r="A736" s="230" t="s">
        <v>39</v>
      </c>
      <c r="B736" s="220">
        <v>46203.0</v>
      </c>
      <c r="C736" s="35" t="s">
        <v>51</v>
      </c>
      <c r="D736" s="210" t="s">
        <v>2724</v>
      </c>
      <c r="E736" s="11" t="s">
        <v>2725</v>
      </c>
      <c r="F736" s="221" t="s">
        <v>89</v>
      </c>
      <c r="G736" s="338" t="s">
        <v>2726</v>
      </c>
      <c r="H736" s="50"/>
      <c r="I736" s="217" t="s">
        <v>89</v>
      </c>
      <c r="J736" s="218">
        <v>46203.0</v>
      </c>
      <c r="K736" s="219"/>
      <c r="L736" s="219"/>
      <c r="M736" s="223" t="s">
        <v>2727</v>
      </c>
    </row>
    <row r="737">
      <c r="A737" s="230" t="s">
        <v>39</v>
      </c>
      <c r="B737" s="220">
        <v>46203.0</v>
      </c>
      <c r="C737" s="35" t="s">
        <v>51</v>
      </c>
      <c r="D737" s="210" t="s">
        <v>2728</v>
      </c>
      <c r="E737" s="11" t="s">
        <v>2729</v>
      </c>
      <c r="F737" s="221"/>
      <c r="G737" s="338" t="s">
        <v>2730</v>
      </c>
      <c r="H737" s="50" t="s">
        <v>22</v>
      </c>
      <c r="I737" s="217" t="s">
        <v>89</v>
      </c>
      <c r="J737" s="218">
        <v>46203.0</v>
      </c>
      <c r="K737" s="223" t="s">
        <v>2414</v>
      </c>
      <c r="L737" s="223" t="s">
        <v>2414</v>
      </c>
      <c r="M737" s="223" t="s">
        <v>2731</v>
      </c>
    </row>
    <row r="738">
      <c r="A738" s="306" t="s">
        <v>120</v>
      </c>
      <c r="B738" s="307">
        <v>46203.0</v>
      </c>
      <c r="C738" s="35" t="s">
        <v>51</v>
      </c>
      <c r="D738" s="308" t="s">
        <v>2732</v>
      </c>
      <c r="E738" s="309" t="s">
        <v>2733</v>
      </c>
      <c r="F738" s="310"/>
      <c r="G738" s="336" t="s">
        <v>2734</v>
      </c>
      <c r="H738" s="311" t="s">
        <v>22</v>
      </c>
      <c r="I738" s="312" t="s">
        <v>89</v>
      </c>
      <c r="J738" s="313">
        <v>46203.0</v>
      </c>
      <c r="K738" s="314"/>
      <c r="L738" s="314"/>
      <c r="M738" s="301" t="s">
        <v>2735</v>
      </c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230" t="s">
        <v>811</v>
      </c>
      <c r="B739" s="220">
        <v>46203.0</v>
      </c>
      <c r="C739" s="35" t="s">
        <v>51</v>
      </c>
      <c r="D739" s="210" t="s">
        <v>2736</v>
      </c>
      <c r="E739" s="11" t="s">
        <v>2737</v>
      </c>
      <c r="F739" s="221"/>
      <c r="G739" s="338" t="s">
        <v>2738</v>
      </c>
      <c r="H739" s="50" t="s">
        <v>22</v>
      </c>
      <c r="I739" s="217" t="s">
        <v>89</v>
      </c>
      <c r="J739" s="218">
        <v>46203.0</v>
      </c>
      <c r="K739" s="219"/>
      <c r="L739" s="219"/>
      <c r="M739" s="223" t="s">
        <v>173</v>
      </c>
    </row>
    <row r="740">
      <c r="A740" s="230" t="s">
        <v>76</v>
      </c>
      <c r="B740" s="220">
        <v>46203.0</v>
      </c>
      <c r="C740" s="35" t="s">
        <v>51</v>
      </c>
      <c r="D740" s="210" t="s">
        <v>2739</v>
      </c>
      <c r="E740" s="11" t="s">
        <v>2740</v>
      </c>
      <c r="F740" s="238"/>
      <c r="G740" s="337" t="s">
        <v>2741</v>
      </c>
      <c r="H740" s="50" t="s">
        <v>22</v>
      </c>
      <c r="I740" s="281" t="s">
        <v>89</v>
      </c>
      <c r="J740" s="218">
        <v>46203.0</v>
      </c>
      <c r="K740" s="219"/>
      <c r="L740" s="219"/>
      <c r="M740" s="223" t="s">
        <v>2742</v>
      </c>
    </row>
    <row r="741">
      <c r="A741" s="230" t="s">
        <v>39</v>
      </c>
      <c r="B741" s="220">
        <v>46204.0</v>
      </c>
      <c r="C741" s="35" t="s">
        <v>51</v>
      </c>
      <c r="D741" s="210" t="s">
        <v>2743</v>
      </c>
      <c r="E741" s="11" t="s">
        <v>2744</v>
      </c>
      <c r="F741" s="221"/>
      <c r="G741" s="338" t="s">
        <v>2745</v>
      </c>
      <c r="H741" s="50"/>
      <c r="I741" s="217" t="s">
        <v>89</v>
      </c>
      <c r="J741" s="218">
        <v>46204.0</v>
      </c>
      <c r="K741" s="220">
        <v>46214.0</v>
      </c>
      <c r="L741" s="223">
        <v>4.0</v>
      </c>
      <c r="M741" s="223" t="s">
        <v>2746</v>
      </c>
    </row>
    <row r="742">
      <c r="A742" s="230" t="s">
        <v>39</v>
      </c>
      <c r="B742" s="220">
        <v>46205.0</v>
      </c>
      <c r="C742" s="35" t="s">
        <v>51</v>
      </c>
      <c r="D742" s="210" t="s">
        <v>2747</v>
      </c>
      <c r="E742" s="11" t="s">
        <v>2748</v>
      </c>
      <c r="F742" s="221"/>
      <c r="G742" s="338" t="s">
        <v>2749</v>
      </c>
      <c r="H742" s="50"/>
      <c r="I742" s="217" t="s">
        <v>89</v>
      </c>
      <c r="J742" s="218">
        <v>46205.0</v>
      </c>
      <c r="K742" s="220">
        <v>46241.0</v>
      </c>
      <c r="L742" s="223">
        <v>4.0</v>
      </c>
      <c r="M742" s="223" t="s">
        <v>2750</v>
      </c>
    </row>
    <row r="743">
      <c r="A743" s="306" t="s">
        <v>120</v>
      </c>
      <c r="B743" s="307">
        <v>46206.0</v>
      </c>
      <c r="C743" s="35" t="s">
        <v>51</v>
      </c>
      <c r="D743" s="308" t="s">
        <v>2751</v>
      </c>
      <c r="E743" s="309" t="s">
        <v>2752</v>
      </c>
      <c r="F743" s="310" t="s">
        <v>527</v>
      </c>
      <c r="G743" s="336" t="s">
        <v>2753</v>
      </c>
      <c r="H743" s="311" t="s">
        <v>22</v>
      </c>
      <c r="I743" s="312" t="s">
        <v>89</v>
      </c>
      <c r="J743" s="313">
        <v>46211.0</v>
      </c>
      <c r="K743" s="314"/>
      <c r="L743" s="314"/>
      <c r="M743" s="300" t="s">
        <v>2754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230" t="s">
        <v>39</v>
      </c>
      <c r="B744" s="220">
        <v>46207.0</v>
      </c>
      <c r="C744" s="35" t="s">
        <v>51</v>
      </c>
      <c r="D744" s="210" t="s">
        <v>2755</v>
      </c>
      <c r="E744" s="11" t="s">
        <v>2756</v>
      </c>
      <c r="F744" s="221"/>
      <c r="G744" s="338" t="s">
        <v>2757</v>
      </c>
      <c r="H744" s="50"/>
      <c r="I744" s="217" t="s">
        <v>89</v>
      </c>
      <c r="J744" s="218">
        <v>46207.0</v>
      </c>
      <c r="K744" s="220">
        <v>46207.0</v>
      </c>
      <c r="L744" s="223">
        <v>1.0</v>
      </c>
      <c r="M744" s="223" t="s">
        <v>2758</v>
      </c>
    </row>
    <row r="745">
      <c r="A745" s="230" t="s">
        <v>811</v>
      </c>
      <c r="B745" s="220">
        <v>46207.0</v>
      </c>
      <c r="C745" s="35" t="s">
        <v>51</v>
      </c>
      <c r="D745" s="210" t="s">
        <v>2759</v>
      </c>
      <c r="E745" s="11" t="s">
        <v>2760</v>
      </c>
      <c r="F745" s="221"/>
      <c r="G745" s="338" t="s">
        <v>2761</v>
      </c>
      <c r="H745" s="50" t="s">
        <v>22</v>
      </c>
      <c r="I745" s="217" t="s">
        <v>89</v>
      </c>
      <c r="J745" s="218">
        <v>46205.0</v>
      </c>
      <c r="K745" s="219"/>
      <c r="L745" s="219"/>
      <c r="M745" s="223" t="s">
        <v>183</v>
      </c>
    </row>
    <row r="746">
      <c r="A746" s="230" t="s">
        <v>76</v>
      </c>
      <c r="B746" s="220">
        <v>46207.0</v>
      </c>
      <c r="C746" s="35" t="s">
        <v>51</v>
      </c>
      <c r="D746" s="210" t="s">
        <v>2762</v>
      </c>
      <c r="E746" s="11" t="s">
        <v>2763</v>
      </c>
      <c r="F746" s="221"/>
      <c r="G746" s="338" t="s">
        <v>2764</v>
      </c>
      <c r="H746" s="50" t="s">
        <v>22</v>
      </c>
      <c r="I746" s="217" t="s">
        <v>89</v>
      </c>
      <c r="J746" s="218">
        <v>46207.0</v>
      </c>
      <c r="K746" s="219"/>
      <c r="L746" s="219"/>
      <c r="M746" s="223" t="s">
        <v>2765</v>
      </c>
    </row>
    <row r="747">
      <c r="A747" s="230" t="s">
        <v>120</v>
      </c>
      <c r="B747" s="220">
        <v>46207.0</v>
      </c>
      <c r="C747" s="35" t="s">
        <v>51</v>
      </c>
      <c r="D747" s="210" t="s">
        <v>2766</v>
      </c>
      <c r="E747" s="11" t="s">
        <v>2767</v>
      </c>
      <c r="F747" s="238"/>
      <c r="G747" s="337" t="s">
        <v>2768</v>
      </c>
      <c r="H747" s="50" t="s">
        <v>22</v>
      </c>
      <c r="I747" s="281" t="s">
        <v>89</v>
      </c>
      <c r="J747" s="218">
        <v>46207.0</v>
      </c>
      <c r="K747" s="223" t="s">
        <v>2414</v>
      </c>
      <c r="L747" s="219"/>
      <c r="M747" s="223" t="s">
        <v>2769</v>
      </c>
    </row>
    <row r="748">
      <c r="A748" s="306" t="s">
        <v>120</v>
      </c>
      <c r="B748" s="307">
        <v>46207.0</v>
      </c>
      <c r="C748" s="35" t="s">
        <v>51</v>
      </c>
      <c r="D748" s="308" t="s">
        <v>2278</v>
      </c>
      <c r="E748" s="309" t="s">
        <v>2770</v>
      </c>
      <c r="F748" s="310"/>
      <c r="G748" s="336" t="s">
        <v>2771</v>
      </c>
      <c r="H748" s="311" t="s">
        <v>22</v>
      </c>
      <c r="I748" s="312" t="s">
        <v>89</v>
      </c>
      <c r="J748" s="313">
        <v>46207.0</v>
      </c>
      <c r="K748" s="314"/>
      <c r="L748" s="314"/>
      <c r="M748" s="301" t="s">
        <v>2772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230" t="s">
        <v>39</v>
      </c>
      <c r="B749" s="220">
        <v>46207.0</v>
      </c>
      <c r="C749" s="35" t="s">
        <v>51</v>
      </c>
      <c r="D749" s="210" t="s">
        <v>2773</v>
      </c>
      <c r="E749" s="11" t="s">
        <v>2774</v>
      </c>
      <c r="F749" s="221" t="s">
        <v>527</v>
      </c>
      <c r="G749" s="338" t="s">
        <v>2775</v>
      </c>
      <c r="H749" s="50" t="s">
        <v>22</v>
      </c>
      <c r="I749" s="217" t="s">
        <v>89</v>
      </c>
      <c r="J749" s="218">
        <v>46239.0</v>
      </c>
      <c r="K749" s="220">
        <v>46263.0</v>
      </c>
      <c r="L749" s="223">
        <v>5.0</v>
      </c>
      <c r="M749" s="223" t="s">
        <v>2776</v>
      </c>
    </row>
    <row r="750">
      <c r="A750" s="306" t="s">
        <v>120</v>
      </c>
      <c r="B750" s="307">
        <v>46207.0</v>
      </c>
      <c r="C750" s="35" t="s">
        <v>51</v>
      </c>
      <c r="D750" s="308" t="s">
        <v>2777</v>
      </c>
      <c r="E750" s="309" t="s">
        <v>2778</v>
      </c>
      <c r="F750" s="310"/>
      <c r="G750" s="336" t="s">
        <v>2779</v>
      </c>
      <c r="H750" s="311" t="s">
        <v>22</v>
      </c>
      <c r="I750" s="312" t="s">
        <v>89</v>
      </c>
      <c r="J750" s="313">
        <v>46211.0</v>
      </c>
      <c r="K750" s="314"/>
      <c r="L750" s="314"/>
      <c r="M750" s="301" t="s">
        <v>2780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306" t="s">
        <v>120</v>
      </c>
      <c r="B751" s="307">
        <v>46207.0</v>
      </c>
      <c r="C751" s="35" t="s">
        <v>51</v>
      </c>
      <c r="D751" s="308" t="s">
        <v>2781</v>
      </c>
      <c r="E751" s="309" t="s">
        <v>2782</v>
      </c>
      <c r="F751" s="310"/>
      <c r="G751" s="336" t="s">
        <v>2783</v>
      </c>
      <c r="H751" s="311" t="s">
        <v>22</v>
      </c>
      <c r="I751" s="312" t="s">
        <v>89</v>
      </c>
      <c r="J751" s="313">
        <v>46211.0</v>
      </c>
      <c r="K751" s="314"/>
      <c r="L751" s="314"/>
      <c r="M751" s="301" t="s">
        <v>2784</v>
      </c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230" t="s">
        <v>39</v>
      </c>
      <c r="B752" s="220">
        <v>46210.0</v>
      </c>
      <c r="C752" s="35" t="s">
        <v>51</v>
      </c>
      <c r="D752" s="210" t="s">
        <v>2785</v>
      </c>
      <c r="E752" s="11" t="s">
        <v>2786</v>
      </c>
      <c r="F752" s="221" t="s">
        <v>527</v>
      </c>
      <c r="G752" s="338" t="s">
        <v>2787</v>
      </c>
      <c r="H752" s="50" t="s">
        <v>22</v>
      </c>
      <c r="I752" s="217" t="s">
        <v>89</v>
      </c>
      <c r="J752" s="218">
        <v>46210.0</v>
      </c>
      <c r="K752" s="220">
        <v>46218.0</v>
      </c>
      <c r="L752" s="223">
        <v>3.0</v>
      </c>
      <c r="M752" s="223" t="s">
        <v>2788</v>
      </c>
    </row>
    <row r="753">
      <c r="A753" s="230" t="s">
        <v>39</v>
      </c>
      <c r="B753" s="220">
        <v>46210.0</v>
      </c>
      <c r="C753" s="35" t="s">
        <v>51</v>
      </c>
      <c r="D753" s="210" t="s">
        <v>2789</v>
      </c>
      <c r="E753" s="11" t="s">
        <v>2790</v>
      </c>
      <c r="F753" s="221" t="s">
        <v>527</v>
      </c>
      <c r="G753" s="338" t="s">
        <v>2791</v>
      </c>
      <c r="H753" s="50" t="s">
        <v>22</v>
      </c>
      <c r="I753" s="217" t="s">
        <v>89</v>
      </c>
      <c r="J753" s="218">
        <v>46210.0</v>
      </c>
      <c r="K753" s="220">
        <v>46235.0</v>
      </c>
      <c r="L753" s="223">
        <v>4.0</v>
      </c>
      <c r="M753" s="223" t="s">
        <v>2792</v>
      </c>
    </row>
    <row r="754">
      <c r="A754" s="230" t="s">
        <v>39</v>
      </c>
      <c r="B754" s="220">
        <v>46210.0</v>
      </c>
      <c r="C754" s="35" t="s">
        <v>51</v>
      </c>
      <c r="D754" s="210" t="s">
        <v>2793</v>
      </c>
      <c r="E754" s="11" t="s">
        <v>2794</v>
      </c>
      <c r="F754" s="221"/>
      <c r="G754" s="337" t="s">
        <v>2795</v>
      </c>
      <c r="H754" s="50"/>
      <c r="I754" s="217" t="s">
        <v>89</v>
      </c>
      <c r="J754" s="218">
        <v>46210.0</v>
      </c>
      <c r="K754" s="220">
        <v>46241.0</v>
      </c>
      <c r="L754" s="223">
        <v>2.0</v>
      </c>
      <c r="M754" s="223" t="s">
        <v>2796</v>
      </c>
    </row>
    <row r="755">
      <c r="A755" s="230" t="s">
        <v>39</v>
      </c>
      <c r="B755" s="220">
        <v>46210.0</v>
      </c>
      <c r="C755" s="35" t="s">
        <v>51</v>
      </c>
      <c r="D755" s="210" t="s">
        <v>2797</v>
      </c>
      <c r="E755" s="11" t="s">
        <v>2798</v>
      </c>
      <c r="F755" s="238"/>
      <c r="G755" s="337" t="s">
        <v>393</v>
      </c>
      <c r="H755" s="50"/>
      <c r="I755" s="281" t="s">
        <v>89</v>
      </c>
      <c r="J755" s="218">
        <v>46210.0</v>
      </c>
      <c r="K755" s="219"/>
      <c r="L755" s="219"/>
      <c r="M755" s="223" t="s">
        <v>2799</v>
      </c>
    </row>
    <row r="756">
      <c r="A756" s="230" t="s">
        <v>39</v>
      </c>
      <c r="B756" s="220">
        <v>46210.0</v>
      </c>
      <c r="C756" s="35" t="s">
        <v>51</v>
      </c>
      <c r="D756" s="210" t="s">
        <v>2800</v>
      </c>
      <c r="E756" s="11" t="s">
        <v>2801</v>
      </c>
      <c r="F756" s="238"/>
      <c r="G756" s="337" t="s">
        <v>2802</v>
      </c>
      <c r="H756" s="50" t="s">
        <v>22</v>
      </c>
      <c r="I756" s="281" t="s">
        <v>89</v>
      </c>
      <c r="J756" s="218">
        <v>46211.0</v>
      </c>
      <c r="K756" s="220">
        <v>46221.0</v>
      </c>
      <c r="L756" s="223">
        <v>2.0</v>
      </c>
      <c r="M756" s="342" t="s">
        <v>2803</v>
      </c>
    </row>
    <row r="757">
      <c r="A757" s="230" t="s">
        <v>811</v>
      </c>
      <c r="B757" s="220">
        <v>46210.0</v>
      </c>
      <c r="C757" s="35" t="s">
        <v>51</v>
      </c>
      <c r="D757" s="210" t="s">
        <v>2804</v>
      </c>
      <c r="E757" s="11" t="s">
        <v>2805</v>
      </c>
      <c r="F757" s="221"/>
      <c r="G757" s="338" t="s">
        <v>2806</v>
      </c>
      <c r="H757" s="50" t="s">
        <v>22</v>
      </c>
      <c r="I757" s="217" t="s">
        <v>89</v>
      </c>
      <c r="J757" s="218">
        <v>46211.0</v>
      </c>
      <c r="K757" s="219"/>
      <c r="L757" s="219"/>
      <c r="M757" s="223" t="s">
        <v>183</v>
      </c>
    </row>
    <row r="758">
      <c r="A758" s="230" t="s">
        <v>811</v>
      </c>
      <c r="B758" s="220">
        <v>46210.0</v>
      </c>
      <c r="C758" s="35" t="s">
        <v>51</v>
      </c>
      <c r="D758" s="210" t="s">
        <v>2807</v>
      </c>
      <c r="E758" s="11" t="s">
        <v>2808</v>
      </c>
      <c r="F758" s="221"/>
      <c r="G758" s="338" t="s">
        <v>2809</v>
      </c>
      <c r="H758" s="50" t="s">
        <v>22</v>
      </c>
      <c r="I758" s="217" t="s">
        <v>89</v>
      </c>
      <c r="J758" s="218">
        <v>46211.0</v>
      </c>
      <c r="K758" s="219"/>
      <c r="L758" s="219"/>
      <c r="M758" s="223" t="s">
        <v>183</v>
      </c>
    </row>
    <row r="759">
      <c r="A759" s="230" t="s">
        <v>811</v>
      </c>
      <c r="B759" s="220">
        <v>46210.0</v>
      </c>
      <c r="C759" s="35" t="s">
        <v>51</v>
      </c>
      <c r="D759" s="210" t="s">
        <v>2810</v>
      </c>
      <c r="E759" s="11" t="s">
        <v>2811</v>
      </c>
      <c r="F759" s="221"/>
      <c r="G759" s="338" t="s">
        <v>2764</v>
      </c>
      <c r="H759" s="50" t="s">
        <v>22</v>
      </c>
      <c r="I759" s="217" t="s">
        <v>89</v>
      </c>
      <c r="J759" s="218">
        <v>46212.0</v>
      </c>
      <c r="K759" s="219"/>
      <c r="L759" s="219"/>
      <c r="M759" s="223" t="s">
        <v>183</v>
      </c>
    </row>
    <row r="760">
      <c r="A760" s="230" t="s">
        <v>39</v>
      </c>
      <c r="B760" s="220">
        <v>46210.0</v>
      </c>
      <c r="C760" s="35" t="s">
        <v>51</v>
      </c>
      <c r="D760" s="210" t="s">
        <v>2812</v>
      </c>
      <c r="E760" s="11" t="s">
        <v>2813</v>
      </c>
      <c r="F760" s="221"/>
      <c r="G760" s="338" t="s">
        <v>2814</v>
      </c>
      <c r="H760" s="50" t="s">
        <v>22</v>
      </c>
      <c r="I760" s="217" t="s">
        <v>89</v>
      </c>
      <c r="J760" s="218">
        <v>46212.0</v>
      </c>
      <c r="K760" s="219"/>
      <c r="L760" s="219"/>
      <c r="M760" s="223" t="s">
        <v>2815</v>
      </c>
    </row>
    <row r="761">
      <c r="A761" s="230" t="s">
        <v>811</v>
      </c>
      <c r="B761" s="220">
        <v>46210.0</v>
      </c>
      <c r="C761" s="35" t="s">
        <v>51</v>
      </c>
      <c r="D761" s="210" t="s">
        <v>2816</v>
      </c>
      <c r="E761" s="11" t="s">
        <v>2817</v>
      </c>
      <c r="F761" s="221"/>
      <c r="G761" s="338" t="s">
        <v>2818</v>
      </c>
      <c r="H761" s="50" t="s">
        <v>22</v>
      </c>
      <c r="I761" s="217" t="s">
        <v>89</v>
      </c>
      <c r="J761" s="218">
        <v>46212.0</v>
      </c>
      <c r="K761" s="219"/>
      <c r="L761" s="219"/>
      <c r="M761" s="223" t="s">
        <v>183</v>
      </c>
    </row>
    <row r="762">
      <c r="A762" s="230" t="s">
        <v>39</v>
      </c>
      <c r="B762" s="220">
        <v>46210.0</v>
      </c>
      <c r="C762" s="35" t="s">
        <v>51</v>
      </c>
      <c r="D762" s="21" t="s">
        <v>2819</v>
      </c>
      <c r="E762" s="11" t="s">
        <v>2820</v>
      </c>
      <c r="F762" s="238"/>
      <c r="G762" s="337" t="s">
        <v>2821</v>
      </c>
      <c r="H762" s="50" t="s">
        <v>22</v>
      </c>
      <c r="I762" s="281" t="s">
        <v>89</v>
      </c>
      <c r="J762" s="218">
        <v>46212.0</v>
      </c>
      <c r="K762" s="220">
        <v>46221.0</v>
      </c>
      <c r="L762" s="223">
        <v>1.0</v>
      </c>
      <c r="M762" s="223" t="s">
        <v>2822</v>
      </c>
    </row>
    <row r="763">
      <c r="A763" s="282" t="s">
        <v>120</v>
      </c>
      <c r="B763" s="289">
        <v>46210.0</v>
      </c>
      <c r="C763" s="35" t="s">
        <v>51</v>
      </c>
      <c r="D763" s="305" t="s">
        <v>2823</v>
      </c>
      <c r="E763" s="290" t="s">
        <v>2824</v>
      </c>
      <c r="F763" s="291"/>
      <c r="G763" s="340" t="s">
        <v>2825</v>
      </c>
      <c r="H763" s="293" t="s">
        <v>22</v>
      </c>
      <c r="I763" s="294" t="s">
        <v>89</v>
      </c>
      <c r="J763" s="295">
        <v>46212.0</v>
      </c>
      <c r="K763" s="296"/>
      <c r="L763" s="296"/>
      <c r="M763" s="288" t="s">
        <v>2826</v>
      </c>
      <c r="N763" s="287"/>
      <c r="O763" s="287"/>
      <c r="P763" s="287"/>
      <c r="Q763" s="287"/>
      <c r="R763" s="287"/>
      <c r="S763" s="287"/>
      <c r="T763" s="287"/>
      <c r="U763" s="287"/>
      <c r="V763" s="287"/>
      <c r="W763" s="287"/>
      <c r="X763" s="287"/>
      <c r="Y763" s="287"/>
      <c r="Z763" s="287"/>
      <c r="AA763" s="287"/>
    </row>
    <row r="764">
      <c r="A764" s="230" t="s">
        <v>39</v>
      </c>
      <c r="B764" s="220">
        <v>46210.0</v>
      </c>
      <c r="C764" s="35" t="s">
        <v>51</v>
      </c>
      <c r="D764" s="210" t="s">
        <v>2827</v>
      </c>
      <c r="E764" s="11" t="s">
        <v>2828</v>
      </c>
      <c r="F764" s="221"/>
      <c r="G764" s="338" t="s">
        <v>2829</v>
      </c>
      <c r="H764" s="50" t="s">
        <v>22</v>
      </c>
      <c r="I764" s="217" t="s">
        <v>89</v>
      </c>
      <c r="J764" s="218">
        <v>46213.0</v>
      </c>
      <c r="K764" s="223" t="s">
        <v>2414</v>
      </c>
      <c r="L764" s="219"/>
      <c r="M764" s="223" t="s">
        <v>2830</v>
      </c>
    </row>
    <row r="765">
      <c r="A765" s="230" t="s">
        <v>811</v>
      </c>
      <c r="B765" s="220">
        <v>46210.0</v>
      </c>
      <c r="C765" s="35" t="s">
        <v>51</v>
      </c>
      <c r="D765" s="210" t="s">
        <v>2831</v>
      </c>
      <c r="E765" s="11" t="s">
        <v>2832</v>
      </c>
      <c r="F765" s="221"/>
      <c r="G765" s="338" t="s">
        <v>2833</v>
      </c>
      <c r="H765" s="50" t="s">
        <v>22</v>
      </c>
      <c r="I765" s="217" t="s">
        <v>89</v>
      </c>
      <c r="J765" s="218">
        <v>46213.0</v>
      </c>
      <c r="K765" s="219"/>
      <c r="L765" s="219"/>
      <c r="M765" s="223" t="s">
        <v>183</v>
      </c>
    </row>
    <row r="766">
      <c r="A766" s="230" t="s">
        <v>811</v>
      </c>
      <c r="B766" s="220">
        <v>46211.0</v>
      </c>
      <c r="C766" s="35" t="s">
        <v>51</v>
      </c>
      <c r="D766" s="210" t="s">
        <v>2834</v>
      </c>
      <c r="E766" s="11" t="s">
        <v>2835</v>
      </c>
      <c r="F766" s="221"/>
      <c r="G766" s="338" t="s">
        <v>2836</v>
      </c>
      <c r="H766" s="50" t="s">
        <v>22</v>
      </c>
      <c r="I766" s="217" t="s">
        <v>89</v>
      </c>
      <c r="J766" s="218">
        <v>46213.0</v>
      </c>
      <c r="K766" s="219"/>
      <c r="L766" s="219"/>
      <c r="M766" s="223" t="s">
        <v>173</v>
      </c>
    </row>
    <row r="767">
      <c r="A767" s="230" t="s">
        <v>811</v>
      </c>
      <c r="B767" s="220">
        <v>46210.0</v>
      </c>
      <c r="C767" s="35" t="s">
        <v>51</v>
      </c>
      <c r="D767" s="210" t="s">
        <v>485</v>
      </c>
      <c r="E767" s="11" t="s">
        <v>2837</v>
      </c>
      <c r="F767" s="221"/>
      <c r="G767" s="343" t="s">
        <v>2838</v>
      </c>
      <c r="H767" s="50" t="s">
        <v>22</v>
      </c>
      <c r="I767" s="217" t="s">
        <v>89</v>
      </c>
      <c r="J767" s="218">
        <v>46212.0</v>
      </c>
      <c r="K767" s="219"/>
      <c r="L767" s="219"/>
      <c r="M767" s="223" t="s">
        <v>183</v>
      </c>
    </row>
    <row r="768">
      <c r="A768" s="344" t="s">
        <v>120</v>
      </c>
      <c r="B768" s="345">
        <v>46210.0</v>
      </c>
      <c r="C768" s="35" t="s">
        <v>51</v>
      </c>
      <c r="D768" s="346" t="s">
        <v>2839</v>
      </c>
      <c r="E768" s="347" t="s">
        <v>2840</v>
      </c>
      <c r="F768" s="348"/>
      <c r="G768" s="349" t="s">
        <v>2841</v>
      </c>
      <c r="H768" s="350" t="s">
        <v>22</v>
      </c>
      <c r="I768" s="351" t="s">
        <v>89</v>
      </c>
      <c r="J768" s="352">
        <v>46212.0</v>
      </c>
      <c r="K768" s="353"/>
      <c r="L768" s="353"/>
      <c r="M768" s="354" t="s">
        <v>2842</v>
      </c>
      <c r="N768" s="355"/>
      <c r="O768" s="355"/>
      <c r="P768" s="355"/>
      <c r="Q768" s="355"/>
      <c r="R768" s="355"/>
      <c r="S768" s="355"/>
      <c r="T768" s="355"/>
      <c r="U768" s="355"/>
      <c r="V768" s="355"/>
      <c r="W768" s="355"/>
      <c r="X768" s="355"/>
      <c r="Y768" s="355"/>
      <c r="Z768" s="355"/>
      <c r="AA768" s="355"/>
    </row>
    <row r="769">
      <c r="A769" s="230" t="s">
        <v>39</v>
      </c>
      <c r="B769" s="220">
        <v>46212.0</v>
      </c>
      <c r="C769" s="35" t="s">
        <v>51</v>
      </c>
      <c r="D769" s="356" t="s">
        <v>2843</v>
      </c>
      <c r="E769" s="120" t="s">
        <v>2844</v>
      </c>
      <c r="F769" s="221"/>
      <c r="G769" s="338" t="s">
        <v>2845</v>
      </c>
      <c r="H769" s="50"/>
      <c r="I769" s="217" t="s">
        <v>89</v>
      </c>
      <c r="J769" s="116">
        <v>7.0</v>
      </c>
      <c r="K769" s="220">
        <v>46214.0</v>
      </c>
      <c r="L769" s="223">
        <v>2.0</v>
      </c>
      <c r="M769" s="223" t="s">
        <v>2846</v>
      </c>
    </row>
    <row r="770">
      <c r="A770" s="230" t="s">
        <v>39</v>
      </c>
      <c r="B770" s="220">
        <v>46212.0</v>
      </c>
      <c r="C770" s="35" t="s">
        <v>51</v>
      </c>
      <c r="D770" s="210" t="s">
        <v>2847</v>
      </c>
      <c r="E770" s="11" t="s">
        <v>2848</v>
      </c>
      <c r="F770" s="238"/>
      <c r="G770" s="337" t="s">
        <v>2849</v>
      </c>
      <c r="H770" s="50"/>
      <c r="I770" s="281" t="s">
        <v>89</v>
      </c>
      <c r="J770" s="218">
        <v>46212.0</v>
      </c>
      <c r="K770" s="220">
        <v>46235.0</v>
      </c>
      <c r="L770" s="223">
        <v>5.0</v>
      </c>
      <c r="M770" s="223" t="s">
        <v>2850</v>
      </c>
    </row>
    <row r="771">
      <c r="A771" s="230" t="s">
        <v>39</v>
      </c>
      <c r="B771" s="220">
        <v>46213.0</v>
      </c>
      <c r="C771" s="35" t="s">
        <v>51</v>
      </c>
      <c r="D771" s="210" t="s">
        <v>2851</v>
      </c>
      <c r="E771" s="11" t="s">
        <v>2852</v>
      </c>
      <c r="F771" s="238"/>
      <c r="G771" s="337" t="s">
        <v>393</v>
      </c>
      <c r="H771" s="50"/>
      <c r="I771" s="281" t="s">
        <v>89</v>
      </c>
      <c r="J771" s="218">
        <v>46213.0</v>
      </c>
      <c r="K771" s="220">
        <v>46235.0</v>
      </c>
      <c r="L771" s="223">
        <v>4.0</v>
      </c>
      <c r="M771" s="192" t="s">
        <v>2853</v>
      </c>
    </row>
    <row r="772">
      <c r="A772" s="230" t="s">
        <v>811</v>
      </c>
      <c r="B772" s="220">
        <v>46213.0</v>
      </c>
      <c r="C772" s="35" t="s">
        <v>51</v>
      </c>
      <c r="D772" s="210" t="s">
        <v>2854</v>
      </c>
      <c r="E772" s="11" t="s">
        <v>2855</v>
      </c>
      <c r="F772" s="238"/>
      <c r="G772" s="337" t="s">
        <v>2856</v>
      </c>
      <c r="H772" s="50"/>
      <c r="I772" s="281" t="s">
        <v>89</v>
      </c>
      <c r="J772" s="218">
        <v>46213.0</v>
      </c>
      <c r="K772" s="219"/>
      <c r="L772" s="219"/>
      <c r="M772" s="223" t="s">
        <v>183</v>
      </c>
    </row>
    <row r="773">
      <c r="A773" s="230" t="s">
        <v>811</v>
      </c>
      <c r="B773" s="220">
        <v>46213.0</v>
      </c>
      <c r="C773" s="35" t="s">
        <v>51</v>
      </c>
      <c r="D773" s="210" t="s">
        <v>2857</v>
      </c>
      <c r="E773" s="11" t="s">
        <v>2858</v>
      </c>
      <c r="F773" s="238"/>
      <c r="G773" s="337" t="s">
        <v>2859</v>
      </c>
      <c r="H773" s="50"/>
      <c r="I773" s="281" t="s">
        <v>89</v>
      </c>
      <c r="J773" s="218">
        <v>46213.0</v>
      </c>
      <c r="K773" s="219"/>
      <c r="L773" s="219"/>
      <c r="M773" s="223" t="s">
        <v>183</v>
      </c>
    </row>
    <row r="774">
      <c r="A774" s="230" t="s">
        <v>39</v>
      </c>
      <c r="B774" s="220">
        <v>46214.0</v>
      </c>
      <c r="C774" s="35" t="s">
        <v>51</v>
      </c>
      <c r="D774" s="210" t="s">
        <v>2860</v>
      </c>
      <c r="E774" s="357" t="s">
        <v>2861</v>
      </c>
      <c r="F774" s="238"/>
      <c r="G774" s="337" t="s">
        <v>2862</v>
      </c>
      <c r="H774" s="50"/>
      <c r="I774" s="281" t="s">
        <v>89</v>
      </c>
      <c r="J774" s="218">
        <v>46213.0</v>
      </c>
      <c r="K774" s="220">
        <v>46218.0</v>
      </c>
      <c r="L774" s="223">
        <v>2.0</v>
      </c>
      <c r="M774" s="223" t="s">
        <v>2863</v>
      </c>
    </row>
    <row r="775">
      <c r="A775" s="230" t="s">
        <v>39</v>
      </c>
      <c r="B775" s="220">
        <v>46215.0</v>
      </c>
      <c r="C775" s="35" t="s">
        <v>51</v>
      </c>
      <c r="D775" s="210" t="s">
        <v>2864</v>
      </c>
      <c r="E775" s="11" t="s">
        <v>2865</v>
      </c>
      <c r="F775" s="238"/>
      <c r="G775" s="337" t="s">
        <v>2866</v>
      </c>
      <c r="H775" s="50"/>
      <c r="I775" s="281" t="s">
        <v>89</v>
      </c>
      <c r="J775" s="218">
        <v>46213.0</v>
      </c>
      <c r="K775" s="219"/>
      <c r="L775" s="219"/>
      <c r="M775" s="192" t="s">
        <v>2867</v>
      </c>
    </row>
    <row r="776">
      <c r="A776" s="358" t="s">
        <v>76</v>
      </c>
      <c r="B776" s="359">
        <v>46216.0</v>
      </c>
      <c r="C776" s="35" t="s">
        <v>51</v>
      </c>
      <c r="D776" s="360" t="s">
        <v>2868</v>
      </c>
      <c r="E776" s="361" t="s">
        <v>2869</v>
      </c>
      <c r="F776" s="362"/>
      <c r="G776" s="363" t="s">
        <v>2870</v>
      </c>
      <c r="H776" s="364"/>
      <c r="I776" s="365" t="s">
        <v>89</v>
      </c>
      <c r="J776" s="366">
        <v>46213.0</v>
      </c>
      <c r="K776" s="367"/>
      <c r="L776" s="367"/>
      <c r="M776" s="368" t="s">
        <v>2871</v>
      </c>
      <c r="N776" s="369"/>
      <c r="O776" s="369"/>
      <c r="P776" s="369"/>
      <c r="Q776" s="369"/>
      <c r="R776" s="369"/>
      <c r="S776" s="369"/>
      <c r="T776" s="369"/>
      <c r="U776" s="369"/>
      <c r="V776" s="369"/>
      <c r="W776" s="369"/>
      <c r="X776" s="369"/>
      <c r="Y776" s="369"/>
      <c r="Z776" s="369"/>
      <c r="AA776" s="369"/>
    </row>
    <row r="777">
      <c r="A777" s="230" t="s">
        <v>39</v>
      </c>
      <c r="B777" s="220">
        <v>46213.0</v>
      </c>
      <c r="C777" s="35" t="s">
        <v>51</v>
      </c>
      <c r="D777" s="210" t="s">
        <v>2872</v>
      </c>
      <c r="E777" s="11" t="s">
        <v>2873</v>
      </c>
      <c r="F777" s="238"/>
      <c r="G777" s="370" t="s">
        <v>2874</v>
      </c>
      <c r="H777" s="50"/>
      <c r="I777" s="281" t="s">
        <v>89</v>
      </c>
      <c r="J777" s="218">
        <v>46213.0</v>
      </c>
      <c r="K777" s="220">
        <v>46227.0</v>
      </c>
      <c r="L777" s="223">
        <v>2.0</v>
      </c>
      <c r="M777" s="223" t="s">
        <v>2875</v>
      </c>
    </row>
    <row r="778">
      <c r="A778" s="230" t="s">
        <v>39</v>
      </c>
      <c r="B778" s="220">
        <v>46213.0</v>
      </c>
      <c r="C778" s="35" t="s">
        <v>51</v>
      </c>
      <c r="D778" s="210" t="s">
        <v>2876</v>
      </c>
      <c r="E778" s="11" t="s">
        <v>2877</v>
      </c>
      <c r="F778" s="238"/>
      <c r="G778" s="337" t="s">
        <v>2878</v>
      </c>
      <c r="H778" s="50"/>
      <c r="I778" s="281" t="s">
        <v>89</v>
      </c>
      <c r="J778" s="218">
        <v>46213.0</v>
      </c>
      <c r="K778" s="220">
        <v>46235.0</v>
      </c>
      <c r="L778" s="223">
        <v>2.0</v>
      </c>
      <c r="M778" s="223" t="s">
        <v>2879</v>
      </c>
    </row>
    <row r="779">
      <c r="A779" s="230" t="s">
        <v>811</v>
      </c>
      <c r="B779" s="220">
        <v>46213.0</v>
      </c>
      <c r="C779" s="35" t="s">
        <v>51</v>
      </c>
      <c r="D779" s="210" t="s">
        <v>2880</v>
      </c>
      <c r="E779" s="11" t="s">
        <v>2881</v>
      </c>
      <c r="F779" s="238"/>
      <c r="G779" s="337" t="s">
        <v>2882</v>
      </c>
      <c r="H779" s="50"/>
      <c r="I779" s="281" t="s">
        <v>89</v>
      </c>
      <c r="J779" s="218">
        <v>46213.0</v>
      </c>
      <c r="K779" s="219"/>
      <c r="L779" s="219"/>
      <c r="M779" s="223" t="s">
        <v>183</v>
      </c>
    </row>
    <row r="780">
      <c r="A780" s="306" t="s">
        <v>811</v>
      </c>
      <c r="B780" s="307">
        <v>46213.0</v>
      </c>
      <c r="C780" s="35" t="s">
        <v>51</v>
      </c>
      <c r="D780" s="308" t="s">
        <v>2883</v>
      </c>
      <c r="E780" s="309" t="s">
        <v>2884</v>
      </c>
      <c r="F780" s="310"/>
      <c r="G780" s="336" t="s">
        <v>2885</v>
      </c>
      <c r="H780" s="311"/>
      <c r="I780" s="312" t="s">
        <v>89</v>
      </c>
      <c r="J780" s="313">
        <v>46213.0</v>
      </c>
      <c r="K780" s="314"/>
      <c r="L780" s="314"/>
      <c r="M780" s="301" t="s">
        <v>183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230" t="s">
        <v>76</v>
      </c>
      <c r="B781" s="220">
        <v>46217.0</v>
      </c>
      <c r="C781" s="35" t="s">
        <v>51</v>
      </c>
      <c r="D781" s="210" t="s">
        <v>2886</v>
      </c>
      <c r="E781" s="11" t="s">
        <v>2887</v>
      </c>
      <c r="F781" s="238"/>
      <c r="G781" s="337" t="s">
        <v>2888</v>
      </c>
      <c r="H781" s="50"/>
      <c r="I781" s="281" t="s">
        <v>89</v>
      </c>
      <c r="J781" s="218">
        <v>46213.0</v>
      </c>
      <c r="K781" s="219"/>
      <c r="L781" s="219"/>
      <c r="M781" s="223" t="s">
        <v>2889</v>
      </c>
    </row>
    <row r="782">
      <c r="A782" s="230" t="s">
        <v>39</v>
      </c>
      <c r="B782" s="220">
        <v>46213.0</v>
      </c>
      <c r="C782" s="35" t="s">
        <v>51</v>
      </c>
      <c r="D782" s="210" t="s">
        <v>2890</v>
      </c>
      <c r="E782" s="11" t="s">
        <v>2891</v>
      </c>
      <c r="F782" s="221" t="s">
        <v>89</v>
      </c>
      <c r="G782" s="338"/>
      <c r="H782" s="50"/>
      <c r="I782" s="217" t="s">
        <v>89</v>
      </c>
      <c r="J782" s="218">
        <v>46213.0</v>
      </c>
      <c r="K782" s="220">
        <v>46249.0</v>
      </c>
      <c r="L782" s="223">
        <v>4.0</v>
      </c>
      <c r="M782" s="223" t="s">
        <v>2892</v>
      </c>
    </row>
    <row r="783">
      <c r="A783" s="230" t="s">
        <v>811</v>
      </c>
      <c r="B783" s="220">
        <v>46213.0</v>
      </c>
      <c r="C783" s="35" t="s">
        <v>51</v>
      </c>
      <c r="D783" s="210" t="s">
        <v>2893</v>
      </c>
      <c r="E783" s="11" t="s">
        <v>2894</v>
      </c>
      <c r="F783" s="221"/>
      <c r="G783" s="338" t="s">
        <v>2895</v>
      </c>
      <c r="H783" s="50"/>
      <c r="I783" s="281" t="s">
        <v>89</v>
      </c>
      <c r="J783" s="218">
        <v>46213.0</v>
      </c>
      <c r="K783" s="219"/>
      <c r="L783" s="219"/>
      <c r="M783" s="223" t="s">
        <v>183</v>
      </c>
    </row>
    <row r="784">
      <c r="A784" s="230" t="s">
        <v>811</v>
      </c>
      <c r="B784" s="220">
        <v>46213.0</v>
      </c>
      <c r="C784" s="35" t="s">
        <v>51</v>
      </c>
      <c r="D784" s="210" t="s">
        <v>2896</v>
      </c>
      <c r="E784" s="11" t="s">
        <v>2897</v>
      </c>
      <c r="F784" s="221"/>
      <c r="G784" s="338" t="s">
        <v>2898</v>
      </c>
      <c r="H784" s="50"/>
      <c r="I784" s="281" t="s">
        <v>89</v>
      </c>
      <c r="J784" s="218">
        <v>46213.0</v>
      </c>
      <c r="K784" s="219"/>
      <c r="L784" s="219"/>
      <c r="M784" s="223" t="s">
        <v>183</v>
      </c>
    </row>
    <row r="785">
      <c r="A785" s="371" t="s">
        <v>811</v>
      </c>
      <c r="B785" s="372">
        <v>46210.0</v>
      </c>
      <c r="C785" s="35" t="s">
        <v>51</v>
      </c>
      <c r="D785" s="373" t="s">
        <v>2899</v>
      </c>
      <c r="E785" s="374" t="s">
        <v>2900</v>
      </c>
      <c r="F785" s="375"/>
      <c r="G785" s="376" t="s">
        <v>2901</v>
      </c>
      <c r="H785" s="377" t="s">
        <v>22</v>
      </c>
      <c r="I785" s="378" t="s">
        <v>89</v>
      </c>
      <c r="J785" s="379">
        <v>46212.0</v>
      </c>
      <c r="K785" s="380"/>
      <c r="L785" s="380"/>
      <c r="M785" s="381" t="s">
        <v>2902</v>
      </c>
      <c r="N785" s="382"/>
      <c r="O785" s="382"/>
      <c r="P785" s="382"/>
      <c r="Q785" s="382"/>
      <c r="R785" s="382"/>
      <c r="S785" s="382"/>
      <c r="T785" s="382"/>
      <c r="U785" s="382"/>
      <c r="V785" s="382"/>
      <c r="W785" s="382"/>
      <c r="X785" s="382"/>
      <c r="Y785" s="382"/>
      <c r="Z785" s="382"/>
      <c r="AA785" s="382"/>
    </row>
    <row r="786">
      <c r="A786" s="230" t="s">
        <v>811</v>
      </c>
      <c r="B786" s="220">
        <v>46213.0</v>
      </c>
      <c r="C786" s="35" t="s">
        <v>51</v>
      </c>
      <c r="D786" s="210" t="s">
        <v>2903</v>
      </c>
      <c r="E786" s="11" t="s">
        <v>2904</v>
      </c>
      <c r="F786" s="221"/>
      <c r="G786" s="338" t="s">
        <v>2905</v>
      </c>
      <c r="H786" s="50" t="s">
        <v>22</v>
      </c>
      <c r="I786" s="217" t="s">
        <v>89</v>
      </c>
      <c r="J786" s="218">
        <v>46213.0</v>
      </c>
      <c r="K786" s="219"/>
      <c r="L786" s="219"/>
      <c r="M786" s="223" t="s">
        <v>2906</v>
      </c>
    </row>
    <row r="787">
      <c r="A787" s="230" t="s">
        <v>120</v>
      </c>
      <c r="B787" s="220">
        <v>46212.0</v>
      </c>
      <c r="C787" s="35" t="s">
        <v>51</v>
      </c>
      <c r="D787" s="210" t="s">
        <v>2907</v>
      </c>
      <c r="E787" s="11" t="s">
        <v>2908</v>
      </c>
      <c r="F787" s="221"/>
      <c r="G787" s="383" t="s">
        <v>2909</v>
      </c>
      <c r="H787" s="50" t="s">
        <v>22</v>
      </c>
      <c r="I787" s="217" t="s">
        <v>89</v>
      </c>
      <c r="J787" s="218">
        <v>46217.0</v>
      </c>
      <c r="K787" s="219"/>
      <c r="L787" s="219"/>
      <c r="M787" s="223" t="s">
        <v>2910</v>
      </c>
    </row>
    <row r="788">
      <c r="A788" s="384" t="s">
        <v>120</v>
      </c>
      <c r="B788" s="385">
        <v>46210.0</v>
      </c>
      <c r="C788" s="35" t="s">
        <v>51</v>
      </c>
      <c r="D788" s="386" t="s">
        <v>2911</v>
      </c>
      <c r="E788" s="387" t="s">
        <v>2912</v>
      </c>
      <c r="F788" s="388"/>
      <c r="G788" s="389" t="s">
        <v>2913</v>
      </c>
      <c r="H788" s="390" t="s">
        <v>22</v>
      </c>
      <c r="I788" s="391" t="s">
        <v>89</v>
      </c>
      <c r="J788" s="392">
        <v>46217.0</v>
      </c>
      <c r="K788" s="393"/>
      <c r="L788" s="393"/>
      <c r="M788" s="394" t="s">
        <v>2914</v>
      </c>
      <c r="N788" s="395"/>
      <c r="O788" s="395"/>
      <c r="P788" s="395"/>
      <c r="Q788" s="395"/>
      <c r="R788" s="395"/>
      <c r="S788" s="395"/>
      <c r="T788" s="395"/>
      <c r="U788" s="395"/>
      <c r="V788" s="395"/>
      <c r="W788" s="395"/>
      <c r="X788" s="395"/>
      <c r="Y788" s="395"/>
      <c r="Z788" s="395"/>
      <c r="AA788" s="395"/>
    </row>
    <row r="789">
      <c r="A789" s="230" t="s">
        <v>39</v>
      </c>
      <c r="B789" s="220">
        <v>46217.0</v>
      </c>
      <c r="C789" s="35" t="s">
        <v>51</v>
      </c>
      <c r="D789" s="21" t="s">
        <v>2915</v>
      </c>
      <c r="E789" s="11" t="s">
        <v>2916</v>
      </c>
      <c r="F789" s="221"/>
      <c r="G789" s="337" t="s">
        <v>2917</v>
      </c>
      <c r="H789" s="50"/>
      <c r="I789" s="217" t="s">
        <v>89</v>
      </c>
      <c r="J789" s="218">
        <v>46217.0</v>
      </c>
      <c r="K789" s="220">
        <v>46227.0</v>
      </c>
      <c r="L789" s="223">
        <v>2.0</v>
      </c>
      <c r="M789" s="223" t="s">
        <v>2918</v>
      </c>
    </row>
    <row r="790">
      <c r="A790" s="230" t="s">
        <v>39</v>
      </c>
      <c r="B790" s="220">
        <v>46217.0</v>
      </c>
      <c r="C790" s="35" t="s">
        <v>51</v>
      </c>
      <c r="D790" s="210" t="s">
        <v>2919</v>
      </c>
      <c r="E790" s="396" t="s">
        <v>2920</v>
      </c>
      <c r="F790" s="221"/>
      <c r="G790" s="337" t="s">
        <v>2921</v>
      </c>
      <c r="H790" s="50"/>
      <c r="I790" s="217" t="s">
        <v>89</v>
      </c>
      <c r="J790" s="218">
        <v>46217.0</v>
      </c>
      <c r="K790" s="220">
        <v>46235.0</v>
      </c>
      <c r="L790" s="223">
        <v>4.0</v>
      </c>
      <c r="M790" s="192" t="s">
        <v>2922</v>
      </c>
    </row>
    <row r="791">
      <c r="A791" s="230" t="s">
        <v>120</v>
      </c>
      <c r="B791" s="220">
        <v>46217.0</v>
      </c>
      <c r="C791" s="35" t="s">
        <v>51</v>
      </c>
      <c r="D791" s="397" t="s">
        <v>2923</v>
      </c>
      <c r="E791" s="11" t="s">
        <v>2924</v>
      </c>
      <c r="F791" s="221"/>
      <c r="G791" s="398" t="s">
        <v>2925</v>
      </c>
      <c r="H791" s="50" t="s">
        <v>22</v>
      </c>
      <c r="I791" s="217"/>
      <c r="J791" s="218"/>
      <c r="K791" s="219"/>
      <c r="L791" s="219"/>
      <c r="M791" s="223" t="s">
        <v>2926</v>
      </c>
    </row>
    <row r="792">
      <c r="A792" s="230" t="s">
        <v>39</v>
      </c>
      <c r="B792" s="220">
        <v>46217.0</v>
      </c>
      <c r="C792" s="35" t="s">
        <v>51</v>
      </c>
      <c r="D792" s="210" t="s">
        <v>2927</v>
      </c>
      <c r="E792" s="11" t="s">
        <v>2928</v>
      </c>
      <c r="F792" s="238"/>
      <c r="G792" s="337" t="s">
        <v>2929</v>
      </c>
      <c r="H792" s="50"/>
      <c r="I792" s="281" t="s">
        <v>89</v>
      </c>
      <c r="J792" s="218">
        <v>46217.0</v>
      </c>
      <c r="K792" s="220">
        <v>46218.0</v>
      </c>
      <c r="L792" s="223">
        <v>2.0</v>
      </c>
      <c r="M792" s="223" t="s">
        <v>2930</v>
      </c>
    </row>
    <row r="793">
      <c r="A793" s="230" t="s">
        <v>39</v>
      </c>
      <c r="B793" s="220">
        <v>46217.0</v>
      </c>
      <c r="C793" s="35" t="s">
        <v>51</v>
      </c>
      <c r="D793" s="210" t="s">
        <v>2931</v>
      </c>
      <c r="E793" s="11" t="s">
        <v>2932</v>
      </c>
      <c r="F793" s="238"/>
      <c r="G793" s="337" t="s">
        <v>2933</v>
      </c>
      <c r="H793" s="50"/>
      <c r="I793" s="281" t="s">
        <v>89</v>
      </c>
      <c r="J793" s="218">
        <v>46217.0</v>
      </c>
      <c r="K793" s="220">
        <v>46227.0</v>
      </c>
      <c r="L793" s="223">
        <v>1.0</v>
      </c>
      <c r="M793" s="223" t="s">
        <v>2934</v>
      </c>
    </row>
    <row r="794">
      <c r="A794" s="230" t="s">
        <v>39</v>
      </c>
      <c r="B794" s="220">
        <v>46217.0</v>
      </c>
      <c r="C794" s="35" t="s">
        <v>51</v>
      </c>
      <c r="D794" s="21" t="s">
        <v>2935</v>
      </c>
      <c r="E794" s="11" t="s">
        <v>2936</v>
      </c>
      <c r="F794" s="238"/>
      <c r="G794" s="337"/>
      <c r="H794" s="50"/>
      <c r="I794" s="281" t="s">
        <v>89</v>
      </c>
      <c r="J794" s="218">
        <v>46217.0</v>
      </c>
      <c r="K794" s="219"/>
      <c r="L794" s="219"/>
      <c r="M794" s="223" t="s">
        <v>2937</v>
      </c>
    </row>
    <row r="795">
      <c r="A795" s="230" t="s">
        <v>39</v>
      </c>
      <c r="B795" s="220">
        <v>46217.0</v>
      </c>
      <c r="C795" s="35" t="s">
        <v>51</v>
      </c>
      <c r="D795" s="210" t="s">
        <v>2938</v>
      </c>
      <c r="E795" s="11" t="s">
        <v>2939</v>
      </c>
      <c r="F795" s="238"/>
      <c r="G795" s="399" t="s">
        <v>2940</v>
      </c>
      <c r="H795" s="50"/>
      <c r="I795" s="281" t="s">
        <v>89</v>
      </c>
      <c r="J795" s="218">
        <v>46217.0</v>
      </c>
      <c r="K795" s="220">
        <v>46241.0</v>
      </c>
      <c r="L795" s="223">
        <v>3.0</v>
      </c>
      <c r="M795" s="223" t="s">
        <v>2941</v>
      </c>
    </row>
    <row r="796">
      <c r="A796" s="230" t="s">
        <v>120</v>
      </c>
      <c r="B796" s="220">
        <v>46217.0</v>
      </c>
      <c r="C796" s="35" t="s">
        <v>51</v>
      </c>
      <c r="D796" s="21" t="s">
        <v>2942</v>
      </c>
      <c r="E796" s="11" t="s">
        <v>2943</v>
      </c>
      <c r="F796" s="221"/>
      <c r="G796" s="338" t="s">
        <v>2944</v>
      </c>
      <c r="H796" s="50"/>
      <c r="I796" s="217" t="s">
        <v>89</v>
      </c>
      <c r="J796" s="218">
        <v>46217.0</v>
      </c>
      <c r="K796" s="219"/>
      <c r="L796" s="219"/>
      <c r="M796" s="223" t="s">
        <v>2945</v>
      </c>
    </row>
    <row r="797">
      <c r="A797" s="400" t="s">
        <v>120</v>
      </c>
      <c r="B797" s="401">
        <v>46217.0</v>
      </c>
      <c r="C797" s="35" t="s">
        <v>51</v>
      </c>
      <c r="D797" s="402" t="s">
        <v>2946</v>
      </c>
      <c r="E797" s="403" t="s">
        <v>2947</v>
      </c>
      <c r="F797" s="404"/>
      <c r="G797" s="405" t="s">
        <v>2948</v>
      </c>
      <c r="H797" s="406" t="s">
        <v>22</v>
      </c>
      <c r="I797" s="407" t="s">
        <v>89</v>
      </c>
      <c r="J797" s="408">
        <v>46218.0</v>
      </c>
      <c r="K797" s="409"/>
      <c r="L797" s="409"/>
      <c r="M797" s="410" t="s">
        <v>2949</v>
      </c>
      <c r="N797" s="411"/>
      <c r="O797" s="411"/>
      <c r="P797" s="411"/>
      <c r="Q797" s="411"/>
      <c r="R797" s="411"/>
      <c r="S797" s="411"/>
      <c r="T797" s="411"/>
      <c r="U797" s="411"/>
      <c r="V797" s="411"/>
      <c r="W797" s="411"/>
      <c r="X797" s="411"/>
      <c r="Y797" s="411"/>
      <c r="Z797" s="411"/>
      <c r="AA797" s="411"/>
    </row>
    <row r="798">
      <c r="A798" s="412" t="s">
        <v>120</v>
      </c>
      <c r="B798" s="413">
        <v>46217.0</v>
      </c>
      <c r="C798" s="35" t="s">
        <v>51</v>
      </c>
      <c r="D798" s="414" t="s">
        <v>1667</v>
      </c>
      <c r="E798" s="415" t="s">
        <v>2950</v>
      </c>
      <c r="F798" s="416"/>
      <c r="G798" s="417" t="s">
        <v>2951</v>
      </c>
      <c r="H798" s="418" t="s">
        <v>22</v>
      </c>
      <c r="I798" s="419" t="s">
        <v>89</v>
      </c>
      <c r="J798" s="420">
        <v>46219.0</v>
      </c>
      <c r="K798" s="421"/>
      <c r="L798" s="421"/>
      <c r="M798" s="422" t="s">
        <v>2952</v>
      </c>
      <c r="N798" s="423"/>
      <c r="O798" s="423"/>
      <c r="P798" s="423"/>
      <c r="Q798" s="423"/>
      <c r="R798" s="423"/>
      <c r="S798" s="423"/>
      <c r="T798" s="423"/>
      <c r="U798" s="423"/>
      <c r="V798" s="423"/>
      <c r="W798" s="423"/>
      <c r="X798" s="423"/>
      <c r="Y798" s="423"/>
      <c r="Z798" s="423"/>
      <c r="AA798" s="423"/>
    </row>
    <row r="799">
      <c r="A799" s="230" t="s">
        <v>120</v>
      </c>
      <c r="B799" s="220">
        <v>46217.0</v>
      </c>
      <c r="C799" s="35" t="s">
        <v>51</v>
      </c>
      <c r="D799" s="210" t="s">
        <v>559</v>
      </c>
      <c r="E799" s="11" t="s">
        <v>560</v>
      </c>
      <c r="F799" s="221"/>
      <c r="G799" s="338" t="s">
        <v>2953</v>
      </c>
      <c r="H799" s="50" t="s">
        <v>22</v>
      </c>
      <c r="I799" s="217" t="s">
        <v>89</v>
      </c>
      <c r="J799" s="116">
        <v>716.0</v>
      </c>
      <c r="K799" s="219"/>
      <c r="L799" s="219"/>
      <c r="M799" s="223" t="s">
        <v>2954</v>
      </c>
    </row>
    <row r="800">
      <c r="A800" s="230" t="s">
        <v>39</v>
      </c>
      <c r="B800" s="220">
        <v>46217.0</v>
      </c>
      <c r="C800" s="35" t="s">
        <v>51</v>
      </c>
      <c r="D800" s="210" t="s">
        <v>2955</v>
      </c>
      <c r="E800" s="11" t="s">
        <v>2956</v>
      </c>
      <c r="F800" s="221"/>
      <c r="G800" s="338" t="s">
        <v>2957</v>
      </c>
      <c r="H800" s="50" t="s">
        <v>22</v>
      </c>
      <c r="I800" s="217" t="s">
        <v>89</v>
      </c>
      <c r="J800" s="218">
        <v>46219.0</v>
      </c>
      <c r="K800" s="220">
        <v>46260.0</v>
      </c>
      <c r="L800" s="219"/>
      <c r="M800" s="422" t="s">
        <v>2958</v>
      </c>
    </row>
    <row r="801">
      <c r="A801" s="230" t="s">
        <v>76</v>
      </c>
      <c r="B801" s="220">
        <v>46217.0</v>
      </c>
      <c r="C801" s="35" t="s">
        <v>51</v>
      </c>
      <c r="D801" s="210" t="s">
        <v>2959</v>
      </c>
      <c r="E801" s="11" t="s">
        <v>2960</v>
      </c>
      <c r="F801" s="221"/>
      <c r="G801" s="338" t="s">
        <v>2462</v>
      </c>
      <c r="H801" s="50" t="s">
        <v>22</v>
      </c>
      <c r="I801" s="217" t="s">
        <v>89</v>
      </c>
      <c r="J801" s="218">
        <v>46219.0</v>
      </c>
      <c r="K801" s="219"/>
      <c r="L801" s="219"/>
      <c r="M801" s="223" t="s">
        <v>2961</v>
      </c>
    </row>
    <row r="802">
      <c r="A802" s="56" t="s">
        <v>39</v>
      </c>
      <c r="B802" s="58">
        <v>46038.0</v>
      </c>
      <c r="C802" s="35" t="s">
        <v>51</v>
      </c>
      <c r="D802" s="9" t="s">
        <v>2962</v>
      </c>
      <c r="E802" s="11" t="s">
        <v>2963</v>
      </c>
      <c r="F802" s="61" t="s">
        <v>56</v>
      </c>
      <c r="G802" s="87" t="s">
        <v>197</v>
      </c>
      <c r="H802" s="63" t="s">
        <v>22</v>
      </c>
      <c r="I802" s="64" t="s">
        <v>83</v>
      </c>
      <c r="J802" s="65">
        <v>46042.0</v>
      </c>
      <c r="K802" s="66"/>
      <c r="L802" s="67"/>
      <c r="M802" s="68" t="s">
        <v>2964</v>
      </c>
    </row>
    <row r="803">
      <c r="A803" s="230" t="s">
        <v>120</v>
      </c>
      <c r="B803" s="220">
        <v>46217.0</v>
      </c>
      <c r="C803" s="35" t="s">
        <v>51</v>
      </c>
      <c r="D803" s="210" t="s">
        <v>2965</v>
      </c>
      <c r="E803" s="11" t="s">
        <v>2963</v>
      </c>
      <c r="F803" s="221"/>
      <c r="G803" s="338" t="s">
        <v>2966</v>
      </c>
      <c r="H803" s="50" t="s">
        <v>22</v>
      </c>
      <c r="I803" s="217" t="s">
        <v>89</v>
      </c>
      <c r="J803" s="218">
        <v>46219.0</v>
      </c>
      <c r="K803" s="219"/>
      <c r="L803" s="219"/>
      <c r="M803" s="381" t="s">
        <v>2967</v>
      </c>
    </row>
    <row r="804">
      <c r="A804" s="230" t="s">
        <v>811</v>
      </c>
      <c r="B804" s="220">
        <v>46217.0</v>
      </c>
      <c r="C804" s="35" t="s">
        <v>51</v>
      </c>
      <c r="D804" s="210" t="s">
        <v>2968</v>
      </c>
      <c r="E804" s="11" t="s">
        <v>2969</v>
      </c>
      <c r="F804" s="221"/>
      <c r="G804" s="338" t="s">
        <v>2970</v>
      </c>
      <c r="H804" s="50" t="s">
        <v>22</v>
      </c>
      <c r="I804" s="217" t="s">
        <v>89</v>
      </c>
      <c r="J804" s="218">
        <v>46219.0</v>
      </c>
      <c r="K804" s="219"/>
      <c r="L804" s="219"/>
      <c r="M804" s="223" t="s">
        <v>183</v>
      </c>
    </row>
    <row r="805">
      <c r="A805" s="230" t="s">
        <v>811</v>
      </c>
      <c r="B805" s="220">
        <v>46217.0</v>
      </c>
      <c r="C805" s="35" t="s">
        <v>51</v>
      </c>
      <c r="D805" s="210" t="s">
        <v>1330</v>
      </c>
      <c r="E805" s="11" t="s">
        <v>2971</v>
      </c>
      <c r="F805" s="221"/>
      <c r="G805" s="337" t="s">
        <v>2972</v>
      </c>
      <c r="H805" s="50"/>
      <c r="I805" s="217" t="s">
        <v>89</v>
      </c>
      <c r="J805" s="218">
        <v>46217.0</v>
      </c>
      <c r="K805" s="219"/>
      <c r="L805" s="219"/>
      <c r="M805" s="223" t="s">
        <v>173</v>
      </c>
    </row>
    <row r="806">
      <c r="A806" s="230" t="s">
        <v>120</v>
      </c>
      <c r="B806" s="220">
        <v>46217.0</v>
      </c>
      <c r="C806" s="35" t="s">
        <v>51</v>
      </c>
      <c r="D806" s="210" t="s">
        <v>2973</v>
      </c>
      <c r="E806" s="11" t="s">
        <v>2974</v>
      </c>
      <c r="F806" s="221"/>
      <c r="G806" s="337" t="s">
        <v>2975</v>
      </c>
      <c r="H806" s="50"/>
      <c r="I806" s="217" t="s">
        <v>89</v>
      </c>
      <c r="J806" s="218">
        <v>46217.0</v>
      </c>
      <c r="K806" s="219"/>
      <c r="L806" s="219"/>
      <c r="M806" s="223" t="s">
        <v>2976</v>
      </c>
    </row>
    <row r="807">
      <c r="A807" s="306" t="s">
        <v>811</v>
      </c>
      <c r="B807" s="307">
        <v>46217.0</v>
      </c>
      <c r="C807" s="35" t="s">
        <v>51</v>
      </c>
      <c r="D807" s="308" t="s">
        <v>2977</v>
      </c>
      <c r="E807" s="309" t="s">
        <v>2978</v>
      </c>
      <c r="F807" s="310"/>
      <c r="G807" s="336" t="s">
        <v>2979</v>
      </c>
      <c r="H807" s="311"/>
      <c r="I807" s="312" t="s">
        <v>89</v>
      </c>
      <c r="J807" s="313">
        <v>46217.0</v>
      </c>
      <c r="K807" s="314"/>
      <c r="L807" s="314"/>
      <c r="M807" s="301" t="s">
        <v>2980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230" t="s">
        <v>39</v>
      </c>
      <c r="B808" s="220">
        <v>46217.0</v>
      </c>
      <c r="C808" s="35" t="s">
        <v>51</v>
      </c>
      <c r="D808" s="210" t="s">
        <v>2981</v>
      </c>
      <c r="E808" s="11" t="s">
        <v>2982</v>
      </c>
      <c r="F808" s="221"/>
      <c r="G808" s="338"/>
      <c r="H808" s="50"/>
      <c r="I808" s="217" t="s">
        <v>89</v>
      </c>
      <c r="J808" s="218">
        <v>46217.0</v>
      </c>
      <c r="K808" s="220">
        <v>46235.0</v>
      </c>
      <c r="L808" s="223">
        <v>2.0</v>
      </c>
      <c r="M808" s="223" t="s">
        <v>2983</v>
      </c>
    </row>
    <row r="809">
      <c r="A809" s="230" t="s">
        <v>76</v>
      </c>
      <c r="B809" s="220">
        <v>46217.0</v>
      </c>
      <c r="C809" s="35" t="s">
        <v>51</v>
      </c>
      <c r="D809" s="210" t="s">
        <v>2984</v>
      </c>
      <c r="E809" s="11" t="s">
        <v>2985</v>
      </c>
      <c r="F809" s="221"/>
      <c r="G809" s="338"/>
      <c r="H809" s="50"/>
      <c r="I809" s="217" t="s">
        <v>89</v>
      </c>
      <c r="J809" s="218">
        <v>46217.0</v>
      </c>
      <c r="K809" s="219"/>
      <c r="L809" s="219"/>
      <c r="M809" s="223" t="s">
        <v>2986</v>
      </c>
    </row>
    <row r="810">
      <c r="A810" s="230" t="s">
        <v>120</v>
      </c>
      <c r="B810" s="220">
        <v>46217.0</v>
      </c>
      <c r="C810" s="35" t="s">
        <v>51</v>
      </c>
      <c r="D810" s="210" t="s">
        <v>2987</v>
      </c>
      <c r="E810" s="11" t="s">
        <v>2988</v>
      </c>
      <c r="F810" s="221"/>
      <c r="G810" s="338"/>
      <c r="H810" s="50"/>
      <c r="I810" s="217" t="s">
        <v>89</v>
      </c>
      <c r="J810" s="218">
        <v>46217.0</v>
      </c>
      <c r="K810" s="219"/>
      <c r="L810" s="219"/>
      <c r="M810" s="223" t="s">
        <v>2989</v>
      </c>
    </row>
    <row r="811">
      <c r="A811" s="230" t="s">
        <v>76</v>
      </c>
      <c r="B811" s="220">
        <v>46218.0</v>
      </c>
      <c r="C811" s="35" t="s">
        <v>51</v>
      </c>
      <c r="D811" s="210" t="s">
        <v>2990</v>
      </c>
      <c r="E811" s="11" t="s">
        <v>2991</v>
      </c>
      <c r="F811" s="221"/>
      <c r="G811" s="338" t="s">
        <v>2992</v>
      </c>
      <c r="H811" s="50" t="s">
        <v>22</v>
      </c>
      <c r="I811" s="217" t="s">
        <v>89</v>
      </c>
      <c r="J811" s="218">
        <v>46219.0</v>
      </c>
      <c r="K811" s="219"/>
      <c r="L811" s="219"/>
      <c r="M811" s="301" t="s">
        <v>2993</v>
      </c>
    </row>
    <row r="812">
      <c r="A812" s="230" t="s">
        <v>39</v>
      </c>
      <c r="B812" s="220">
        <v>46218.0</v>
      </c>
      <c r="C812" s="35" t="s">
        <v>51</v>
      </c>
      <c r="D812" s="210" t="s">
        <v>2994</v>
      </c>
      <c r="E812" s="11" t="s">
        <v>2995</v>
      </c>
      <c r="F812" s="221"/>
      <c r="G812" s="338"/>
      <c r="H812" s="50" t="s">
        <v>22</v>
      </c>
      <c r="I812" s="217" t="s">
        <v>89</v>
      </c>
      <c r="J812" s="218">
        <v>46218.0</v>
      </c>
      <c r="K812" s="219"/>
      <c r="L812" s="219"/>
      <c r="M812" s="223" t="s">
        <v>2996</v>
      </c>
    </row>
    <row r="813">
      <c r="A813" s="230" t="s">
        <v>120</v>
      </c>
      <c r="B813" s="220">
        <v>46219.0</v>
      </c>
      <c r="C813" s="35" t="s">
        <v>51</v>
      </c>
      <c r="D813" s="9" t="s">
        <v>2997</v>
      </c>
      <c r="E813" s="11" t="s">
        <v>2998</v>
      </c>
      <c r="F813" s="221"/>
      <c r="G813" s="31" t="s">
        <v>2999</v>
      </c>
      <c r="H813" s="50" t="s">
        <v>22</v>
      </c>
      <c r="I813" s="217" t="s">
        <v>89</v>
      </c>
      <c r="J813" s="218">
        <v>46219.0</v>
      </c>
      <c r="K813" s="219"/>
      <c r="L813" s="219"/>
      <c r="M813" s="223" t="s">
        <v>3000</v>
      </c>
    </row>
    <row r="814">
      <c r="A814" s="230" t="s">
        <v>76</v>
      </c>
      <c r="B814" s="220">
        <v>46219.0</v>
      </c>
      <c r="C814" s="35" t="s">
        <v>51</v>
      </c>
      <c r="D814" s="210" t="s">
        <v>3001</v>
      </c>
      <c r="E814" s="11" t="s">
        <v>3002</v>
      </c>
      <c r="F814" s="221"/>
      <c r="G814" s="338" t="s">
        <v>3003</v>
      </c>
      <c r="H814" s="50" t="s">
        <v>22</v>
      </c>
      <c r="I814" s="217" t="s">
        <v>89</v>
      </c>
      <c r="J814" s="218">
        <v>46219.0</v>
      </c>
      <c r="K814" s="219"/>
      <c r="L814" s="219"/>
      <c r="M814" s="223" t="s">
        <v>3004</v>
      </c>
    </row>
    <row r="815">
      <c r="A815" s="230" t="s">
        <v>39</v>
      </c>
      <c r="B815" s="220">
        <v>46219.0</v>
      </c>
      <c r="C815" s="35" t="s">
        <v>51</v>
      </c>
      <c r="D815" s="210" t="s">
        <v>3005</v>
      </c>
      <c r="E815" s="11" t="s">
        <v>3006</v>
      </c>
      <c r="F815" s="238"/>
      <c r="G815" s="337"/>
      <c r="H815" s="50" t="s">
        <v>22</v>
      </c>
      <c r="I815" s="281" t="s">
        <v>89</v>
      </c>
      <c r="J815" s="218">
        <v>46219.0</v>
      </c>
      <c r="K815" s="220">
        <v>46227.0</v>
      </c>
      <c r="L815" s="223">
        <v>2.0</v>
      </c>
      <c r="M815" s="223" t="s">
        <v>3007</v>
      </c>
    </row>
    <row r="816">
      <c r="A816" s="424" t="s">
        <v>120</v>
      </c>
      <c r="B816" s="425">
        <v>46217.0</v>
      </c>
      <c r="C816" s="35" t="s">
        <v>51</v>
      </c>
      <c r="D816" s="426" t="s">
        <v>2751</v>
      </c>
      <c r="E816" s="427" t="s">
        <v>3008</v>
      </c>
      <c r="F816" s="428"/>
      <c r="G816" s="429" t="s">
        <v>3009</v>
      </c>
      <c r="H816" s="430" t="s">
        <v>22</v>
      </c>
      <c r="I816" s="431" t="s">
        <v>89</v>
      </c>
      <c r="J816" s="432">
        <v>46220.0</v>
      </c>
      <c r="K816" s="433"/>
      <c r="L816" s="433"/>
      <c r="M816" s="434" t="s">
        <v>3010</v>
      </c>
      <c r="N816" s="435"/>
      <c r="O816" s="435"/>
      <c r="P816" s="435"/>
      <c r="Q816" s="435"/>
      <c r="R816" s="435"/>
      <c r="S816" s="435"/>
      <c r="T816" s="435"/>
      <c r="U816" s="435"/>
      <c r="V816" s="435"/>
      <c r="W816" s="435"/>
      <c r="X816" s="435"/>
      <c r="Y816" s="435"/>
      <c r="Z816" s="435"/>
      <c r="AA816" s="435"/>
    </row>
    <row r="817">
      <c r="A817" s="230" t="s">
        <v>811</v>
      </c>
      <c r="B817" s="220">
        <v>46219.0</v>
      </c>
      <c r="C817" s="35" t="s">
        <v>51</v>
      </c>
      <c r="D817" s="210" t="s">
        <v>3011</v>
      </c>
      <c r="E817" s="11" t="s">
        <v>3012</v>
      </c>
      <c r="F817" s="221"/>
      <c r="G817" s="338" t="s">
        <v>3013</v>
      </c>
      <c r="H817" s="50" t="s">
        <v>22</v>
      </c>
      <c r="I817" s="217" t="s">
        <v>89</v>
      </c>
      <c r="J817" s="218">
        <v>46220.0</v>
      </c>
      <c r="K817" s="219"/>
      <c r="L817" s="219"/>
      <c r="M817" s="223" t="s">
        <v>173</v>
      </c>
    </row>
    <row r="818">
      <c r="A818" s="230" t="s">
        <v>120</v>
      </c>
      <c r="B818" s="220">
        <v>46218.0</v>
      </c>
      <c r="C818" s="35" t="s">
        <v>51</v>
      </c>
      <c r="D818" s="91" t="s">
        <v>3014</v>
      </c>
      <c r="E818" s="11" t="s">
        <v>3015</v>
      </c>
      <c r="F818" s="221"/>
      <c r="G818" s="338" t="s">
        <v>3016</v>
      </c>
      <c r="H818" s="50" t="s">
        <v>22</v>
      </c>
      <c r="I818" s="217" t="s">
        <v>89</v>
      </c>
      <c r="J818" s="218">
        <v>46220.0</v>
      </c>
      <c r="K818" s="219"/>
      <c r="L818" s="219"/>
      <c r="M818" s="436" t="s">
        <v>3017</v>
      </c>
    </row>
    <row r="819">
      <c r="A819" s="230" t="s">
        <v>120</v>
      </c>
      <c r="B819" s="220">
        <v>46220.0</v>
      </c>
      <c r="C819" s="35" t="s">
        <v>51</v>
      </c>
      <c r="D819" s="210" t="s">
        <v>3018</v>
      </c>
      <c r="E819" s="11" t="s">
        <v>3019</v>
      </c>
      <c r="F819" s="221"/>
      <c r="G819" s="338" t="s">
        <v>2806</v>
      </c>
      <c r="H819" s="50" t="s">
        <v>22</v>
      </c>
      <c r="I819" s="217" t="s">
        <v>89</v>
      </c>
      <c r="J819" s="218">
        <v>46220.0</v>
      </c>
      <c r="K819" s="219"/>
      <c r="L819" s="219"/>
      <c r="M819" s="436" t="s">
        <v>3020</v>
      </c>
    </row>
    <row r="820">
      <c r="A820" s="230" t="s">
        <v>120</v>
      </c>
      <c r="B820" s="220">
        <v>46220.0</v>
      </c>
      <c r="C820" s="35" t="s">
        <v>51</v>
      </c>
      <c r="D820" s="210" t="s">
        <v>3021</v>
      </c>
      <c r="E820" s="11" t="s">
        <v>3022</v>
      </c>
      <c r="F820" s="221"/>
      <c r="G820" s="338" t="s">
        <v>3023</v>
      </c>
      <c r="H820" s="50" t="s">
        <v>22</v>
      </c>
      <c r="I820" s="217" t="s">
        <v>89</v>
      </c>
      <c r="J820" s="218">
        <v>46220.0</v>
      </c>
      <c r="K820" s="219"/>
      <c r="L820" s="219"/>
      <c r="M820" s="437" t="s">
        <v>3024</v>
      </c>
    </row>
    <row r="821">
      <c r="A821" s="230" t="s">
        <v>120</v>
      </c>
      <c r="B821" s="220">
        <v>46220.0</v>
      </c>
      <c r="C821" s="35" t="s">
        <v>51</v>
      </c>
      <c r="D821" s="210" t="s">
        <v>3025</v>
      </c>
      <c r="E821" s="11" t="s">
        <v>3026</v>
      </c>
      <c r="F821" s="221"/>
      <c r="G821" s="338" t="s">
        <v>3027</v>
      </c>
      <c r="H821" s="50" t="s">
        <v>22</v>
      </c>
      <c r="I821" s="217" t="s">
        <v>89</v>
      </c>
      <c r="J821" s="218">
        <v>46220.0</v>
      </c>
      <c r="K821" s="219"/>
      <c r="L821" s="219"/>
      <c r="M821" s="438" t="s">
        <v>3028</v>
      </c>
    </row>
    <row r="822">
      <c r="A822" s="230" t="s">
        <v>39</v>
      </c>
      <c r="B822" s="220">
        <v>46220.0</v>
      </c>
      <c r="C822" s="35" t="s">
        <v>51</v>
      </c>
      <c r="D822" s="21" t="s">
        <v>3029</v>
      </c>
      <c r="E822" s="11" t="s">
        <v>3030</v>
      </c>
      <c r="F822" s="221"/>
      <c r="G822" s="338"/>
      <c r="H822" s="50" t="s">
        <v>22</v>
      </c>
      <c r="I822" s="217" t="s">
        <v>89</v>
      </c>
      <c r="J822" s="218">
        <v>46220.0</v>
      </c>
      <c r="K822" s="220">
        <v>46249.0</v>
      </c>
      <c r="L822" s="223">
        <v>2.0</v>
      </c>
      <c r="M822" s="439" t="s">
        <v>3031</v>
      </c>
    </row>
    <row r="823">
      <c r="A823" s="230" t="s">
        <v>39</v>
      </c>
      <c r="B823" s="220">
        <v>46221.0</v>
      </c>
      <c r="C823" s="35" t="s">
        <v>51</v>
      </c>
      <c r="D823" s="210" t="s">
        <v>3032</v>
      </c>
      <c r="E823" s="357" t="s">
        <v>3033</v>
      </c>
      <c r="F823" s="221"/>
      <c r="G823" s="338" t="s">
        <v>3034</v>
      </c>
      <c r="H823" s="50" t="s">
        <v>22</v>
      </c>
      <c r="I823" s="217" t="s">
        <v>89</v>
      </c>
      <c r="J823" s="218">
        <v>46221.0</v>
      </c>
      <c r="K823" s="220">
        <v>46249.0</v>
      </c>
      <c r="L823" s="223">
        <v>3.0</v>
      </c>
      <c r="M823" s="223" t="s">
        <v>3035</v>
      </c>
    </row>
    <row r="824">
      <c r="A824" s="230" t="s">
        <v>120</v>
      </c>
      <c r="B824" s="220">
        <v>46224.0</v>
      </c>
      <c r="C824" s="35" t="s">
        <v>51</v>
      </c>
      <c r="D824" s="210" t="s">
        <v>3036</v>
      </c>
      <c r="E824" s="11" t="s">
        <v>3037</v>
      </c>
      <c r="F824" s="221"/>
      <c r="G824" s="338" t="s">
        <v>3038</v>
      </c>
      <c r="H824" s="50" t="s">
        <v>22</v>
      </c>
      <c r="I824" s="217" t="s">
        <v>89</v>
      </c>
      <c r="J824" s="218">
        <v>46224.0</v>
      </c>
      <c r="K824" s="220"/>
      <c r="L824" s="223"/>
      <c r="M824" s="223" t="s">
        <v>3039</v>
      </c>
    </row>
    <row r="825">
      <c r="A825" s="230" t="s">
        <v>39</v>
      </c>
      <c r="B825" s="220">
        <v>46224.0</v>
      </c>
      <c r="C825" s="35" t="s">
        <v>51</v>
      </c>
      <c r="D825" s="210" t="s">
        <v>3040</v>
      </c>
      <c r="E825" s="11" t="s">
        <v>3041</v>
      </c>
      <c r="F825" s="221"/>
      <c r="G825" s="338" t="s">
        <v>3042</v>
      </c>
      <c r="H825" s="50"/>
      <c r="I825" s="217" t="s">
        <v>89</v>
      </c>
      <c r="J825" s="218">
        <v>46225.0</v>
      </c>
      <c r="K825" s="220">
        <v>46241.0</v>
      </c>
      <c r="L825" s="223">
        <v>2.0</v>
      </c>
      <c r="M825" s="440" t="s">
        <v>3043</v>
      </c>
    </row>
    <row r="826">
      <c r="A826" s="230" t="s">
        <v>39</v>
      </c>
      <c r="B826" s="220">
        <v>46224.0</v>
      </c>
      <c r="C826" s="35" t="s">
        <v>51</v>
      </c>
      <c r="D826" s="210" t="s">
        <v>3044</v>
      </c>
      <c r="E826" s="11" t="s">
        <v>3045</v>
      </c>
      <c r="F826" s="221"/>
      <c r="G826" s="338" t="s">
        <v>3046</v>
      </c>
      <c r="H826" s="50" t="s">
        <v>22</v>
      </c>
      <c r="I826" s="217" t="s">
        <v>89</v>
      </c>
      <c r="J826" s="218">
        <v>46225.0</v>
      </c>
      <c r="K826" s="220">
        <v>46249.0</v>
      </c>
      <c r="L826" s="223">
        <v>2.0</v>
      </c>
      <c r="M826" s="223" t="s">
        <v>3047</v>
      </c>
    </row>
    <row r="827">
      <c r="A827" s="441" t="s">
        <v>811</v>
      </c>
      <c r="B827" s="442">
        <v>46224.0</v>
      </c>
      <c r="C827" s="35" t="s">
        <v>51</v>
      </c>
      <c r="D827" s="443" t="s">
        <v>3048</v>
      </c>
      <c r="E827" s="444" t="s">
        <v>3049</v>
      </c>
      <c r="F827" s="445"/>
      <c r="G827" s="446" t="s">
        <v>3050</v>
      </c>
      <c r="H827" s="50" t="s">
        <v>22</v>
      </c>
      <c r="I827" s="447" t="s">
        <v>89</v>
      </c>
      <c r="J827" s="448">
        <v>46225.0</v>
      </c>
      <c r="K827" s="442"/>
      <c r="L827" s="449"/>
      <c r="M827" s="449" t="s">
        <v>183</v>
      </c>
      <c r="N827" s="450"/>
      <c r="O827" s="450"/>
      <c r="P827" s="450"/>
      <c r="Q827" s="450"/>
      <c r="R827" s="450"/>
      <c r="S827" s="450"/>
      <c r="T827" s="450"/>
      <c r="U827" s="450"/>
      <c r="V827" s="450"/>
      <c r="W827" s="450"/>
      <c r="X827" s="450"/>
      <c r="Y827" s="450"/>
      <c r="Z827" s="450"/>
      <c r="AA827" s="450"/>
    </row>
    <row r="828">
      <c r="A828" s="230" t="s">
        <v>811</v>
      </c>
      <c r="B828" s="220">
        <v>46224.0</v>
      </c>
      <c r="C828" s="35" t="s">
        <v>51</v>
      </c>
      <c r="D828" s="210" t="s">
        <v>3051</v>
      </c>
      <c r="E828" s="11" t="s">
        <v>3052</v>
      </c>
      <c r="F828" s="221"/>
      <c r="G828" s="338" t="s">
        <v>2634</v>
      </c>
      <c r="H828" s="50" t="s">
        <v>22</v>
      </c>
      <c r="I828" s="217" t="s">
        <v>89</v>
      </c>
      <c r="J828" s="218">
        <v>46232.0</v>
      </c>
      <c r="K828" s="220"/>
      <c r="L828" s="223"/>
      <c r="M828" s="223" t="s">
        <v>183</v>
      </c>
    </row>
    <row r="829">
      <c r="A829" s="230" t="s">
        <v>811</v>
      </c>
      <c r="B829" s="220">
        <v>46224.0</v>
      </c>
      <c r="C829" s="35" t="s">
        <v>51</v>
      </c>
      <c r="D829" s="210" t="s">
        <v>3053</v>
      </c>
      <c r="E829" s="11" t="s">
        <v>3054</v>
      </c>
      <c r="F829" s="221"/>
      <c r="G829" s="338" t="s">
        <v>2626</v>
      </c>
      <c r="H829" s="50" t="s">
        <v>22</v>
      </c>
      <c r="I829" s="217" t="s">
        <v>89</v>
      </c>
      <c r="J829" s="218">
        <v>46232.0</v>
      </c>
      <c r="K829" s="220"/>
      <c r="L829" s="223"/>
      <c r="M829" s="223" t="s">
        <v>183</v>
      </c>
    </row>
    <row r="830">
      <c r="A830" s="451" t="s">
        <v>811</v>
      </c>
      <c r="B830" s="452">
        <v>46224.0</v>
      </c>
      <c r="C830" s="35" t="s">
        <v>51</v>
      </c>
      <c r="D830" s="453" t="s">
        <v>3055</v>
      </c>
      <c r="E830" s="454" t="s">
        <v>3056</v>
      </c>
      <c r="F830" s="455"/>
      <c r="G830" s="456" t="s">
        <v>2738</v>
      </c>
      <c r="H830" s="50" t="s">
        <v>22</v>
      </c>
      <c r="I830" s="457" t="s">
        <v>89</v>
      </c>
      <c r="J830" s="458">
        <v>46228.0</v>
      </c>
      <c r="K830" s="452"/>
      <c r="L830" s="459"/>
      <c r="M830" s="223" t="s">
        <v>183</v>
      </c>
      <c r="N830" s="460"/>
      <c r="O830" s="460"/>
      <c r="P830" s="460"/>
      <c r="Q830" s="460"/>
      <c r="R830" s="460"/>
      <c r="S830" s="460"/>
      <c r="T830" s="460"/>
      <c r="U830" s="460"/>
      <c r="V830" s="460"/>
      <c r="W830" s="460"/>
      <c r="X830" s="460"/>
      <c r="Y830" s="460"/>
      <c r="Z830" s="460"/>
      <c r="AA830" s="460"/>
    </row>
    <row r="831">
      <c r="A831" s="451" t="s">
        <v>811</v>
      </c>
      <c r="B831" s="452">
        <v>46224.0</v>
      </c>
      <c r="C831" s="35" t="s">
        <v>51</v>
      </c>
      <c r="D831" s="453" t="s">
        <v>3057</v>
      </c>
      <c r="E831" s="454" t="s">
        <v>3058</v>
      </c>
      <c r="F831" s="455"/>
      <c r="G831" s="456" t="s">
        <v>3059</v>
      </c>
      <c r="H831" s="50" t="s">
        <v>22</v>
      </c>
      <c r="I831" s="457" t="s">
        <v>89</v>
      </c>
      <c r="J831" s="458">
        <v>46228.0</v>
      </c>
      <c r="K831" s="452"/>
      <c r="L831" s="459"/>
      <c r="M831" s="223" t="s">
        <v>173</v>
      </c>
      <c r="N831" s="460"/>
      <c r="O831" s="460"/>
      <c r="P831" s="460"/>
      <c r="Q831" s="460"/>
      <c r="R831" s="460"/>
      <c r="S831" s="460"/>
      <c r="T831" s="460"/>
      <c r="U831" s="460"/>
      <c r="V831" s="460"/>
      <c r="W831" s="460"/>
      <c r="X831" s="460"/>
      <c r="Y831" s="460"/>
      <c r="Z831" s="460"/>
      <c r="AA831" s="460"/>
    </row>
    <row r="832">
      <c r="A832" s="461" t="s">
        <v>120</v>
      </c>
      <c r="B832" s="462">
        <v>46224.0</v>
      </c>
      <c r="C832" s="35" t="s">
        <v>51</v>
      </c>
      <c r="D832" s="463" t="s">
        <v>3060</v>
      </c>
      <c r="E832" s="464" t="s">
        <v>3061</v>
      </c>
      <c r="F832" s="465"/>
      <c r="G832" s="466" t="s">
        <v>3062</v>
      </c>
      <c r="H832" s="467" t="s">
        <v>22</v>
      </c>
      <c r="I832" s="468" t="s">
        <v>89</v>
      </c>
      <c r="J832" s="469">
        <v>46228.0</v>
      </c>
      <c r="K832" s="462"/>
      <c r="L832" s="470"/>
      <c r="M832" s="288" t="s">
        <v>3063</v>
      </c>
      <c r="N832" s="471"/>
      <c r="O832" s="471"/>
      <c r="P832" s="471"/>
      <c r="Q832" s="471"/>
      <c r="R832" s="471"/>
      <c r="S832" s="471"/>
      <c r="T832" s="471"/>
      <c r="U832" s="471"/>
      <c r="V832" s="471"/>
      <c r="W832" s="471"/>
      <c r="X832" s="471"/>
      <c r="Y832" s="471"/>
      <c r="Z832" s="471"/>
      <c r="AA832" s="471"/>
    </row>
    <row r="833">
      <c r="A833" s="451" t="s">
        <v>811</v>
      </c>
      <c r="B833" s="452">
        <v>46218.0</v>
      </c>
      <c r="C833" s="35" t="s">
        <v>51</v>
      </c>
      <c r="D833" s="453" t="s">
        <v>279</v>
      </c>
      <c r="E833" s="454" t="s">
        <v>3064</v>
      </c>
      <c r="F833" s="455"/>
      <c r="G833" s="456" t="s">
        <v>3065</v>
      </c>
      <c r="H833" s="472" t="s">
        <v>22</v>
      </c>
      <c r="I833" s="457" t="s">
        <v>89</v>
      </c>
      <c r="J833" s="458">
        <v>46228.0</v>
      </c>
      <c r="K833" s="473"/>
      <c r="L833" s="473"/>
      <c r="M833" s="223" t="s">
        <v>183</v>
      </c>
      <c r="N833" s="460"/>
      <c r="O833" s="460"/>
      <c r="P833" s="460"/>
      <c r="Q833" s="460"/>
      <c r="R833" s="460"/>
      <c r="S833" s="460"/>
      <c r="T833" s="460"/>
      <c r="U833" s="460"/>
      <c r="V833" s="460"/>
      <c r="W833" s="460"/>
      <c r="X833" s="460"/>
      <c r="Y833" s="460"/>
      <c r="Z833" s="460"/>
      <c r="AA833" s="460"/>
    </row>
    <row r="834">
      <c r="A834" s="451" t="s">
        <v>120</v>
      </c>
      <c r="B834" s="452">
        <v>46217.0</v>
      </c>
      <c r="C834" s="35" t="s">
        <v>51</v>
      </c>
      <c r="D834" s="453" t="s">
        <v>2620</v>
      </c>
      <c r="E834" s="454" t="s">
        <v>3066</v>
      </c>
      <c r="F834" s="455"/>
      <c r="G834" s="474" t="s">
        <v>3067</v>
      </c>
      <c r="H834" s="472" t="s">
        <v>22</v>
      </c>
      <c r="I834" s="475" t="s">
        <v>89</v>
      </c>
      <c r="J834" s="476">
        <v>46220.0</v>
      </c>
      <c r="K834" s="473"/>
      <c r="L834" s="473"/>
      <c r="M834" s="459" t="s">
        <v>3068</v>
      </c>
      <c r="N834" s="460"/>
      <c r="O834" s="460"/>
      <c r="P834" s="460"/>
      <c r="Q834" s="460"/>
      <c r="R834" s="460"/>
      <c r="S834" s="460"/>
      <c r="T834" s="460"/>
      <c r="U834" s="460"/>
      <c r="V834" s="460"/>
      <c r="W834" s="460"/>
      <c r="X834" s="460"/>
      <c r="Y834" s="460"/>
      <c r="Z834" s="460"/>
      <c r="AA834" s="460"/>
    </row>
    <row r="835">
      <c r="A835" s="451" t="s">
        <v>811</v>
      </c>
      <c r="B835" s="452">
        <v>46220.0</v>
      </c>
      <c r="C835" s="35" t="s">
        <v>51</v>
      </c>
      <c r="D835" s="453" t="s">
        <v>3069</v>
      </c>
      <c r="E835" s="454" t="s">
        <v>3070</v>
      </c>
      <c r="F835" s="455"/>
      <c r="G835" s="456" t="s">
        <v>3071</v>
      </c>
      <c r="H835" s="472" t="s">
        <v>22</v>
      </c>
      <c r="I835" s="457" t="s">
        <v>89</v>
      </c>
      <c r="J835" s="458">
        <v>46228.0</v>
      </c>
      <c r="K835" s="473"/>
      <c r="L835" s="473"/>
      <c r="M835" s="223" t="s">
        <v>183</v>
      </c>
      <c r="N835" s="460"/>
      <c r="O835" s="460"/>
      <c r="P835" s="460"/>
      <c r="Q835" s="460"/>
      <c r="R835" s="460"/>
      <c r="S835" s="460"/>
      <c r="T835" s="460"/>
      <c r="U835" s="460"/>
      <c r="V835" s="460"/>
      <c r="W835" s="460"/>
      <c r="X835" s="460"/>
      <c r="Y835" s="460"/>
      <c r="Z835" s="460"/>
      <c r="AA835" s="460"/>
    </row>
    <row r="836">
      <c r="A836" s="371" t="s">
        <v>76</v>
      </c>
      <c r="B836" s="372">
        <v>46225.0</v>
      </c>
      <c r="C836" s="35" t="s">
        <v>51</v>
      </c>
      <c r="D836" s="373" t="s">
        <v>3072</v>
      </c>
      <c r="E836" s="374" t="s">
        <v>3073</v>
      </c>
      <c r="F836" s="477"/>
      <c r="G836" s="398" t="s">
        <v>3074</v>
      </c>
      <c r="H836" s="377" t="s">
        <v>22</v>
      </c>
      <c r="I836" s="478" t="s">
        <v>89</v>
      </c>
      <c r="J836" s="379">
        <v>46225.0</v>
      </c>
      <c r="K836" s="372"/>
      <c r="L836" s="381"/>
      <c r="M836" s="381" t="s">
        <v>3075</v>
      </c>
      <c r="N836" s="382"/>
      <c r="O836" s="382"/>
      <c r="P836" s="382"/>
      <c r="Q836" s="382"/>
      <c r="R836" s="382"/>
      <c r="S836" s="382"/>
      <c r="T836" s="382"/>
      <c r="U836" s="382"/>
      <c r="V836" s="382"/>
      <c r="W836" s="382"/>
      <c r="X836" s="382"/>
      <c r="Y836" s="382"/>
      <c r="Z836" s="382"/>
      <c r="AA836" s="382"/>
    </row>
    <row r="837">
      <c r="A837" s="230" t="s">
        <v>811</v>
      </c>
      <c r="B837" s="220">
        <v>46225.0</v>
      </c>
      <c r="C837" s="35" t="s">
        <v>51</v>
      </c>
      <c r="D837" s="210" t="s">
        <v>3076</v>
      </c>
      <c r="E837" s="11" t="s">
        <v>3077</v>
      </c>
      <c r="F837" s="455"/>
      <c r="G837" s="338" t="s">
        <v>3078</v>
      </c>
      <c r="H837" s="50"/>
      <c r="I837" s="475"/>
      <c r="J837" s="218"/>
      <c r="K837" s="220"/>
      <c r="L837" s="223"/>
      <c r="M837" s="223"/>
    </row>
    <row r="838">
      <c r="A838" s="230" t="s">
        <v>811</v>
      </c>
      <c r="B838" s="220">
        <v>46225.0</v>
      </c>
      <c r="C838" s="35" t="s">
        <v>51</v>
      </c>
      <c r="D838" s="210" t="s">
        <v>1791</v>
      </c>
      <c r="E838" s="11" t="s">
        <v>3079</v>
      </c>
      <c r="F838" s="455"/>
      <c r="G838" s="338" t="s">
        <v>3080</v>
      </c>
      <c r="H838" s="50"/>
      <c r="I838" s="475"/>
      <c r="J838" s="218"/>
      <c r="K838" s="220"/>
      <c r="L838" s="223"/>
      <c r="M838" s="223" t="s">
        <v>3081</v>
      </c>
    </row>
    <row r="839">
      <c r="A839" s="230" t="s">
        <v>39</v>
      </c>
      <c r="B839" s="220">
        <v>46225.0</v>
      </c>
      <c r="C839" s="35" t="s">
        <v>51</v>
      </c>
      <c r="D839" s="210" t="s">
        <v>3082</v>
      </c>
      <c r="E839" s="11" t="s">
        <v>3083</v>
      </c>
      <c r="F839" s="455"/>
      <c r="G839" s="338"/>
      <c r="H839" s="50" t="s">
        <v>22</v>
      </c>
      <c r="I839" s="457" t="s">
        <v>89</v>
      </c>
      <c r="J839" s="218">
        <v>46225.0</v>
      </c>
      <c r="K839" s="220">
        <v>46227.0</v>
      </c>
      <c r="L839" s="223">
        <v>1.0</v>
      </c>
      <c r="M839" s="223" t="s">
        <v>3084</v>
      </c>
    </row>
    <row r="840">
      <c r="A840" s="230" t="s">
        <v>3085</v>
      </c>
      <c r="B840" s="220">
        <v>46226.0</v>
      </c>
      <c r="C840" s="35" t="s">
        <v>51</v>
      </c>
      <c r="D840" s="210" t="s">
        <v>3086</v>
      </c>
      <c r="E840" s="11" t="s">
        <v>3087</v>
      </c>
      <c r="F840" s="455"/>
      <c r="G840" s="338" t="s">
        <v>3088</v>
      </c>
      <c r="H840" s="50" t="s">
        <v>22</v>
      </c>
      <c r="I840" s="457" t="s">
        <v>89</v>
      </c>
      <c r="J840" s="218">
        <v>46228.0</v>
      </c>
      <c r="K840" s="220"/>
      <c r="L840" s="223"/>
      <c r="M840" s="223" t="s">
        <v>3089</v>
      </c>
    </row>
    <row r="841">
      <c r="A841" s="230" t="s">
        <v>120</v>
      </c>
      <c r="B841" s="220">
        <v>46228.0</v>
      </c>
      <c r="C841" s="35" t="s">
        <v>51</v>
      </c>
      <c r="D841" s="210" t="s">
        <v>3090</v>
      </c>
      <c r="E841" s="11" t="s">
        <v>3091</v>
      </c>
      <c r="F841" s="455"/>
      <c r="G841" s="338" t="s">
        <v>3092</v>
      </c>
      <c r="H841" s="50"/>
      <c r="I841" s="457" t="s">
        <v>89</v>
      </c>
      <c r="J841" s="218">
        <v>46228.0</v>
      </c>
      <c r="K841" s="220"/>
      <c r="L841" s="223"/>
      <c r="M841" s="223" t="s">
        <v>3093</v>
      </c>
    </row>
    <row r="842">
      <c r="A842" s="230" t="s">
        <v>76</v>
      </c>
      <c r="B842" s="220">
        <v>46228.0</v>
      </c>
      <c r="C842" s="35" t="s">
        <v>51</v>
      </c>
      <c r="D842" s="210" t="s">
        <v>3094</v>
      </c>
      <c r="E842" s="11" t="s">
        <v>3095</v>
      </c>
      <c r="F842" s="455"/>
      <c r="G842" s="338" t="s">
        <v>3096</v>
      </c>
      <c r="H842" s="50" t="s">
        <v>22</v>
      </c>
      <c r="I842" s="457" t="s">
        <v>89</v>
      </c>
      <c r="J842" s="218">
        <v>46228.0</v>
      </c>
      <c r="K842" s="220"/>
      <c r="L842" s="223"/>
      <c r="M842" s="223" t="s">
        <v>3097</v>
      </c>
    </row>
    <row r="843">
      <c r="A843" s="230" t="s">
        <v>39</v>
      </c>
      <c r="B843" s="220">
        <v>46228.0</v>
      </c>
      <c r="C843" s="35" t="s">
        <v>51</v>
      </c>
      <c r="D843" s="210" t="s">
        <v>279</v>
      </c>
      <c r="E843" s="11" t="s">
        <v>3098</v>
      </c>
      <c r="F843" s="455"/>
      <c r="G843" s="338" t="s">
        <v>3099</v>
      </c>
      <c r="H843" s="50" t="s">
        <v>22</v>
      </c>
      <c r="I843" s="457" t="s">
        <v>89</v>
      </c>
      <c r="J843" s="218">
        <v>46228.0</v>
      </c>
      <c r="K843" s="220">
        <v>46263.0</v>
      </c>
      <c r="L843" s="223">
        <v>2.0</v>
      </c>
      <c r="M843" s="223" t="s">
        <v>3100</v>
      </c>
    </row>
    <row r="844">
      <c r="A844" s="230" t="s">
        <v>811</v>
      </c>
      <c r="B844" s="220">
        <v>46228.0</v>
      </c>
      <c r="C844" s="35" t="s">
        <v>51</v>
      </c>
      <c r="D844" s="210" t="s">
        <v>3101</v>
      </c>
      <c r="E844" s="11" t="s">
        <v>3102</v>
      </c>
      <c r="F844" s="455"/>
      <c r="G844" s="338" t="s">
        <v>2409</v>
      </c>
      <c r="H844" s="50" t="s">
        <v>22</v>
      </c>
      <c r="I844" s="457" t="s">
        <v>89</v>
      </c>
      <c r="J844" s="218">
        <v>46228.0</v>
      </c>
      <c r="K844" s="220"/>
      <c r="L844" s="223"/>
      <c r="M844" s="223" t="s">
        <v>183</v>
      </c>
    </row>
    <row r="845">
      <c r="A845" s="230" t="s">
        <v>39</v>
      </c>
      <c r="B845" s="220">
        <v>46228.0</v>
      </c>
      <c r="C845" s="35" t="s">
        <v>51</v>
      </c>
      <c r="D845" s="210" t="s">
        <v>3103</v>
      </c>
      <c r="E845" s="11" t="s">
        <v>3104</v>
      </c>
      <c r="F845" s="455"/>
      <c r="G845" s="338" t="s">
        <v>2626</v>
      </c>
      <c r="H845" s="50" t="s">
        <v>22</v>
      </c>
      <c r="I845" s="457" t="s">
        <v>89</v>
      </c>
      <c r="J845" s="218">
        <v>46228.0</v>
      </c>
      <c r="K845" s="220"/>
      <c r="L845" s="223"/>
      <c r="M845" s="223" t="s">
        <v>3105</v>
      </c>
    </row>
    <row r="846">
      <c r="A846" s="282" t="s">
        <v>76</v>
      </c>
      <c r="B846" s="289">
        <v>46228.0</v>
      </c>
      <c r="C846" s="35" t="s">
        <v>51</v>
      </c>
      <c r="D846" s="305" t="s">
        <v>3106</v>
      </c>
      <c r="E846" s="290" t="s">
        <v>3107</v>
      </c>
      <c r="F846" s="465"/>
      <c r="G846" s="340" t="s">
        <v>3108</v>
      </c>
      <c r="H846" s="293" t="s">
        <v>22</v>
      </c>
      <c r="I846" s="468" t="s">
        <v>89</v>
      </c>
      <c r="J846" s="295">
        <v>46228.0</v>
      </c>
      <c r="K846" s="289"/>
      <c r="L846" s="288"/>
      <c r="M846" s="288" t="s">
        <v>3109</v>
      </c>
      <c r="N846" s="287"/>
      <c r="O846" s="287"/>
      <c r="P846" s="287"/>
      <c r="Q846" s="287"/>
      <c r="R846" s="287"/>
      <c r="S846" s="287"/>
      <c r="T846" s="287"/>
      <c r="U846" s="287"/>
      <c r="V846" s="287"/>
      <c r="W846" s="287"/>
      <c r="X846" s="287"/>
      <c r="Y846" s="287"/>
      <c r="Z846" s="287"/>
      <c r="AA846" s="287"/>
    </row>
    <row r="847">
      <c r="A847" s="230" t="s">
        <v>76</v>
      </c>
      <c r="B847" s="220">
        <v>46231.0</v>
      </c>
      <c r="C847" s="35" t="s">
        <v>51</v>
      </c>
      <c r="D847" s="210" t="s">
        <v>3110</v>
      </c>
      <c r="E847" s="11" t="s">
        <v>3111</v>
      </c>
      <c r="F847" s="455"/>
      <c r="G847" s="338" t="s">
        <v>2626</v>
      </c>
      <c r="H847" s="50" t="s">
        <v>22</v>
      </c>
      <c r="I847" s="457" t="s">
        <v>89</v>
      </c>
      <c r="J847" s="218">
        <v>46232.0</v>
      </c>
      <c r="K847" s="220"/>
      <c r="L847" s="223"/>
      <c r="M847" s="223" t="s">
        <v>3112</v>
      </c>
    </row>
    <row r="848">
      <c r="A848" s="424" t="s">
        <v>811</v>
      </c>
      <c r="B848" s="425">
        <v>46228.0</v>
      </c>
      <c r="C848" s="35" t="s">
        <v>51</v>
      </c>
      <c r="D848" s="426" t="s">
        <v>3113</v>
      </c>
      <c r="E848" s="427" t="s">
        <v>3114</v>
      </c>
      <c r="F848" s="428"/>
      <c r="G848" s="429" t="s">
        <v>3115</v>
      </c>
      <c r="H848" s="430" t="s">
        <v>22</v>
      </c>
      <c r="I848" s="431" t="s">
        <v>89</v>
      </c>
      <c r="J848" s="432">
        <v>46238.0</v>
      </c>
      <c r="K848" s="425"/>
      <c r="L848" s="434"/>
      <c r="M848" s="479" t="s">
        <v>183</v>
      </c>
      <c r="N848" s="435"/>
      <c r="O848" s="435"/>
      <c r="P848" s="435"/>
      <c r="Q848" s="435"/>
      <c r="R848" s="435"/>
      <c r="S848" s="435"/>
      <c r="T848" s="435"/>
      <c r="U848" s="435"/>
      <c r="V848" s="435"/>
      <c r="W848" s="435"/>
      <c r="X848" s="435"/>
      <c r="Y848" s="435"/>
      <c r="Z848" s="435"/>
      <c r="AA848" s="435"/>
    </row>
    <row r="849">
      <c r="A849" s="230" t="s">
        <v>76</v>
      </c>
      <c r="B849" s="220">
        <v>46231.0</v>
      </c>
      <c r="C849" s="35" t="s">
        <v>51</v>
      </c>
      <c r="D849" s="210" t="s">
        <v>3116</v>
      </c>
      <c r="E849" s="11" t="s">
        <v>3117</v>
      </c>
      <c r="F849" s="455"/>
      <c r="G849" s="338" t="s">
        <v>3118</v>
      </c>
      <c r="H849" s="50" t="s">
        <v>22</v>
      </c>
      <c r="I849" s="457" t="s">
        <v>89</v>
      </c>
      <c r="J849" s="218">
        <v>46232.0</v>
      </c>
      <c r="K849" s="220"/>
      <c r="L849" s="223"/>
      <c r="M849" s="223" t="s">
        <v>3119</v>
      </c>
    </row>
    <row r="850">
      <c r="A850" s="230" t="s">
        <v>811</v>
      </c>
      <c r="B850" s="220">
        <v>46234.0</v>
      </c>
      <c r="C850" s="35" t="s">
        <v>51</v>
      </c>
      <c r="D850" s="210" t="s">
        <v>3120</v>
      </c>
      <c r="E850" s="11" t="s">
        <v>3121</v>
      </c>
      <c r="F850" s="480" t="s">
        <v>89</v>
      </c>
      <c r="G850" s="338" t="s">
        <v>3122</v>
      </c>
      <c r="H850" s="50"/>
      <c r="I850" s="457"/>
      <c r="J850" s="218"/>
      <c r="K850" s="220"/>
      <c r="L850" s="223"/>
      <c r="M850" s="223"/>
    </row>
    <row r="851">
      <c r="A851" s="230" t="s">
        <v>39</v>
      </c>
      <c r="B851" s="220">
        <v>46235.0</v>
      </c>
      <c r="C851" s="35" t="s">
        <v>51</v>
      </c>
      <c r="D851" s="210" t="s">
        <v>3123</v>
      </c>
      <c r="E851" s="11" t="s">
        <v>3124</v>
      </c>
      <c r="F851" s="455"/>
      <c r="G851" s="338" t="s">
        <v>3125</v>
      </c>
      <c r="H851" s="50"/>
      <c r="I851" s="457" t="s">
        <v>89</v>
      </c>
      <c r="J851" s="218">
        <v>46239.0</v>
      </c>
      <c r="K851" s="220"/>
      <c r="L851" s="223"/>
      <c r="M851" s="223" t="s">
        <v>3126</v>
      </c>
    </row>
    <row r="852">
      <c r="A852" s="306" t="s">
        <v>120</v>
      </c>
      <c r="B852" s="307">
        <v>46238.0</v>
      </c>
      <c r="C852" s="35" t="s">
        <v>51</v>
      </c>
      <c r="D852" s="308" t="s">
        <v>3127</v>
      </c>
      <c r="E852" s="309" t="s">
        <v>3128</v>
      </c>
      <c r="F852" s="310"/>
      <c r="G852" s="481" t="s">
        <v>3129</v>
      </c>
      <c r="H852" s="311" t="s">
        <v>22</v>
      </c>
      <c r="I852" s="312" t="s">
        <v>89</v>
      </c>
      <c r="J852" s="313">
        <v>46238.0</v>
      </c>
      <c r="K852" s="307"/>
      <c r="L852" s="301">
        <v>2.0</v>
      </c>
      <c r="M852" s="301" t="s">
        <v>3130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482" t="s">
        <v>120</v>
      </c>
      <c r="B853" s="220">
        <v>46238.0</v>
      </c>
      <c r="C853" s="35" t="s">
        <v>51</v>
      </c>
      <c r="D853" s="483" t="s">
        <v>3131</v>
      </c>
      <c r="E853" s="298" t="s">
        <v>3132</v>
      </c>
      <c r="F853" s="484"/>
      <c r="G853" s="343" t="s">
        <v>3133</v>
      </c>
      <c r="H853" s="50" t="s">
        <v>22</v>
      </c>
      <c r="I853" s="485" t="s">
        <v>89</v>
      </c>
      <c r="J853" s="486">
        <v>46238.0</v>
      </c>
      <c r="K853" s="487"/>
      <c r="L853" s="304"/>
      <c r="M853" s="304" t="s">
        <v>3134</v>
      </c>
      <c r="N853" s="488"/>
      <c r="O853" s="488"/>
      <c r="P853" s="488"/>
      <c r="Q853" s="488"/>
      <c r="R853" s="488"/>
      <c r="S853" s="488"/>
      <c r="T853" s="488"/>
      <c r="U853" s="488"/>
      <c r="V853" s="488"/>
      <c r="W853" s="488"/>
      <c r="X853" s="488"/>
      <c r="Y853" s="488"/>
      <c r="Z853" s="488"/>
      <c r="AA853" s="488"/>
    </row>
    <row r="854">
      <c r="A854" s="230" t="s">
        <v>39</v>
      </c>
      <c r="B854" s="220">
        <v>46238.0</v>
      </c>
      <c r="C854" s="35" t="s">
        <v>51</v>
      </c>
      <c r="D854" s="210" t="s">
        <v>3135</v>
      </c>
      <c r="E854" s="11" t="s">
        <v>3136</v>
      </c>
      <c r="F854" s="221"/>
      <c r="G854" s="383" t="s">
        <v>3137</v>
      </c>
      <c r="H854" s="50" t="s">
        <v>22</v>
      </c>
      <c r="I854" s="217" t="s">
        <v>89</v>
      </c>
      <c r="J854" s="218">
        <v>46238.0</v>
      </c>
      <c r="K854" s="220"/>
      <c r="L854" s="223"/>
      <c r="M854" s="223" t="s">
        <v>3138</v>
      </c>
    </row>
    <row r="855">
      <c r="A855" s="230" t="s">
        <v>120</v>
      </c>
      <c r="B855" s="220">
        <v>46238.0</v>
      </c>
      <c r="C855" s="35" t="s">
        <v>51</v>
      </c>
      <c r="D855" s="210" t="s">
        <v>3139</v>
      </c>
      <c r="E855" s="11" t="s">
        <v>3140</v>
      </c>
      <c r="F855" s="221"/>
      <c r="G855" s="383" t="s">
        <v>3141</v>
      </c>
      <c r="H855" s="50" t="s">
        <v>22</v>
      </c>
      <c r="I855" s="217" t="s">
        <v>89</v>
      </c>
      <c r="J855" s="218">
        <v>46238.0</v>
      </c>
      <c r="K855" s="220"/>
      <c r="L855" s="223"/>
      <c r="M855" s="223" t="s">
        <v>3142</v>
      </c>
    </row>
    <row r="856">
      <c r="A856" s="230" t="s">
        <v>811</v>
      </c>
      <c r="B856" s="220">
        <v>46238.0</v>
      </c>
      <c r="C856" s="35" t="s">
        <v>51</v>
      </c>
      <c r="D856" s="210" t="s">
        <v>571</v>
      </c>
      <c r="E856" s="11" t="s">
        <v>3143</v>
      </c>
      <c r="F856" s="221"/>
      <c r="G856" s="383" t="s">
        <v>3144</v>
      </c>
      <c r="H856" s="50" t="s">
        <v>22</v>
      </c>
      <c r="I856" s="217" t="s">
        <v>89</v>
      </c>
      <c r="J856" s="218">
        <v>46242.0</v>
      </c>
      <c r="K856" s="220"/>
      <c r="L856" s="223"/>
      <c r="M856" s="315" t="s">
        <v>2622</v>
      </c>
    </row>
    <row r="857">
      <c r="A857" s="230" t="s">
        <v>39</v>
      </c>
      <c r="B857" s="220">
        <v>46238.0</v>
      </c>
      <c r="C857" s="35" t="s">
        <v>51</v>
      </c>
      <c r="D857" s="210" t="s">
        <v>3145</v>
      </c>
      <c r="E857" s="11" t="s">
        <v>3146</v>
      </c>
      <c r="F857" s="221"/>
      <c r="G857" s="383" t="s">
        <v>3147</v>
      </c>
      <c r="H857" s="50" t="s">
        <v>22</v>
      </c>
      <c r="I857" s="217" t="s">
        <v>89</v>
      </c>
      <c r="J857" s="218">
        <v>46242.0</v>
      </c>
      <c r="K857" s="223" t="s">
        <v>2414</v>
      </c>
      <c r="L857" s="223" t="s">
        <v>2414</v>
      </c>
      <c r="M857" s="223" t="s">
        <v>2731</v>
      </c>
    </row>
    <row r="858">
      <c r="A858" s="230" t="s">
        <v>120</v>
      </c>
      <c r="B858" s="220">
        <v>46238.0</v>
      </c>
      <c r="C858" s="35" t="s">
        <v>51</v>
      </c>
      <c r="D858" s="210" t="s">
        <v>3148</v>
      </c>
      <c r="E858" s="11" t="s">
        <v>3149</v>
      </c>
      <c r="F858" s="455"/>
      <c r="G858" s="338" t="s">
        <v>3150</v>
      </c>
      <c r="H858" s="50" t="s">
        <v>22</v>
      </c>
      <c r="I858" s="457" t="s">
        <v>89</v>
      </c>
      <c r="J858" s="218">
        <v>46238.0</v>
      </c>
      <c r="K858" s="220"/>
      <c r="L858" s="223"/>
      <c r="M858" s="223" t="s">
        <v>3151</v>
      </c>
    </row>
    <row r="859">
      <c r="A859" s="230" t="s">
        <v>811</v>
      </c>
      <c r="B859" s="220">
        <v>46238.0</v>
      </c>
      <c r="C859" s="35" t="s">
        <v>51</v>
      </c>
      <c r="D859" s="210" t="s">
        <v>3152</v>
      </c>
      <c r="E859" s="11" t="s">
        <v>3153</v>
      </c>
      <c r="F859" s="221"/>
      <c r="G859" s="383" t="s">
        <v>3154</v>
      </c>
      <c r="H859" s="50" t="s">
        <v>22</v>
      </c>
      <c r="I859" s="217" t="s">
        <v>89</v>
      </c>
      <c r="J859" s="218">
        <v>46238.0</v>
      </c>
      <c r="K859" s="220"/>
      <c r="L859" s="223"/>
      <c r="M859" s="223" t="s">
        <v>3155</v>
      </c>
    </row>
    <row r="860">
      <c r="A860" s="371" t="s">
        <v>76</v>
      </c>
      <c r="B860" s="372">
        <v>46238.0</v>
      </c>
      <c r="C860" s="489" t="s">
        <v>51</v>
      </c>
      <c r="D860" s="373" t="s">
        <v>3156</v>
      </c>
      <c r="E860" s="374" t="s">
        <v>3157</v>
      </c>
      <c r="F860" s="477"/>
      <c r="G860" s="398" t="s">
        <v>3158</v>
      </c>
      <c r="H860" s="377" t="s">
        <v>22</v>
      </c>
      <c r="I860" s="478" t="s">
        <v>89</v>
      </c>
      <c r="J860" s="379">
        <v>46238.0</v>
      </c>
      <c r="K860" s="372"/>
      <c r="L860" s="381"/>
      <c r="M860" s="490" t="s">
        <v>3159</v>
      </c>
      <c r="N860" s="382"/>
      <c r="O860" s="382"/>
      <c r="P860" s="382"/>
      <c r="Q860" s="382"/>
      <c r="R860" s="382"/>
      <c r="S860" s="382"/>
      <c r="T860" s="382"/>
      <c r="U860" s="382"/>
      <c r="V860" s="382"/>
      <c r="W860" s="382"/>
      <c r="X860" s="382"/>
      <c r="Y860" s="382"/>
      <c r="Z860" s="382"/>
      <c r="AA860" s="382"/>
    </row>
    <row r="861">
      <c r="A861" s="230" t="s">
        <v>120</v>
      </c>
      <c r="B861" s="220">
        <v>46238.0</v>
      </c>
      <c r="C861" s="491" t="s">
        <v>51</v>
      </c>
      <c r="D861" s="210" t="s">
        <v>3160</v>
      </c>
      <c r="E861" s="11" t="s">
        <v>3161</v>
      </c>
      <c r="F861" s="492"/>
      <c r="G861" s="337" t="s">
        <v>3162</v>
      </c>
      <c r="H861" s="50" t="s">
        <v>22</v>
      </c>
      <c r="I861" s="493" t="s">
        <v>89</v>
      </c>
      <c r="J861" s="218">
        <v>46238.0</v>
      </c>
      <c r="K861" s="220"/>
      <c r="L861" s="223"/>
      <c r="M861" s="223" t="s">
        <v>3163</v>
      </c>
    </row>
    <row r="862">
      <c r="A862" s="482" t="s">
        <v>120</v>
      </c>
      <c r="B862" s="487">
        <v>46220.0</v>
      </c>
      <c r="C862" s="35" t="s">
        <v>51</v>
      </c>
      <c r="D862" s="483" t="s">
        <v>3164</v>
      </c>
      <c r="E862" s="298" t="s">
        <v>3165</v>
      </c>
      <c r="F862" s="455"/>
      <c r="G862" s="343" t="s">
        <v>3166</v>
      </c>
      <c r="H862" s="494" t="s">
        <v>22</v>
      </c>
      <c r="I862" s="457" t="s">
        <v>89</v>
      </c>
      <c r="J862" s="486">
        <v>46242.0</v>
      </c>
      <c r="K862" s="495"/>
      <c r="L862" s="495"/>
      <c r="M862" s="223" t="s">
        <v>3167</v>
      </c>
      <c r="N862" s="488"/>
      <c r="O862" s="488"/>
      <c r="P862" s="488"/>
      <c r="Q862" s="488"/>
      <c r="R862" s="488"/>
      <c r="S862" s="488"/>
      <c r="T862" s="488"/>
      <c r="U862" s="488"/>
      <c r="V862" s="488"/>
      <c r="W862" s="488"/>
      <c r="X862" s="488"/>
      <c r="Y862" s="488"/>
      <c r="Z862" s="488"/>
      <c r="AA862" s="488"/>
    </row>
    <row r="863">
      <c r="A863" s="482" t="s">
        <v>811</v>
      </c>
      <c r="B863" s="487">
        <v>46224.0</v>
      </c>
      <c r="C863" s="35" t="s">
        <v>51</v>
      </c>
      <c r="D863" s="483" t="s">
        <v>3168</v>
      </c>
      <c r="E863" s="298" t="s">
        <v>3169</v>
      </c>
      <c r="F863" s="455"/>
      <c r="G863" s="343" t="s">
        <v>3170</v>
      </c>
      <c r="H863" s="494" t="s">
        <v>22</v>
      </c>
      <c r="I863" s="457" t="s">
        <v>89</v>
      </c>
      <c r="J863" s="486">
        <v>46242.0</v>
      </c>
      <c r="K863" s="487"/>
      <c r="L863" s="304"/>
      <c r="M863" s="288" t="s">
        <v>3171</v>
      </c>
      <c r="N863" s="488"/>
      <c r="O863" s="488"/>
      <c r="P863" s="488"/>
      <c r="Q863" s="488"/>
      <c r="R863" s="488"/>
      <c r="S863" s="488"/>
      <c r="T863" s="488"/>
      <c r="U863" s="488"/>
      <c r="V863" s="488"/>
      <c r="W863" s="488"/>
      <c r="X863" s="488"/>
      <c r="Y863" s="488"/>
      <c r="Z863" s="488"/>
      <c r="AA863" s="488"/>
    </row>
    <row r="864">
      <c r="A864" s="482" t="s">
        <v>811</v>
      </c>
      <c r="B864" s="487">
        <v>46231.0</v>
      </c>
      <c r="C864" s="35" t="s">
        <v>51</v>
      </c>
      <c r="D864" s="483" t="s">
        <v>3172</v>
      </c>
      <c r="E864" s="298" t="s">
        <v>3173</v>
      </c>
      <c r="F864" s="484"/>
      <c r="G864" s="343" t="s">
        <v>3141</v>
      </c>
      <c r="H864" s="50" t="s">
        <v>22</v>
      </c>
      <c r="I864" s="485" t="s">
        <v>89</v>
      </c>
      <c r="J864" s="486">
        <v>46242.0</v>
      </c>
      <c r="K864" s="487"/>
      <c r="L864" s="304"/>
      <c r="M864" s="304" t="s">
        <v>183</v>
      </c>
      <c r="N864" s="488"/>
      <c r="O864" s="488"/>
      <c r="P864" s="488"/>
      <c r="Q864" s="488"/>
      <c r="R864" s="488"/>
      <c r="S864" s="488"/>
      <c r="T864" s="488"/>
      <c r="U864" s="488"/>
      <c r="V864" s="488"/>
      <c r="W864" s="488"/>
      <c r="X864" s="488"/>
      <c r="Y864" s="488"/>
      <c r="Z864" s="488"/>
      <c r="AA864" s="488"/>
    </row>
    <row r="865">
      <c r="A865" s="384" t="s">
        <v>811</v>
      </c>
      <c r="B865" s="385">
        <v>46231.0</v>
      </c>
      <c r="C865" s="35" t="s">
        <v>51</v>
      </c>
      <c r="D865" s="386" t="s">
        <v>3174</v>
      </c>
      <c r="E865" s="387" t="s">
        <v>3175</v>
      </c>
      <c r="F865" s="388"/>
      <c r="G865" s="389" t="s">
        <v>3176</v>
      </c>
      <c r="H865" s="390" t="s">
        <v>22</v>
      </c>
      <c r="I865" s="391"/>
      <c r="J865" s="392"/>
      <c r="K865" s="385"/>
      <c r="L865" s="479"/>
      <c r="M865" s="479"/>
      <c r="N865" s="395"/>
      <c r="O865" s="395"/>
      <c r="P865" s="395"/>
      <c r="Q865" s="395"/>
      <c r="R865" s="395"/>
      <c r="S865" s="395"/>
      <c r="T865" s="395"/>
      <c r="U865" s="395"/>
      <c r="V865" s="395"/>
      <c r="W865" s="395"/>
      <c r="X865" s="395"/>
      <c r="Y865" s="395"/>
      <c r="Z865" s="395"/>
      <c r="AA865" s="395"/>
    </row>
    <row r="866">
      <c r="A866" s="384" t="s">
        <v>811</v>
      </c>
      <c r="B866" s="385">
        <v>46231.0</v>
      </c>
      <c r="C866" s="35" t="s">
        <v>51</v>
      </c>
      <c r="D866" s="386" t="s">
        <v>3177</v>
      </c>
      <c r="E866" s="387" t="s">
        <v>3178</v>
      </c>
      <c r="F866" s="388"/>
      <c r="G866" s="389" t="s">
        <v>3179</v>
      </c>
      <c r="H866" s="390" t="s">
        <v>22</v>
      </c>
      <c r="I866" s="391"/>
      <c r="J866" s="392"/>
      <c r="K866" s="385"/>
      <c r="L866" s="479"/>
      <c r="M866" s="479"/>
      <c r="N866" s="395"/>
      <c r="O866" s="395"/>
      <c r="P866" s="395"/>
      <c r="Q866" s="395"/>
      <c r="R866" s="395"/>
      <c r="S866" s="395"/>
      <c r="T866" s="395"/>
      <c r="U866" s="395"/>
      <c r="V866" s="395"/>
      <c r="W866" s="395"/>
      <c r="X866" s="395"/>
      <c r="Y866" s="395"/>
      <c r="Z866" s="395"/>
      <c r="AA866" s="395"/>
    </row>
    <row r="867">
      <c r="A867" s="384" t="s">
        <v>811</v>
      </c>
      <c r="B867" s="220">
        <v>46238.0</v>
      </c>
      <c r="C867" s="35" t="s">
        <v>51</v>
      </c>
      <c r="D867" s="386" t="s">
        <v>3180</v>
      </c>
      <c r="E867" s="387" t="s">
        <v>3181</v>
      </c>
      <c r="F867" s="388"/>
      <c r="G867" s="389" t="s">
        <v>3182</v>
      </c>
      <c r="H867" s="50" t="s">
        <v>22</v>
      </c>
      <c r="I867" s="391"/>
      <c r="J867" s="392"/>
      <c r="K867" s="385"/>
      <c r="L867" s="479"/>
      <c r="M867" s="479"/>
      <c r="N867" s="395"/>
      <c r="O867" s="395"/>
      <c r="P867" s="395"/>
      <c r="Q867" s="395"/>
      <c r="R867" s="395"/>
      <c r="S867" s="395"/>
      <c r="T867" s="395"/>
      <c r="U867" s="395"/>
      <c r="V867" s="395"/>
      <c r="W867" s="395"/>
      <c r="X867" s="395"/>
      <c r="Y867" s="395"/>
      <c r="Z867" s="395"/>
      <c r="AA867" s="395"/>
    </row>
    <row r="868">
      <c r="A868" s="230" t="s">
        <v>811</v>
      </c>
      <c r="B868" s="425">
        <v>46238.0</v>
      </c>
      <c r="C868" s="35" t="s">
        <v>51</v>
      </c>
      <c r="D868" s="210" t="s">
        <v>3183</v>
      </c>
      <c r="E868" s="11" t="s">
        <v>3184</v>
      </c>
      <c r="F868" s="455"/>
      <c r="G868" s="338" t="s">
        <v>3185</v>
      </c>
      <c r="H868" s="50"/>
      <c r="I868" s="457"/>
      <c r="J868" s="218"/>
      <c r="K868" s="220"/>
      <c r="L868" s="223"/>
      <c r="M868" s="223"/>
    </row>
    <row r="869">
      <c r="A869" s="230" t="s">
        <v>39</v>
      </c>
      <c r="B869" s="220">
        <v>46239.0</v>
      </c>
      <c r="C869" s="35" t="s">
        <v>51</v>
      </c>
      <c r="D869" s="210" t="s">
        <v>571</v>
      </c>
      <c r="E869" s="11" t="s">
        <v>3186</v>
      </c>
      <c r="F869" s="455"/>
      <c r="G869" s="338" t="s">
        <v>3187</v>
      </c>
      <c r="H869" s="50"/>
      <c r="I869" s="457" t="s">
        <v>89</v>
      </c>
      <c r="J869" s="218">
        <v>46239.0</v>
      </c>
      <c r="K869" s="220">
        <v>46241.0</v>
      </c>
      <c r="L869" s="223">
        <v>2.0</v>
      </c>
      <c r="M869" s="223"/>
    </row>
    <row r="870">
      <c r="A870" s="230" t="s">
        <v>76</v>
      </c>
      <c r="B870" s="220">
        <v>46239.0</v>
      </c>
      <c r="C870" s="35" t="s">
        <v>51</v>
      </c>
      <c r="D870" s="210" t="s">
        <v>1216</v>
      </c>
      <c r="E870" s="11" t="s">
        <v>3188</v>
      </c>
      <c r="F870" s="221"/>
      <c r="G870" s="383" t="s">
        <v>3189</v>
      </c>
      <c r="H870" s="50" t="s">
        <v>22</v>
      </c>
      <c r="I870" s="217" t="s">
        <v>89</v>
      </c>
      <c r="J870" s="218">
        <v>46239.0</v>
      </c>
      <c r="K870" s="220"/>
      <c r="L870" s="223">
        <v>2.0</v>
      </c>
      <c r="M870" s="223" t="s">
        <v>3190</v>
      </c>
    </row>
    <row r="871">
      <c r="A871" s="306" t="s">
        <v>120</v>
      </c>
      <c r="B871" s="307">
        <v>46239.0</v>
      </c>
      <c r="C871" s="496" t="s">
        <v>740</v>
      </c>
      <c r="D871" s="308" t="s">
        <v>3191</v>
      </c>
      <c r="E871" s="309" t="s">
        <v>3192</v>
      </c>
      <c r="F871" s="497"/>
      <c r="G871" s="336" t="s">
        <v>3193</v>
      </c>
      <c r="H871" s="311" t="s">
        <v>22</v>
      </c>
      <c r="I871" s="498" t="s">
        <v>89</v>
      </c>
      <c r="J871" s="313">
        <v>46247.0</v>
      </c>
      <c r="K871" s="307"/>
      <c r="L871" s="301"/>
      <c r="M871" s="301" t="s">
        <v>3194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230" t="s">
        <v>39</v>
      </c>
      <c r="B872" s="220">
        <v>46240.0</v>
      </c>
      <c r="C872" s="35" t="s">
        <v>740</v>
      </c>
      <c r="D872" s="11" t="s">
        <v>3195</v>
      </c>
      <c r="E872" s="11" t="s">
        <v>3196</v>
      </c>
      <c r="F872" s="455"/>
      <c r="G872" s="338" t="s">
        <v>3197</v>
      </c>
      <c r="H872" s="50" t="s">
        <v>22</v>
      </c>
      <c r="I872" s="457" t="s">
        <v>89</v>
      </c>
      <c r="J872" s="218">
        <v>46240.0</v>
      </c>
      <c r="K872" s="220">
        <v>46241.0</v>
      </c>
      <c r="L872" s="223">
        <v>2.0</v>
      </c>
      <c r="M872" s="223" t="s">
        <v>3198</v>
      </c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>
      <c r="A873" s="230" t="s">
        <v>811</v>
      </c>
      <c r="B873" s="220">
        <v>46240.0</v>
      </c>
      <c r="C873" s="35" t="s">
        <v>740</v>
      </c>
      <c r="D873" s="210" t="s">
        <v>3199</v>
      </c>
      <c r="E873" s="499" t="s">
        <v>3200</v>
      </c>
      <c r="F873" s="500"/>
      <c r="G873" s="501" t="s">
        <v>3201</v>
      </c>
      <c r="H873" s="50" t="s">
        <v>22</v>
      </c>
      <c r="I873" s="457" t="s">
        <v>89</v>
      </c>
      <c r="J873" s="218">
        <v>46247.0</v>
      </c>
      <c r="K873" s="220"/>
      <c r="L873" s="223"/>
      <c r="M873" s="223" t="s">
        <v>183</v>
      </c>
    </row>
    <row r="874">
      <c r="A874" s="230" t="s">
        <v>76</v>
      </c>
      <c r="B874" s="220">
        <v>46242.0</v>
      </c>
      <c r="C874" s="35" t="s">
        <v>740</v>
      </c>
      <c r="D874" s="210" t="s">
        <v>3202</v>
      </c>
      <c r="E874" s="502" t="s">
        <v>3203</v>
      </c>
      <c r="F874" s="455"/>
      <c r="G874" s="338" t="s">
        <v>3204</v>
      </c>
      <c r="H874" s="50" t="s">
        <v>22</v>
      </c>
      <c r="I874" s="457" t="s">
        <v>89</v>
      </c>
      <c r="J874" s="218">
        <v>46247.0</v>
      </c>
      <c r="K874" s="220">
        <v>46270.0</v>
      </c>
      <c r="L874" s="223">
        <v>3.0</v>
      </c>
      <c r="M874" s="223" t="s">
        <v>3205</v>
      </c>
    </row>
    <row r="875">
      <c r="A875" s="230" t="s">
        <v>811</v>
      </c>
      <c r="B875" s="220">
        <v>46242.0</v>
      </c>
      <c r="C875" s="35" t="s">
        <v>51</v>
      </c>
      <c r="D875" s="210" t="s">
        <v>3206</v>
      </c>
      <c r="E875" s="11" t="s">
        <v>3207</v>
      </c>
      <c r="F875" s="455"/>
      <c r="G875" s="503" t="s">
        <v>3208</v>
      </c>
      <c r="H875" s="50" t="s">
        <v>22</v>
      </c>
      <c r="I875" s="457" t="s">
        <v>89</v>
      </c>
      <c r="J875" s="218">
        <v>46247.0</v>
      </c>
      <c r="K875" s="220"/>
      <c r="L875" s="223"/>
      <c r="M875" s="223" t="s">
        <v>183</v>
      </c>
    </row>
    <row r="876">
      <c r="A876" s="230" t="s">
        <v>811</v>
      </c>
      <c r="B876" s="220">
        <v>46242.0</v>
      </c>
      <c r="C876" s="35" t="s">
        <v>51</v>
      </c>
      <c r="D876" s="210" t="s">
        <v>3209</v>
      </c>
      <c r="E876" s="11" t="s">
        <v>3210</v>
      </c>
      <c r="F876" s="455"/>
      <c r="G876" s="503" t="s">
        <v>3211</v>
      </c>
      <c r="H876" s="50" t="s">
        <v>22</v>
      </c>
      <c r="I876" s="457" t="s">
        <v>89</v>
      </c>
      <c r="J876" s="218">
        <v>46247.0</v>
      </c>
      <c r="K876" s="220"/>
      <c r="L876" s="223"/>
      <c r="M876" s="223" t="s">
        <v>173</v>
      </c>
    </row>
    <row r="877">
      <c r="A877" s="230" t="s">
        <v>39</v>
      </c>
      <c r="B877" s="220">
        <v>46242.0</v>
      </c>
      <c r="C877" s="35" t="s">
        <v>3212</v>
      </c>
      <c r="D877" s="210" t="s">
        <v>3213</v>
      </c>
      <c r="E877" s="11" t="s">
        <v>3214</v>
      </c>
      <c r="F877" s="455"/>
      <c r="G877" s="338"/>
      <c r="H877" s="50" t="s">
        <v>22</v>
      </c>
      <c r="I877" s="457" t="s">
        <v>89</v>
      </c>
      <c r="J877" s="218">
        <v>46242.0</v>
      </c>
      <c r="K877" s="220">
        <v>46263.0</v>
      </c>
      <c r="L877" s="223">
        <v>2.0</v>
      </c>
      <c r="M877" s="223" t="s">
        <v>3215</v>
      </c>
    </row>
    <row r="878">
      <c r="A878" s="282" t="s">
        <v>39</v>
      </c>
      <c r="B878" s="289">
        <v>46245.0</v>
      </c>
      <c r="C878" s="504" t="s">
        <v>3212</v>
      </c>
      <c r="D878" s="305" t="s">
        <v>3216</v>
      </c>
      <c r="E878" s="290" t="s">
        <v>3217</v>
      </c>
      <c r="F878" s="465"/>
      <c r="G878" s="340" t="s">
        <v>3218</v>
      </c>
      <c r="H878" s="293" t="s">
        <v>22</v>
      </c>
      <c r="I878" s="468" t="s">
        <v>89</v>
      </c>
      <c r="J878" s="295">
        <v>46245.0</v>
      </c>
      <c r="K878" s="289">
        <v>46256.0</v>
      </c>
      <c r="L878" s="288">
        <v>2.0</v>
      </c>
      <c r="M878" s="288" t="s">
        <v>3219</v>
      </c>
      <c r="N878" s="287"/>
      <c r="O878" s="287"/>
      <c r="P878" s="287"/>
      <c r="Q878" s="287"/>
      <c r="R878" s="287"/>
      <c r="S878" s="287"/>
      <c r="T878" s="287"/>
      <c r="U878" s="287"/>
      <c r="V878" s="287"/>
      <c r="W878" s="287"/>
      <c r="X878" s="287"/>
      <c r="Y878" s="287"/>
      <c r="Z878" s="287"/>
      <c r="AA878" s="287"/>
    </row>
    <row r="879">
      <c r="A879" s="230" t="s">
        <v>120</v>
      </c>
      <c r="B879" s="220">
        <v>46245.0</v>
      </c>
      <c r="C879" s="35" t="s">
        <v>3212</v>
      </c>
      <c r="D879" s="210" t="s">
        <v>3220</v>
      </c>
      <c r="E879" s="11" t="s">
        <v>3221</v>
      </c>
      <c r="F879" s="455"/>
      <c r="G879" s="338" t="s">
        <v>3222</v>
      </c>
      <c r="H879" s="50" t="s">
        <v>22</v>
      </c>
      <c r="I879" s="457" t="s">
        <v>89</v>
      </c>
      <c r="J879" s="218">
        <v>46245.0</v>
      </c>
      <c r="K879" s="220"/>
      <c r="L879" s="223"/>
      <c r="M879" s="223" t="s">
        <v>3223</v>
      </c>
    </row>
    <row r="880">
      <c r="A880" s="230" t="s">
        <v>39</v>
      </c>
      <c r="B880" s="220">
        <v>46245.0</v>
      </c>
      <c r="C880" s="35" t="s">
        <v>3212</v>
      </c>
      <c r="D880" s="210" t="s">
        <v>3224</v>
      </c>
      <c r="E880" s="11" t="s">
        <v>3225</v>
      </c>
      <c r="F880" s="455"/>
      <c r="G880" s="338"/>
      <c r="H880" s="50" t="s">
        <v>22</v>
      </c>
      <c r="I880" s="457" t="s">
        <v>89</v>
      </c>
      <c r="J880" s="218">
        <v>46245.0</v>
      </c>
      <c r="K880" s="220">
        <v>46249.0</v>
      </c>
      <c r="L880" s="223">
        <v>1.0</v>
      </c>
      <c r="M880" s="223" t="s">
        <v>3226</v>
      </c>
    </row>
    <row r="881">
      <c r="A881" s="230" t="s">
        <v>39</v>
      </c>
      <c r="B881" s="220">
        <v>46245.0</v>
      </c>
      <c r="C881" s="35" t="s">
        <v>3212</v>
      </c>
      <c r="D881" s="210" t="s">
        <v>3227</v>
      </c>
      <c r="E881" s="11" t="s">
        <v>3228</v>
      </c>
      <c r="F881" s="455"/>
      <c r="G881" s="338" t="s">
        <v>3229</v>
      </c>
      <c r="H881" s="50" t="s">
        <v>22</v>
      </c>
      <c r="I881" s="457" t="s">
        <v>89</v>
      </c>
      <c r="J881" s="218">
        <v>46246.0</v>
      </c>
      <c r="K881" s="220">
        <v>46256.0</v>
      </c>
      <c r="L881" s="223">
        <v>8.0</v>
      </c>
      <c r="M881" s="21" t="s">
        <v>3230</v>
      </c>
    </row>
    <row r="882">
      <c r="A882" s="230" t="s">
        <v>39</v>
      </c>
      <c r="B882" s="220">
        <v>46245.0</v>
      </c>
      <c r="C882" s="35" t="s">
        <v>3212</v>
      </c>
      <c r="D882" s="210" t="s">
        <v>3231</v>
      </c>
      <c r="E882" s="11" t="s">
        <v>3232</v>
      </c>
      <c r="F882" s="455"/>
      <c r="G882" s="338" t="s">
        <v>3233</v>
      </c>
      <c r="H882" s="50" t="s">
        <v>22</v>
      </c>
      <c r="I882" s="457" t="s">
        <v>89</v>
      </c>
      <c r="J882" s="218">
        <v>46245.0</v>
      </c>
      <c r="K882" s="220">
        <v>46253.0</v>
      </c>
      <c r="L882" s="223">
        <v>2.0</v>
      </c>
      <c r="M882" s="21" t="s">
        <v>3234</v>
      </c>
    </row>
    <row r="883">
      <c r="A883" s="282" t="s">
        <v>39</v>
      </c>
      <c r="B883" s="289">
        <v>46245.0</v>
      </c>
      <c r="C883" s="504" t="s">
        <v>3235</v>
      </c>
      <c r="D883" s="463" t="s">
        <v>3236</v>
      </c>
      <c r="E883" s="290" t="s">
        <v>3237</v>
      </c>
      <c r="F883" s="465"/>
      <c r="G883" s="340"/>
      <c r="H883" s="293" t="s">
        <v>22</v>
      </c>
      <c r="I883" s="468" t="s">
        <v>89</v>
      </c>
      <c r="J883" s="295">
        <v>46246.0</v>
      </c>
      <c r="K883" s="289">
        <v>46253.0</v>
      </c>
      <c r="L883" s="288">
        <v>3.0</v>
      </c>
      <c r="M883" s="288" t="s">
        <v>3238</v>
      </c>
      <c r="N883" s="287"/>
      <c r="O883" s="287"/>
      <c r="P883" s="287"/>
      <c r="Q883" s="287"/>
      <c r="R883" s="287"/>
      <c r="S883" s="287"/>
      <c r="T883" s="287"/>
      <c r="U883" s="287"/>
      <c r="V883" s="287"/>
      <c r="W883" s="287"/>
      <c r="X883" s="287"/>
      <c r="Y883" s="287"/>
      <c r="Z883" s="287"/>
      <c r="AA883" s="287"/>
    </row>
    <row r="884">
      <c r="A884" s="230" t="s">
        <v>39</v>
      </c>
      <c r="B884" s="220">
        <v>46245.0</v>
      </c>
      <c r="C884" s="35" t="s">
        <v>3235</v>
      </c>
      <c r="D884" s="210" t="s">
        <v>3239</v>
      </c>
      <c r="E884" s="11" t="s">
        <v>3240</v>
      </c>
      <c r="F884" s="455"/>
      <c r="G884" s="338"/>
      <c r="H884" s="50" t="s">
        <v>22</v>
      </c>
      <c r="I884" s="457" t="s">
        <v>89</v>
      </c>
      <c r="J884" s="218">
        <v>46247.0</v>
      </c>
      <c r="K884" s="220"/>
      <c r="L884" s="223"/>
      <c r="M884" s="223" t="s">
        <v>3241</v>
      </c>
    </row>
    <row r="885">
      <c r="A885" s="282" t="s">
        <v>39</v>
      </c>
      <c r="B885" s="289">
        <v>46245.0</v>
      </c>
      <c r="C885" s="504" t="s">
        <v>3212</v>
      </c>
      <c r="D885" s="305" t="s">
        <v>3242</v>
      </c>
      <c r="E885" s="290" t="s">
        <v>3243</v>
      </c>
      <c r="F885" s="465"/>
      <c r="G885" s="340" t="s">
        <v>3244</v>
      </c>
      <c r="H885" s="293" t="s">
        <v>22</v>
      </c>
      <c r="I885" s="468" t="s">
        <v>89</v>
      </c>
      <c r="J885" s="295">
        <v>46247.0</v>
      </c>
      <c r="K885" s="289">
        <v>46253.0</v>
      </c>
      <c r="L885" s="288">
        <v>4.0</v>
      </c>
      <c r="M885" s="288" t="s">
        <v>3245</v>
      </c>
      <c r="N885" s="287"/>
      <c r="O885" s="287"/>
      <c r="P885" s="287"/>
      <c r="Q885" s="287"/>
      <c r="R885" s="287"/>
      <c r="S885" s="287"/>
      <c r="T885" s="287"/>
      <c r="U885" s="287"/>
      <c r="V885" s="287"/>
      <c r="W885" s="287"/>
      <c r="X885" s="287"/>
      <c r="Y885" s="287"/>
      <c r="Z885" s="287"/>
      <c r="AA885" s="287"/>
    </row>
    <row r="886">
      <c r="A886" s="230" t="s">
        <v>39</v>
      </c>
      <c r="B886" s="220">
        <v>46245.0</v>
      </c>
      <c r="C886" s="35" t="s">
        <v>3212</v>
      </c>
      <c r="D886" s="210" t="s">
        <v>3246</v>
      </c>
      <c r="E886" s="11" t="s">
        <v>3247</v>
      </c>
      <c r="F886" s="455"/>
      <c r="G886" s="338"/>
      <c r="H886" s="50"/>
      <c r="I886" s="457" t="s">
        <v>89</v>
      </c>
      <c r="J886" s="218">
        <v>46247.0</v>
      </c>
      <c r="K886" s="220">
        <v>46263.0</v>
      </c>
      <c r="L886" s="223">
        <v>3.0</v>
      </c>
      <c r="M886" s="223" t="s">
        <v>3248</v>
      </c>
    </row>
    <row r="887">
      <c r="A887" s="230" t="s">
        <v>39</v>
      </c>
      <c r="B887" s="220">
        <v>46245.0</v>
      </c>
      <c r="C887" s="35" t="s">
        <v>3235</v>
      </c>
      <c r="D887" s="210" t="s">
        <v>3249</v>
      </c>
      <c r="E887" s="11" t="s">
        <v>3250</v>
      </c>
      <c r="F887" s="455"/>
      <c r="G887" s="338"/>
      <c r="H887" s="50" t="s">
        <v>22</v>
      </c>
      <c r="I887" s="457" t="s">
        <v>89</v>
      </c>
      <c r="J887" s="218">
        <v>46246.0</v>
      </c>
      <c r="K887" s="220">
        <v>46256.0</v>
      </c>
      <c r="L887" s="223">
        <v>2.0</v>
      </c>
      <c r="M887" s="223" t="s">
        <v>3251</v>
      </c>
    </row>
    <row r="888">
      <c r="A888" s="230" t="s">
        <v>76</v>
      </c>
      <c r="B888" s="220">
        <v>46246.0</v>
      </c>
      <c r="C888" s="35" t="s">
        <v>3252</v>
      </c>
      <c r="D888" s="37" t="s">
        <v>3253</v>
      </c>
      <c r="E888" s="11" t="s">
        <v>3254</v>
      </c>
      <c r="F888" s="455"/>
      <c r="G888" s="338" t="s">
        <v>3255</v>
      </c>
      <c r="H888" s="50" t="s">
        <v>22</v>
      </c>
      <c r="I888" s="457" t="s">
        <v>89</v>
      </c>
      <c r="J888" s="218">
        <v>46247.0</v>
      </c>
      <c r="K888" s="220"/>
      <c r="L888" s="223"/>
      <c r="M888" s="223" t="s">
        <v>3256</v>
      </c>
    </row>
    <row r="889">
      <c r="A889" s="230" t="s">
        <v>811</v>
      </c>
      <c r="B889" s="220">
        <v>46247.0</v>
      </c>
      <c r="C889" s="35" t="s">
        <v>51</v>
      </c>
      <c r="D889" s="210" t="s">
        <v>3257</v>
      </c>
      <c r="E889" s="11" t="s">
        <v>3258</v>
      </c>
      <c r="F889" s="455"/>
      <c r="G889" s="503" t="s">
        <v>3259</v>
      </c>
      <c r="H889" s="50" t="s">
        <v>22</v>
      </c>
      <c r="I889" s="457" t="s">
        <v>89</v>
      </c>
      <c r="J889" s="218">
        <v>46247.0</v>
      </c>
      <c r="K889" s="220"/>
      <c r="L889" s="223"/>
      <c r="M889" s="223" t="s">
        <v>183</v>
      </c>
    </row>
    <row r="890">
      <c r="A890" s="230" t="s">
        <v>39</v>
      </c>
      <c r="B890" s="220">
        <v>46242.0</v>
      </c>
      <c r="C890" s="35" t="s">
        <v>51</v>
      </c>
      <c r="D890" s="210" t="s">
        <v>3260</v>
      </c>
      <c r="E890" s="11" t="s">
        <v>3261</v>
      </c>
      <c r="F890" s="455"/>
      <c r="G890" s="505" t="s">
        <v>3262</v>
      </c>
      <c r="H890" s="50" t="s">
        <v>22</v>
      </c>
      <c r="I890" s="457" t="s">
        <v>89</v>
      </c>
      <c r="J890" s="218">
        <v>46255.0</v>
      </c>
      <c r="K890" s="220"/>
      <c r="L890" s="223"/>
      <c r="M890" s="223" t="s">
        <v>3263</v>
      </c>
    </row>
    <row r="891">
      <c r="A891" s="230" t="s">
        <v>120</v>
      </c>
      <c r="B891" s="220">
        <v>46242.0</v>
      </c>
      <c r="C891" s="35" t="s">
        <v>51</v>
      </c>
      <c r="D891" s="210" t="s">
        <v>3264</v>
      </c>
      <c r="E891" s="11" t="s">
        <v>3265</v>
      </c>
      <c r="F891" s="455"/>
      <c r="G891" s="505" t="s">
        <v>3266</v>
      </c>
      <c r="H891" s="50" t="s">
        <v>22</v>
      </c>
      <c r="I891" s="457" t="s">
        <v>89</v>
      </c>
      <c r="J891" s="218">
        <v>46255.0</v>
      </c>
      <c r="K891" s="220"/>
      <c r="L891" s="223"/>
      <c r="M891" s="223" t="s">
        <v>3267</v>
      </c>
    </row>
    <row r="892">
      <c r="A892" s="230" t="s">
        <v>811</v>
      </c>
      <c r="B892" s="220">
        <v>46247.0</v>
      </c>
      <c r="C892" s="35" t="s">
        <v>51</v>
      </c>
      <c r="D892" s="210" t="s">
        <v>3268</v>
      </c>
      <c r="E892" s="11" t="s">
        <v>3269</v>
      </c>
      <c r="F892" s="455"/>
      <c r="G892" s="505" t="s">
        <v>2409</v>
      </c>
      <c r="H892" s="50" t="s">
        <v>22</v>
      </c>
      <c r="I892" s="457" t="s">
        <v>89</v>
      </c>
      <c r="J892" s="218">
        <v>46255.0</v>
      </c>
      <c r="K892" s="220"/>
      <c r="L892" s="223"/>
      <c r="M892" s="223" t="s">
        <v>183</v>
      </c>
    </row>
    <row r="893">
      <c r="A893" s="230" t="s">
        <v>39</v>
      </c>
      <c r="B893" s="220">
        <v>46242.0</v>
      </c>
      <c r="C893" s="35" t="s">
        <v>51</v>
      </c>
      <c r="D893" s="210" t="s">
        <v>3270</v>
      </c>
      <c r="E893" s="11" t="s">
        <v>3271</v>
      </c>
      <c r="F893" s="455"/>
      <c r="G893" s="338" t="s">
        <v>3272</v>
      </c>
      <c r="H893" s="50" t="s">
        <v>22</v>
      </c>
      <c r="I893" s="457" t="s">
        <v>89</v>
      </c>
      <c r="J893" s="218">
        <v>46255.0</v>
      </c>
      <c r="K893" s="220"/>
      <c r="L893" s="223"/>
      <c r="M893" s="223" t="s">
        <v>3273</v>
      </c>
    </row>
    <row r="894">
      <c r="A894" s="230" t="s">
        <v>39</v>
      </c>
      <c r="B894" s="220">
        <v>46242.0</v>
      </c>
      <c r="C894" s="35" t="s">
        <v>51</v>
      </c>
      <c r="D894" s="210" t="s">
        <v>3274</v>
      </c>
      <c r="E894" s="11" t="s">
        <v>3275</v>
      </c>
      <c r="F894" s="455"/>
      <c r="G894" s="338" t="s">
        <v>2604</v>
      </c>
      <c r="H894" s="50" t="s">
        <v>22</v>
      </c>
      <c r="I894" s="457" t="s">
        <v>89</v>
      </c>
      <c r="J894" s="218">
        <v>46255.0</v>
      </c>
      <c r="K894" s="220"/>
      <c r="L894" s="223"/>
      <c r="M894" s="223" t="s">
        <v>3276</v>
      </c>
    </row>
    <row r="895">
      <c r="A895" s="230" t="s">
        <v>120</v>
      </c>
      <c r="B895" s="220">
        <v>46242.0</v>
      </c>
      <c r="C895" s="35" t="s">
        <v>51</v>
      </c>
      <c r="D895" s="210" t="s">
        <v>186</v>
      </c>
      <c r="E895" s="11" t="s">
        <v>188</v>
      </c>
      <c r="F895" s="455"/>
      <c r="G895" s="338" t="s">
        <v>3277</v>
      </c>
      <c r="H895" s="50" t="s">
        <v>22</v>
      </c>
      <c r="I895" s="457" t="s">
        <v>89</v>
      </c>
      <c r="J895" s="218">
        <v>46255.0</v>
      </c>
      <c r="K895" s="220"/>
      <c r="L895" s="223"/>
      <c r="M895" s="223" t="s">
        <v>3278</v>
      </c>
    </row>
    <row r="896">
      <c r="A896" s="230" t="s">
        <v>811</v>
      </c>
      <c r="B896" s="220">
        <v>46247.0</v>
      </c>
      <c r="C896" s="35" t="s">
        <v>51</v>
      </c>
      <c r="D896" s="210" t="s">
        <v>3279</v>
      </c>
      <c r="E896" s="11" t="s">
        <v>3280</v>
      </c>
      <c r="F896" s="455"/>
      <c r="G896" s="338" t="s">
        <v>3281</v>
      </c>
      <c r="H896" s="50" t="s">
        <v>22</v>
      </c>
      <c r="I896" s="457" t="s">
        <v>89</v>
      </c>
      <c r="J896" s="218">
        <v>46255.0</v>
      </c>
      <c r="K896" s="220"/>
      <c r="L896" s="223"/>
      <c r="M896" s="223" t="s">
        <v>183</v>
      </c>
    </row>
    <row r="897">
      <c r="A897" s="230" t="s">
        <v>39</v>
      </c>
      <c r="B897" s="220">
        <v>46247.0</v>
      </c>
      <c r="C897" s="491" t="s">
        <v>51</v>
      </c>
      <c r="D897" s="210" t="s">
        <v>3282</v>
      </c>
      <c r="E897" s="11" t="s">
        <v>3283</v>
      </c>
      <c r="F897" s="492"/>
      <c r="G897" s="337" t="s">
        <v>2709</v>
      </c>
      <c r="H897" s="50" t="s">
        <v>22</v>
      </c>
      <c r="I897" s="493" t="s">
        <v>89</v>
      </c>
      <c r="J897" s="218">
        <v>46255.0</v>
      </c>
      <c r="K897" s="220">
        <v>46274.0</v>
      </c>
      <c r="L897" s="223">
        <v>1.0</v>
      </c>
      <c r="M897" s="223" t="s">
        <v>3284</v>
      </c>
    </row>
    <row r="898">
      <c r="A898" s="230" t="s">
        <v>39</v>
      </c>
      <c r="B898" s="220">
        <v>46247.0</v>
      </c>
      <c r="C898" s="35" t="s">
        <v>51</v>
      </c>
      <c r="D898" s="210" t="s">
        <v>3285</v>
      </c>
      <c r="E898" s="11" t="s">
        <v>3286</v>
      </c>
      <c r="F898" s="455"/>
      <c r="G898" s="338" t="s">
        <v>2709</v>
      </c>
      <c r="H898" s="50" t="s">
        <v>22</v>
      </c>
      <c r="I898" s="457" t="s">
        <v>89</v>
      </c>
      <c r="J898" s="218">
        <v>46255.0</v>
      </c>
      <c r="K898" s="223" t="s">
        <v>2414</v>
      </c>
      <c r="L898" s="223" t="s">
        <v>2414</v>
      </c>
      <c r="M898" s="223" t="s">
        <v>3287</v>
      </c>
    </row>
    <row r="899">
      <c r="A899" s="306" t="s">
        <v>120</v>
      </c>
      <c r="B899" s="307">
        <v>46247.0</v>
      </c>
      <c r="C899" s="496" t="s">
        <v>51</v>
      </c>
      <c r="D899" s="308" t="s">
        <v>3288</v>
      </c>
      <c r="E899" s="309" t="s">
        <v>3289</v>
      </c>
      <c r="F899" s="497"/>
      <c r="G899" s="336" t="s">
        <v>3290</v>
      </c>
      <c r="H899" s="311" t="s">
        <v>22</v>
      </c>
      <c r="I899" s="498" t="s">
        <v>89</v>
      </c>
      <c r="J899" s="313">
        <v>46255.0</v>
      </c>
      <c r="K899" s="307"/>
      <c r="L899" s="301"/>
      <c r="M899" s="301" t="s">
        <v>3291</v>
      </c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230" t="s">
        <v>120</v>
      </c>
      <c r="B900" s="220">
        <v>46247.0</v>
      </c>
      <c r="C900" s="35" t="s">
        <v>51</v>
      </c>
      <c r="D900" s="210" t="s">
        <v>3292</v>
      </c>
      <c r="E900" s="11" t="s">
        <v>3293</v>
      </c>
      <c r="F900" s="455"/>
      <c r="G900" s="338" t="s">
        <v>2458</v>
      </c>
      <c r="H900" s="50" t="s">
        <v>22</v>
      </c>
      <c r="I900" s="457" t="s">
        <v>89</v>
      </c>
      <c r="J900" s="218">
        <v>46255.0</v>
      </c>
      <c r="K900" s="220"/>
      <c r="L900" s="223"/>
      <c r="M900" s="223" t="s">
        <v>3294</v>
      </c>
    </row>
    <row r="901">
      <c r="A901" s="282" t="s">
        <v>39</v>
      </c>
      <c r="B901" s="289">
        <v>46247.0</v>
      </c>
      <c r="C901" s="504" t="s">
        <v>51</v>
      </c>
      <c r="D901" s="305" t="s">
        <v>3295</v>
      </c>
      <c r="E901" s="290" t="s">
        <v>3296</v>
      </c>
      <c r="F901" s="465"/>
      <c r="G901" s="340" t="s">
        <v>3297</v>
      </c>
      <c r="H901" s="293" t="s">
        <v>22</v>
      </c>
      <c r="I901" s="468" t="s">
        <v>89</v>
      </c>
      <c r="J901" s="295">
        <v>46255.0</v>
      </c>
      <c r="K901" s="289">
        <v>46274.0</v>
      </c>
      <c r="L901" s="288">
        <v>1.0</v>
      </c>
      <c r="M901" s="288" t="s">
        <v>3298</v>
      </c>
      <c r="N901" s="287"/>
      <c r="O901" s="287"/>
      <c r="P901" s="287"/>
      <c r="Q901" s="287"/>
      <c r="R901" s="287"/>
      <c r="S901" s="287"/>
      <c r="T901" s="287"/>
      <c r="U901" s="287"/>
      <c r="V901" s="287"/>
      <c r="W901" s="287"/>
      <c r="X901" s="287"/>
      <c r="Y901" s="287"/>
      <c r="Z901" s="287"/>
      <c r="AA901" s="287"/>
    </row>
    <row r="902">
      <c r="A902" s="230" t="s">
        <v>811</v>
      </c>
      <c r="B902" s="220">
        <v>46247.0</v>
      </c>
      <c r="C902" s="35" t="s">
        <v>51</v>
      </c>
      <c r="D902" s="210" t="s">
        <v>3299</v>
      </c>
      <c r="E902" s="11" t="s">
        <v>3300</v>
      </c>
      <c r="F902" s="455"/>
      <c r="G902" s="506" t="s">
        <v>3133</v>
      </c>
      <c r="H902" s="50" t="s">
        <v>22</v>
      </c>
      <c r="I902" s="457" t="s">
        <v>89</v>
      </c>
      <c r="J902" s="218">
        <v>46249.0</v>
      </c>
      <c r="K902" s="220"/>
      <c r="L902" s="223"/>
      <c r="M902" s="223" t="s">
        <v>183</v>
      </c>
    </row>
    <row r="903">
      <c r="A903" s="230" t="s">
        <v>120</v>
      </c>
      <c r="B903" s="220">
        <v>46247.0</v>
      </c>
      <c r="C903" s="35" t="s">
        <v>51</v>
      </c>
      <c r="D903" s="210" t="s">
        <v>3301</v>
      </c>
      <c r="E903" s="11" t="s">
        <v>3302</v>
      </c>
      <c r="F903" s="455"/>
      <c r="G903" s="417" t="s">
        <v>2838</v>
      </c>
      <c r="H903" s="50" t="s">
        <v>22</v>
      </c>
      <c r="I903" s="457" t="s">
        <v>89</v>
      </c>
      <c r="J903" s="218">
        <v>46249.0</v>
      </c>
      <c r="K903" s="220"/>
      <c r="L903" s="223"/>
      <c r="M903" s="223" t="s">
        <v>3303</v>
      </c>
    </row>
    <row r="904">
      <c r="A904" s="230" t="s">
        <v>811</v>
      </c>
      <c r="B904" s="220">
        <v>46247.0</v>
      </c>
      <c r="C904" s="35" t="s">
        <v>51</v>
      </c>
      <c r="D904" s="210" t="s">
        <v>3304</v>
      </c>
      <c r="E904" s="11" t="s">
        <v>3305</v>
      </c>
      <c r="F904" s="455"/>
      <c r="G904" s="507" t="s">
        <v>3306</v>
      </c>
      <c r="H904" s="50" t="s">
        <v>22</v>
      </c>
      <c r="I904" s="457" t="s">
        <v>89</v>
      </c>
      <c r="J904" s="218">
        <v>46249.0</v>
      </c>
      <c r="K904" s="220"/>
      <c r="L904" s="223"/>
      <c r="M904" s="223" t="s">
        <v>183</v>
      </c>
    </row>
    <row r="905">
      <c r="A905" s="31" t="s">
        <v>39</v>
      </c>
      <c r="B905" s="220">
        <v>46099.0</v>
      </c>
      <c r="C905" s="35" t="s">
        <v>51</v>
      </c>
      <c r="D905" s="9" t="s">
        <v>3307</v>
      </c>
      <c r="E905" s="11" t="s">
        <v>3308</v>
      </c>
      <c r="F905" s="221" t="s">
        <v>83</v>
      </c>
      <c r="G905" s="192" t="s">
        <v>3309</v>
      </c>
      <c r="H905" s="50" t="s">
        <v>22</v>
      </c>
      <c r="I905" s="217" t="s">
        <v>83</v>
      </c>
      <c r="J905" s="218">
        <v>46099.0</v>
      </c>
      <c r="K905" s="220"/>
      <c r="L905" s="223"/>
      <c r="M905" s="172" t="s">
        <v>3310</v>
      </c>
    </row>
    <row r="906">
      <c r="A906" s="230" t="s">
        <v>811</v>
      </c>
      <c r="B906" s="220">
        <v>46248.0</v>
      </c>
      <c r="C906" s="35" t="s">
        <v>3212</v>
      </c>
      <c r="D906" s="210" t="s">
        <v>3311</v>
      </c>
      <c r="E906" s="11" t="s">
        <v>3305</v>
      </c>
      <c r="F906" s="455"/>
      <c r="G906" s="338" t="s">
        <v>3312</v>
      </c>
      <c r="H906" s="50" t="s">
        <v>22</v>
      </c>
      <c r="I906" s="457" t="s">
        <v>89</v>
      </c>
      <c r="J906" s="218">
        <v>46249.0</v>
      </c>
      <c r="K906" s="220"/>
      <c r="L906" s="223"/>
      <c r="M906" s="223" t="s">
        <v>183</v>
      </c>
    </row>
    <row r="907">
      <c r="A907" s="230" t="s">
        <v>811</v>
      </c>
      <c r="B907" s="220">
        <v>46248.0</v>
      </c>
      <c r="C907" s="35" t="s">
        <v>3252</v>
      </c>
      <c r="D907" s="210" t="s">
        <v>3313</v>
      </c>
      <c r="E907" s="11" t="s">
        <v>3314</v>
      </c>
      <c r="F907" s="455"/>
      <c r="G907" s="338" t="s">
        <v>3315</v>
      </c>
      <c r="H907" s="50"/>
      <c r="I907" s="457" t="s">
        <v>89</v>
      </c>
      <c r="J907" s="218">
        <v>46249.0</v>
      </c>
      <c r="K907" s="220"/>
      <c r="L907" s="223"/>
      <c r="M907" s="223" t="s">
        <v>183</v>
      </c>
    </row>
    <row r="908">
      <c r="A908" s="230" t="s">
        <v>120</v>
      </c>
      <c r="B908" s="220">
        <v>46248.0</v>
      </c>
      <c r="C908" s="35" t="s">
        <v>3212</v>
      </c>
      <c r="D908" s="210" t="s">
        <v>3316</v>
      </c>
      <c r="E908" s="11" t="s">
        <v>3317</v>
      </c>
      <c r="F908" s="455"/>
      <c r="G908" s="338"/>
      <c r="H908" s="50"/>
      <c r="I908" s="457" t="s">
        <v>89</v>
      </c>
      <c r="J908" s="218">
        <v>46249.0</v>
      </c>
      <c r="K908" s="220"/>
      <c r="L908" s="223"/>
      <c r="M908" s="223" t="s">
        <v>3318</v>
      </c>
    </row>
    <row r="909">
      <c r="A909" s="230" t="s">
        <v>76</v>
      </c>
      <c r="B909" s="220">
        <v>46252.0</v>
      </c>
      <c r="C909" s="35" t="s">
        <v>3235</v>
      </c>
      <c r="D909" s="210" t="s">
        <v>3319</v>
      </c>
      <c r="E909" s="11" t="s">
        <v>3320</v>
      </c>
      <c r="F909" s="455"/>
      <c r="G909" s="338"/>
      <c r="H909" s="50"/>
      <c r="I909" s="457" t="s">
        <v>89</v>
      </c>
      <c r="J909" s="218">
        <v>46254.0</v>
      </c>
      <c r="K909" s="220"/>
      <c r="L909" s="223"/>
      <c r="M909" s="223" t="s">
        <v>3321</v>
      </c>
    </row>
    <row r="910">
      <c r="A910" s="230" t="s">
        <v>39</v>
      </c>
      <c r="B910" s="220">
        <v>46252.0</v>
      </c>
      <c r="C910" s="35" t="s">
        <v>3212</v>
      </c>
      <c r="D910" s="210" t="s">
        <v>3322</v>
      </c>
      <c r="E910" s="11" t="s">
        <v>3323</v>
      </c>
      <c r="F910" s="455"/>
      <c r="G910" s="338"/>
      <c r="H910" s="50"/>
      <c r="I910" s="457" t="s">
        <v>89</v>
      </c>
      <c r="J910" s="218">
        <v>46255.0</v>
      </c>
      <c r="K910" s="220"/>
      <c r="L910" s="223"/>
      <c r="M910" s="223" t="s">
        <v>3324</v>
      </c>
    </row>
    <row r="911">
      <c r="A911" s="230" t="s">
        <v>39</v>
      </c>
      <c r="B911" s="220">
        <v>46212.0</v>
      </c>
      <c r="C911" s="491" t="s">
        <v>51</v>
      </c>
      <c r="D911" s="210" t="s">
        <v>3325</v>
      </c>
      <c r="E911" s="508" t="s">
        <v>3326</v>
      </c>
      <c r="F911" s="238"/>
      <c r="G911" s="337" t="s">
        <v>3327</v>
      </c>
      <c r="H911" s="50"/>
      <c r="I911" s="281" t="s">
        <v>89</v>
      </c>
      <c r="J911" s="218">
        <v>46222.0</v>
      </c>
      <c r="K911" s="220">
        <v>46277.0</v>
      </c>
      <c r="L911" s="223">
        <v>2.0</v>
      </c>
      <c r="M911" s="223" t="s">
        <v>3328</v>
      </c>
    </row>
    <row r="912">
      <c r="A912" s="230" t="s">
        <v>76</v>
      </c>
      <c r="B912" s="220">
        <v>46242.0</v>
      </c>
      <c r="C912" s="491" t="s">
        <v>3252</v>
      </c>
      <c r="D912" s="210" t="s">
        <v>3329</v>
      </c>
      <c r="E912" s="11" t="s">
        <v>3330</v>
      </c>
      <c r="F912" s="492"/>
      <c r="G912" s="337" t="s">
        <v>3331</v>
      </c>
      <c r="H912" s="50" t="s">
        <v>22</v>
      </c>
      <c r="I912" s="493" t="s">
        <v>89</v>
      </c>
      <c r="J912" s="218">
        <v>46247.0</v>
      </c>
      <c r="K912" s="220"/>
      <c r="L912" s="223"/>
      <c r="M912" s="223" t="s">
        <v>3332</v>
      </c>
    </row>
    <row r="913">
      <c r="A913" s="230" t="s">
        <v>39</v>
      </c>
      <c r="B913" s="220">
        <v>46252.0</v>
      </c>
      <c r="C913" s="35" t="s">
        <v>621</v>
      </c>
      <c r="D913" s="210" t="s">
        <v>3333</v>
      </c>
      <c r="E913" s="11" t="s">
        <v>3334</v>
      </c>
      <c r="F913" s="455"/>
      <c r="G913" s="338" t="s">
        <v>3335</v>
      </c>
      <c r="H913" s="50"/>
      <c r="I913" s="457" t="s">
        <v>89</v>
      </c>
      <c r="J913" s="218">
        <v>46252.0</v>
      </c>
      <c r="K913" s="220"/>
      <c r="L913" s="223"/>
      <c r="M913" s="223" t="s">
        <v>3336</v>
      </c>
    </row>
    <row r="914">
      <c r="A914" s="230" t="s">
        <v>76</v>
      </c>
      <c r="B914" s="220">
        <v>46252.0</v>
      </c>
      <c r="C914" s="35" t="s">
        <v>3212</v>
      </c>
      <c r="D914" s="210" t="s">
        <v>3337</v>
      </c>
      <c r="E914" s="11" t="s">
        <v>3338</v>
      </c>
      <c r="F914" s="455"/>
      <c r="G914" s="338" t="s">
        <v>3339</v>
      </c>
      <c r="H914" s="50"/>
      <c r="I914" s="457" t="s">
        <v>89</v>
      </c>
      <c r="J914" s="218">
        <v>46252.0</v>
      </c>
      <c r="K914" s="220"/>
      <c r="L914" s="223"/>
      <c r="M914" s="223" t="s">
        <v>3340</v>
      </c>
    </row>
    <row r="915">
      <c r="A915" s="230" t="s">
        <v>39</v>
      </c>
      <c r="B915" s="220">
        <v>46255.0</v>
      </c>
      <c r="C915" s="35" t="s">
        <v>3212</v>
      </c>
      <c r="D915" s="210" t="s">
        <v>3341</v>
      </c>
      <c r="E915" s="11" t="s">
        <v>3342</v>
      </c>
      <c r="F915" s="455"/>
      <c r="G915" s="338" t="s">
        <v>3343</v>
      </c>
      <c r="H915" s="50" t="s">
        <v>22</v>
      </c>
      <c r="I915" s="457" t="s">
        <v>89</v>
      </c>
      <c r="J915" s="218">
        <v>46255.0</v>
      </c>
      <c r="K915" s="220"/>
      <c r="L915" s="223"/>
      <c r="M915" s="223" t="s">
        <v>173</v>
      </c>
    </row>
    <row r="916">
      <c r="A916" s="230" t="s">
        <v>39</v>
      </c>
      <c r="B916" s="220">
        <v>46255.0</v>
      </c>
      <c r="C916" s="491" t="s">
        <v>51</v>
      </c>
      <c r="D916" s="509" t="s">
        <v>3344</v>
      </c>
      <c r="E916" s="510" t="s">
        <v>3345</v>
      </c>
      <c r="F916" s="492"/>
      <c r="G916" s="511" t="s">
        <v>3346</v>
      </c>
      <c r="H916" s="50" t="s">
        <v>22</v>
      </c>
      <c r="I916" s="493" t="s">
        <v>89</v>
      </c>
      <c r="J916" s="218">
        <v>46255.0</v>
      </c>
      <c r="K916" s="220"/>
      <c r="L916" s="223"/>
      <c r="M916" s="223" t="s">
        <v>3347</v>
      </c>
    </row>
    <row r="917">
      <c r="A917" s="230" t="s">
        <v>1014</v>
      </c>
      <c r="B917" s="220">
        <v>46255.0</v>
      </c>
      <c r="C917" s="35" t="s">
        <v>51</v>
      </c>
      <c r="D917" s="509" t="s">
        <v>3348</v>
      </c>
      <c r="E917" s="510" t="s">
        <v>3349</v>
      </c>
      <c r="F917" s="455"/>
      <c r="G917" s="511" t="s">
        <v>3350</v>
      </c>
      <c r="H917" s="50" t="s">
        <v>22</v>
      </c>
      <c r="I917" s="457" t="s">
        <v>89</v>
      </c>
      <c r="J917" s="218">
        <v>46255.0</v>
      </c>
      <c r="K917" s="223" t="s">
        <v>2414</v>
      </c>
      <c r="L917" s="223" t="s">
        <v>2414</v>
      </c>
      <c r="M917" s="223" t="s">
        <v>3351</v>
      </c>
    </row>
    <row r="918">
      <c r="A918" s="230" t="s">
        <v>76</v>
      </c>
      <c r="B918" s="220">
        <v>46255.0</v>
      </c>
      <c r="C918" s="35" t="s">
        <v>51</v>
      </c>
      <c r="D918" s="509" t="s">
        <v>3352</v>
      </c>
      <c r="E918" s="510" t="s">
        <v>3353</v>
      </c>
      <c r="F918" s="455"/>
      <c r="G918" s="511" t="s">
        <v>3354</v>
      </c>
      <c r="H918" s="50" t="s">
        <v>22</v>
      </c>
      <c r="I918" s="457" t="s">
        <v>89</v>
      </c>
      <c r="J918" s="218">
        <v>46255.0</v>
      </c>
      <c r="K918" s="220"/>
      <c r="L918" s="223">
        <v>2.0</v>
      </c>
      <c r="M918" s="223" t="s">
        <v>3355</v>
      </c>
    </row>
    <row r="919">
      <c r="A919" s="230" t="s">
        <v>120</v>
      </c>
      <c r="B919" s="220">
        <v>46255.0</v>
      </c>
      <c r="C919" s="35" t="s">
        <v>51</v>
      </c>
      <c r="D919" s="509" t="s">
        <v>3356</v>
      </c>
      <c r="E919" s="510" t="s">
        <v>3357</v>
      </c>
      <c r="F919" s="455"/>
      <c r="G919" s="511" t="s">
        <v>3358</v>
      </c>
      <c r="H919" s="50" t="s">
        <v>22</v>
      </c>
      <c r="I919" s="457" t="s">
        <v>89</v>
      </c>
      <c r="J919" s="218">
        <v>46255.0</v>
      </c>
      <c r="K919" s="220"/>
      <c r="L919" s="223"/>
      <c r="M919" s="223" t="s">
        <v>3359</v>
      </c>
    </row>
    <row r="920">
      <c r="A920" s="512" t="s">
        <v>811</v>
      </c>
      <c r="B920" s="513">
        <v>46255.0</v>
      </c>
      <c r="C920" s="514" t="s">
        <v>51</v>
      </c>
      <c r="D920" s="515" t="s">
        <v>3360</v>
      </c>
      <c r="E920" s="516" t="s">
        <v>3361</v>
      </c>
      <c r="F920" s="517"/>
      <c r="G920" s="518" t="s">
        <v>3362</v>
      </c>
      <c r="H920" s="519" t="s">
        <v>22</v>
      </c>
      <c r="I920" s="520" t="s">
        <v>89</v>
      </c>
      <c r="J920" s="521">
        <v>46256.0</v>
      </c>
      <c r="K920" s="513"/>
      <c r="L920" s="522"/>
      <c r="M920" s="522" t="s">
        <v>183</v>
      </c>
      <c r="N920" s="523"/>
      <c r="O920" s="523"/>
      <c r="P920" s="523"/>
      <c r="Q920" s="523"/>
      <c r="R920" s="523"/>
      <c r="S920" s="523"/>
      <c r="T920" s="523"/>
      <c r="U920" s="523"/>
      <c r="V920" s="523"/>
      <c r="W920" s="523"/>
      <c r="X920" s="523"/>
      <c r="Y920" s="523"/>
      <c r="Z920" s="523"/>
      <c r="AA920" s="523"/>
    </row>
    <row r="921">
      <c r="A921" s="230" t="s">
        <v>120</v>
      </c>
      <c r="B921" s="220">
        <v>46255.0</v>
      </c>
      <c r="C921" s="491" t="s">
        <v>51</v>
      </c>
      <c r="D921" s="509" t="s">
        <v>3363</v>
      </c>
      <c r="E921" s="510" t="s">
        <v>3364</v>
      </c>
      <c r="F921" s="492"/>
      <c r="G921" s="511" t="s">
        <v>3365</v>
      </c>
      <c r="H921" s="50" t="s">
        <v>22</v>
      </c>
      <c r="I921" s="493" t="s">
        <v>89</v>
      </c>
      <c r="J921" s="218">
        <v>46256.0</v>
      </c>
      <c r="K921" s="220"/>
      <c r="L921" s="223"/>
      <c r="M921" s="223" t="s">
        <v>3366</v>
      </c>
    </row>
    <row r="922">
      <c r="A922" s="230" t="s">
        <v>120</v>
      </c>
      <c r="B922" s="220">
        <v>46255.0</v>
      </c>
      <c r="C922" s="491" t="s">
        <v>51</v>
      </c>
      <c r="D922" s="509" t="s">
        <v>3213</v>
      </c>
      <c r="E922" s="510" t="s">
        <v>3367</v>
      </c>
      <c r="F922" s="492"/>
      <c r="G922" s="511" t="s">
        <v>3368</v>
      </c>
      <c r="H922" s="50" t="s">
        <v>22</v>
      </c>
      <c r="I922" s="493" t="s">
        <v>89</v>
      </c>
      <c r="J922" s="218">
        <v>46256.0</v>
      </c>
      <c r="K922" s="220"/>
      <c r="L922" s="223"/>
      <c r="M922" s="223" t="s">
        <v>3369</v>
      </c>
    </row>
    <row r="923">
      <c r="A923" s="230" t="s">
        <v>39</v>
      </c>
      <c r="B923" s="220">
        <v>46255.0</v>
      </c>
      <c r="C923" s="491" t="s">
        <v>51</v>
      </c>
      <c r="D923" s="509" t="s">
        <v>3370</v>
      </c>
      <c r="E923" s="510" t="s">
        <v>3371</v>
      </c>
      <c r="F923" s="492"/>
      <c r="G923" s="511" t="s">
        <v>3372</v>
      </c>
      <c r="H923" s="50" t="s">
        <v>22</v>
      </c>
      <c r="I923" s="493" t="s">
        <v>89</v>
      </c>
      <c r="J923" s="218">
        <v>46256.0</v>
      </c>
      <c r="K923" s="223" t="s">
        <v>2414</v>
      </c>
      <c r="L923" s="223" t="s">
        <v>2414</v>
      </c>
      <c r="M923" s="223" t="s">
        <v>3373</v>
      </c>
    </row>
    <row r="924">
      <c r="A924" s="230" t="s">
        <v>39</v>
      </c>
      <c r="B924" s="220">
        <v>46255.0</v>
      </c>
      <c r="C924" s="491" t="s">
        <v>51</v>
      </c>
      <c r="D924" s="524" t="s">
        <v>3374</v>
      </c>
      <c r="E924" s="510" t="s">
        <v>3375</v>
      </c>
      <c r="F924" s="492"/>
      <c r="G924" s="511" t="s">
        <v>3376</v>
      </c>
      <c r="H924" s="50" t="s">
        <v>22</v>
      </c>
      <c r="I924" s="493" t="s">
        <v>89</v>
      </c>
      <c r="J924" s="218">
        <v>46263.0</v>
      </c>
      <c r="K924" s="220">
        <v>46277.0</v>
      </c>
      <c r="L924" s="223">
        <v>2.0</v>
      </c>
      <c r="M924" s="192" t="s">
        <v>3377</v>
      </c>
    </row>
    <row r="925">
      <c r="A925" s="230" t="s">
        <v>811</v>
      </c>
      <c r="B925" s="220">
        <v>46255.0</v>
      </c>
      <c r="C925" s="491" t="s">
        <v>51</v>
      </c>
      <c r="D925" s="509" t="s">
        <v>3378</v>
      </c>
      <c r="E925" s="510" t="s">
        <v>3379</v>
      </c>
      <c r="F925" s="492"/>
      <c r="G925" s="511" t="s">
        <v>3380</v>
      </c>
      <c r="H925" s="50" t="s">
        <v>22</v>
      </c>
      <c r="I925" s="493" t="s">
        <v>89</v>
      </c>
      <c r="J925" s="218">
        <v>46256.0</v>
      </c>
      <c r="K925" s="220"/>
      <c r="L925" s="223"/>
      <c r="M925" s="223" t="s">
        <v>183</v>
      </c>
    </row>
    <row r="926">
      <c r="A926" s="230" t="s">
        <v>39</v>
      </c>
      <c r="B926" s="220">
        <v>46259.0</v>
      </c>
      <c r="C926" s="491" t="s">
        <v>3235</v>
      </c>
      <c r="D926" s="210" t="s">
        <v>3381</v>
      </c>
      <c r="E926" s="11" t="s">
        <v>3382</v>
      </c>
      <c r="F926" s="525" t="s">
        <v>89</v>
      </c>
      <c r="G926" s="337" t="s">
        <v>3383</v>
      </c>
      <c r="H926" s="50"/>
      <c r="I926" s="493" t="s">
        <v>89</v>
      </c>
      <c r="J926" s="218">
        <v>46259.0</v>
      </c>
      <c r="K926" s="220">
        <v>46277.0</v>
      </c>
      <c r="L926" s="223">
        <v>4.0</v>
      </c>
      <c r="M926" s="192" t="s">
        <v>3384</v>
      </c>
    </row>
    <row r="927">
      <c r="A927" s="230" t="s">
        <v>39</v>
      </c>
      <c r="B927" s="220">
        <v>46259.0</v>
      </c>
      <c r="C927" s="35" t="s">
        <v>621</v>
      </c>
      <c r="D927" s="210" t="s">
        <v>3385</v>
      </c>
      <c r="E927" s="11" t="s">
        <v>3386</v>
      </c>
      <c r="F927" s="455"/>
      <c r="G927" s="338" t="s">
        <v>3387</v>
      </c>
      <c r="H927" s="50"/>
      <c r="I927" s="457" t="s">
        <v>89</v>
      </c>
      <c r="J927" s="218">
        <v>46262.0</v>
      </c>
      <c r="K927" s="220"/>
      <c r="L927" s="223"/>
      <c r="M927" s="223" t="s">
        <v>3081</v>
      </c>
    </row>
    <row r="928">
      <c r="A928" s="230" t="s">
        <v>76</v>
      </c>
      <c r="B928" s="220">
        <v>46259.0</v>
      </c>
      <c r="C928" s="35" t="s">
        <v>3212</v>
      </c>
      <c r="D928" s="210" t="s">
        <v>3388</v>
      </c>
      <c r="E928" s="11" t="s">
        <v>3389</v>
      </c>
      <c r="F928" s="455"/>
      <c r="G928" s="338" t="s">
        <v>3390</v>
      </c>
      <c r="H928" s="50"/>
      <c r="I928" s="457" t="s">
        <v>89</v>
      </c>
      <c r="J928" s="218">
        <v>46259.0</v>
      </c>
      <c r="K928" s="220"/>
      <c r="L928" s="223"/>
      <c r="M928" s="223" t="s">
        <v>3391</v>
      </c>
    </row>
    <row r="929">
      <c r="A929" s="230" t="s">
        <v>76</v>
      </c>
      <c r="B929" s="220">
        <v>46259.0</v>
      </c>
      <c r="C929" s="35" t="s">
        <v>3212</v>
      </c>
      <c r="D929" s="210" t="s">
        <v>3392</v>
      </c>
      <c r="E929" s="11" t="s">
        <v>3393</v>
      </c>
      <c r="F929" s="455"/>
      <c r="G929" s="338" t="s">
        <v>3394</v>
      </c>
      <c r="H929" s="50"/>
      <c r="I929" s="457" t="s">
        <v>89</v>
      </c>
      <c r="J929" s="218">
        <v>46259.0</v>
      </c>
      <c r="K929" s="220"/>
      <c r="L929" s="223"/>
      <c r="M929" s="223" t="s">
        <v>3395</v>
      </c>
    </row>
    <row r="930">
      <c r="A930" s="230" t="s">
        <v>39</v>
      </c>
      <c r="B930" s="220">
        <v>46259.0</v>
      </c>
      <c r="C930" s="35" t="s">
        <v>3212</v>
      </c>
      <c r="D930" s="210" t="s">
        <v>3341</v>
      </c>
      <c r="E930" s="11" t="s">
        <v>3396</v>
      </c>
      <c r="F930" s="455"/>
      <c r="G930" s="338" t="s">
        <v>3397</v>
      </c>
      <c r="H930" s="50"/>
      <c r="I930" s="457" t="s">
        <v>89</v>
      </c>
      <c r="J930" s="218">
        <v>46259.0</v>
      </c>
      <c r="K930" s="220"/>
      <c r="L930" s="223"/>
      <c r="M930" s="223" t="s">
        <v>3398</v>
      </c>
    </row>
    <row r="931">
      <c r="A931" s="230" t="s">
        <v>76</v>
      </c>
      <c r="B931" s="220">
        <v>46259.0</v>
      </c>
      <c r="C931" s="35" t="s">
        <v>3212</v>
      </c>
      <c r="D931" s="210" t="s">
        <v>1704</v>
      </c>
      <c r="E931" s="11" t="s">
        <v>3399</v>
      </c>
      <c r="F931" s="455"/>
      <c r="G931" s="338" t="s">
        <v>3400</v>
      </c>
      <c r="H931" s="50"/>
      <c r="I931" s="457" t="s">
        <v>89</v>
      </c>
      <c r="J931" s="218">
        <v>46259.0</v>
      </c>
      <c r="K931" s="220"/>
      <c r="L931" s="223"/>
      <c r="M931" s="223" t="s">
        <v>3401</v>
      </c>
    </row>
    <row r="932">
      <c r="A932" s="230" t="s">
        <v>39</v>
      </c>
      <c r="B932" s="220">
        <v>46259.0</v>
      </c>
      <c r="C932" s="35" t="s">
        <v>3212</v>
      </c>
      <c r="D932" s="210" t="s">
        <v>3402</v>
      </c>
      <c r="E932" s="11" t="s">
        <v>3403</v>
      </c>
      <c r="F932" s="455"/>
      <c r="G932" s="338" t="s">
        <v>3404</v>
      </c>
      <c r="H932" s="50"/>
      <c r="I932" s="457" t="s">
        <v>89</v>
      </c>
      <c r="J932" s="218">
        <v>46259.0</v>
      </c>
      <c r="K932" s="220"/>
      <c r="L932" s="223"/>
      <c r="M932" s="223" t="s">
        <v>3405</v>
      </c>
    </row>
    <row r="933">
      <c r="A933" s="230" t="s">
        <v>120</v>
      </c>
      <c r="B933" s="220">
        <v>46259.0</v>
      </c>
      <c r="C933" s="491" t="s">
        <v>51</v>
      </c>
      <c r="D933" s="509" t="s">
        <v>3406</v>
      </c>
      <c r="E933" s="526" t="s">
        <v>3407</v>
      </c>
      <c r="F933" s="492"/>
      <c r="G933" s="337" t="s">
        <v>3408</v>
      </c>
      <c r="H933" s="50" t="s">
        <v>22</v>
      </c>
      <c r="I933" s="493" t="s">
        <v>89</v>
      </c>
      <c r="J933" s="218">
        <v>46259.0</v>
      </c>
      <c r="K933" s="220"/>
      <c r="L933" s="223"/>
      <c r="M933" s="223" t="s">
        <v>3409</v>
      </c>
    </row>
    <row r="934">
      <c r="A934" s="230" t="s">
        <v>120</v>
      </c>
      <c r="B934" s="220">
        <v>46255.0</v>
      </c>
      <c r="C934" s="491" t="s">
        <v>51</v>
      </c>
      <c r="D934" s="509" t="s">
        <v>3410</v>
      </c>
      <c r="E934" s="510" t="s">
        <v>3411</v>
      </c>
      <c r="F934" s="492"/>
      <c r="G934" s="511" t="s">
        <v>3412</v>
      </c>
      <c r="H934" s="50" t="s">
        <v>22</v>
      </c>
      <c r="I934" s="493" t="s">
        <v>89</v>
      </c>
      <c r="J934" s="218">
        <v>46262.0</v>
      </c>
      <c r="K934" s="220"/>
      <c r="L934" s="223"/>
      <c r="M934" s="223" t="s">
        <v>183</v>
      </c>
    </row>
    <row r="935">
      <c r="A935" s="230" t="s">
        <v>811</v>
      </c>
      <c r="B935" s="220">
        <v>46255.0</v>
      </c>
      <c r="C935" s="491" t="s">
        <v>51</v>
      </c>
      <c r="D935" s="509" t="s">
        <v>2071</v>
      </c>
      <c r="E935" s="510" t="s">
        <v>2072</v>
      </c>
      <c r="F935" s="492"/>
      <c r="G935" s="511" t="s">
        <v>3413</v>
      </c>
      <c r="H935" s="50" t="s">
        <v>22</v>
      </c>
      <c r="I935" s="493" t="s">
        <v>89</v>
      </c>
      <c r="J935" s="218">
        <v>46261.0</v>
      </c>
      <c r="K935" s="220"/>
      <c r="L935" s="223"/>
      <c r="M935" s="223" t="s">
        <v>173</v>
      </c>
    </row>
    <row r="936">
      <c r="A936" s="230" t="s">
        <v>811</v>
      </c>
      <c r="B936" s="220">
        <v>46255.0</v>
      </c>
      <c r="C936" s="35" t="s">
        <v>51</v>
      </c>
      <c r="D936" s="509" t="s">
        <v>3414</v>
      </c>
      <c r="E936" s="510" t="s">
        <v>3415</v>
      </c>
      <c r="F936" s="455"/>
      <c r="G936" s="511" t="s">
        <v>3416</v>
      </c>
      <c r="H936" s="50" t="s">
        <v>22</v>
      </c>
      <c r="I936" s="457" t="s">
        <v>89</v>
      </c>
      <c r="J936" s="218">
        <v>46260.0</v>
      </c>
      <c r="K936" s="220"/>
      <c r="L936" s="223"/>
      <c r="M936" s="223" t="s">
        <v>183</v>
      </c>
    </row>
    <row r="937">
      <c r="A937" s="230" t="s">
        <v>120</v>
      </c>
      <c r="B937" s="220">
        <v>46255.0</v>
      </c>
      <c r="C937" s="35" t="s">
        <v>51</v>
      </c>
      <c r="D937" s="509" t="s">
        <v>3417</v>
      </c>
      <c r="E937" s="510" t="s">
        <v>3418</v>
      </c>
      <c r="F937" s="455"/>
      <c r="G937" s="511" t="s">
        <v>3419</v>
      </c>
      <c r="H937" s="50" t="s">
        <v>22</v>
      </c>
      <c r="I937" s="457" t="s">
        <v>89</v>
      </c>
      <c r="J937" s="218">
        <v>46260.0</v>
      </c>
      <c r="K937" s="220"/>
      <c r="L937" s="223"/>
      <c r="M937" s="223" t="s">
        <v>3420</v>
      </c>
    </row>
    <row r="938">
      <c r="A938" s="230" t="s">
        <v>76</v>
      </c>
      <c r="B938" s="220">
        <v>46255.0</v>
      </c>
      <c r="C938" s="35" t="s">
        <v>51</v>
      </c>
      <c r="D938" s="509" t="s">
        <v>3076</v>
      </c>
      <c r="E938" s="510" t="s">
        <v>3421</v>
      </c>
      <c r="F938" s="455"/>
      <c r="G938" s="511" t="s">
        <v>3422</v>
      </c>
      <c r="H938" s="50" t="s">
        <v>22</v>
      </c>
      <c r="I938" s="457" t="s">
        <v>89</v>
      </c>
      <c r="J938" s="218">
        <v>46260.0</v>
      </c>
      <c r="K938" s="220"/>
      <c r="L938" s="223"/>
      <c r="M938" s="223" t="s">
        <v>3423</v>
      </c>
    </row>
    <row r="939">
      <c r="A939" s="230" t="s">
        <v>811</v>
      </c>
      <c r="B939" s="220">
        <v>46259.0</v>
      </c>
      <c r="C939" s="491" t="s">
        <v>51</v>
      </c>
      <c r="D939" s="509" t="s">
        <v>3424</v>
      </c>
      <c r="E939" s="526" t="s">
        <v>3425</v>
      </c>
      <c r="F939" s="492"/>
      <c r="G939" s="337" t="s">
        <v>3426</v>
      </c>
      <c r="H939" s="50" t="s">
        <v>22</v>
      </c>
      <c r="I939" s="493" t="s">
        <v>89</v>
      </c>
      <c r="J939" s="218">
        <v>46261.0</v>
      </c>
      <c r="K939" s="220"/>
      <c r="L939" s="223"/>
      <c r="M939" s="223" t="s">
        <v>183</v>
      </c>
    </row>
    <row r="940">
      <c r="A940" s="527" t="s">
        <v>76</v>
      </c>
      <c r="B940" s="528">
        <v>46259.0</v>
      </c>
      <c r="C940" s="529" t="s">
        <v>51</v>
      </c>
      <c r="D940" s="530" t="s">
        <v>774</v>
      </c>
      <c r="E940" s="531" t="s">
        <v>3427</v>
      </c>
      <c r="F940" s="532"/>
      <c r="G940" s="505" t="s">
        <v>3428</v>
      </c>
      <c r="H940" s="533" t="s">
        <v>22</v>
      </c>
      <c r="I940" s="534" t="s">
        <v>89</v>
      </c>
      <c r="J940" s="535">
        <v>46261.0</v>
      </c>
      <c r="K940" s="528"/>
      <c r="L940" s="536"/>
      <c r="M940" s="536" t="s">
        <v>3429</v>
      </c>
      <c r="N940" s="537"/>
      <c r="O940" s="537"/>
      <c r="P940" s="537"/>
      <c r="Q940" s="537"/>
      <c r="R940" s="537"/>
      <c r="S940" s="537"/>
      <c r="T940" s="537"/>
      <c r="U940" s="537"/>
      <c r="V940" s="537"/>
      <c r="W940" s="537"/>
      <c r="X940" s="537"/>
      <c r="Y940" s="537"/>
      <c r="Z940" s="537"/>
      <c r="AA940" s="537"/>
    </row>
    <row r="941">
      <c r="A941" s="306" t="s">
        <v>120</v>
      </c>
      <c r="B941" s="307">
        <v>46259.0</v>
      </c>
      <c r="C941" s="496" t="s">
        <v>51</v>
      </c>
      <c r="D941" s="538" t="s">
        <v>279</v>
      </c>
      <c r="E941" s="539" t="s">
        <v>3430</v>
      </c>
      <c r="F941" s="497"/>
      <c r="G941" s="336" t="s">
        <v>3431</v>
      </c>
      <c r="H941" s="311" t="s">
        <v>22</v>
      </c>
      <c r="I941" s="498" t="s">
        <v>89</v>
      </c>
      <c r="J941" s="313">
        <v>46261.0</v>
      </c>
      <c r="K941" s="307"/>
      <c r="L941" s="301"/>
      <c r="M941" s="301" t="s">
        <v>3432</v>
      </c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230" t="s">
        <v>120</v>
      </c>
      <c r="B942" s="220">
        <v>46259.0</v>
      </c>
      <c r="C942" s="491" t="s">
        <v>51</v>
      </c>
      <c r="D942" s="509" t="s">
        <v>3433</v>
      </c>
      <c r="E942" s="526" t="s">
        <v>3434</v>
      </c>
      <c r="F942" s="540"/>
      <c r="G942" s="541" t="s">
        <v>3435</v>
      </c>
      <c r="H942" s="50" t="s">
        <v>22</v>
      </c>
      <c r="I942" s="542" t="s">
        <v>89</v>
      </c>
      <c r="J942" s="119">
        <v>46262.0</v>
      </c>
      <c r="K942" s="231"/>
      <c r="L942" s="21"/>
      <c r="M942" s="21" t="s">
        <v>183</v>
      </c>
    </row>
    <row r="943">
      <c r="A943" s="230" t="s">
        <v>120</v>
      </c>
      <c r="B943" s="220">
        <v>46259.0</v>
      </c>
      <c r="C943" s="35" t="s">
        <v>51</v>
      </c>
      <c r="D943" s="509" t="s">
        <v>3436</v>
      </c>
      <c r="E943" s="526" t="s">
        <v>3437</v>
      </c>
      <c r="F943" s="543"/>
      <c r="G943" s="330" t="s">
        <v>3438</v>
      </c>
      <c r="H943" s="50" t="s">
        <v>22</v>
      </c>
      <c r="I943" s="544" t="s">
        <v>89</v>
      </c>
      <c r="J943" s="119">
        <v>46262.0</v>
      </c>
      <c r="K943" s="231"/>
      <c r="L943" s="21"/>
      <c r="M943" s="21" t="s">
        <v>183</v>
      </c>
    </row>
    <row r="944">
      <c r="A944" s="230" t="s">
        <v>76</v>
      </c>
      <c r="B944" s="220">
        <v>46259.0</v>
      </c>
      <c r="C944" s="491" t="s">
        <v>51</v>
      </c>
      <c r="D944" s="509" t="s">
        <v>3439</v>
      </c>
      <c r="E944" s="526" t="s">
        <v>3440</v>
      </c>
      <c r="F944" s="540"/>
      <c r="G944" s="541" t="s">
        <v>3441</v>
      </c>
      <c r="H944" s="50" t="s">
        <v>22</v>
      </c>
      <c r="I944" s="542" t="s">
        <v>89</v>
      </c>
      <c r="J944" s="119">
        <v>46262.0</v>
      </c>
      <c r="K944" s="231"/>
      <c r="L944" s="545">
        <v>46024.0</v>
      </c>
      <c r="M944" s="21" t="s">
        <v>3442</v>
      </c>
    </row>
    <row r="945">
      <c r="A945" s="230" t="s">
        <v>120</v>
      </c>
      <c r="B945" s="220">
        <v>46259.0</v>
      </c>
      <c r="C945" s="35" t="s">
        <v>51</v>
      </c>
      <c r="D945" s="509" t="s">
        <v>3443</v>
      </c>
      <c r="E945" s="526" t="s">
        <v>3444</v>
      </c>
      <c r="F945" s="543"/>
      <c r="G945" s="330" t="s">
        <v>3445</v>
      </c>
      <c r="H945" s="50" t="s">
        <v>22</v>
      </c>
      <c r="I945" s="544" t="s">
        <v>89</v>
      </c>
      <c r="J945" s="119">
        <v>46262.0</v>
      </c>
      <c r="K945" s="231"/>
      <c r="L945" s="21"/>
      <c r="M945" s="21" t="s">
        <v>183</v>
      </c>
    </row>
    <row r="946">
      <c r="A946" s="230" t="s">
        <v>39</v>
      </c>
      <c r="B946" s="220">
        <v>46259.0</v>
      </c>
      <c r="C946" s="491" t="s">
        <v>51</v>
      </c>
      <c r="D946" s="546" t="s">
        <v>3446</v>
      </c>
      <c r="E946" s="232" t="s">
        <v>3447</v>
      </c>
      <c r="F946" s="540"/>
      <c r="G946" s="541" t="s">
        <v>3448</v>
      </c>
      <c r="H946" s="50" t="s">
        <v>22</v>
      </c>
      <c r="I946" s="542" t="s">
        <v>527</v>
      </c>
      <c r="J946" s="119">
        <v>46261.0</v>
      </c>
      <c r="K946" s="231"/>
      <c r="L946" s="21"/>
      <c r="M946" s="21" t="s">
        <v>3449</v>
      </c>
    </row>
    <row r="947">
      <c r="A947" s="230" t="s">
        <v>120</v>
      </c>
      <c r="B947" s="220">
        <v>46259.0</v>
      </c>
      <c r="C947" s="491" t="s">
        <v>51</v>
      </c>
      <c r="D947" s="509" t="s">
        <v>3450</v>
      </c>
      <c r="E947" s="526" t="s">
        <v>3451</v>
      </c>
      <c r="F947" s="540"/>
      <c r="G947" s="541" t="s">
        <v>3452</v>
      </c>
      <c r="H947" s="50" t="s">
        <v>22</v>
      </c>
      <c r="I947" s="542" t="s">
        <v>89</v>
      </c>
      <c r="J947" s="119">
        <v>46261.0</v>
      </c>
      <c r="K947" s="231"/>
      <c r="L947" s="21"/>
      <c r="M947" s="21" t="s">
        <v>3453</v>
      </c>
    </row>
    <row r="948">
      <c r="A948" s="230" t="s">
        <v>39</v>
      </c>
      <c r="B948" s="231">
        <v>46260.0</v>
      </c>
      <c r="C948" s="547" t="s">
        <v>3252</v>
      </c>
      <c r="D948" s="546" t="s">
        <v>3454</v>
      </c>
      <c r="E948" s="232" t="s">
        <v>3455</v>
      </c>
      <c r="F948" s="543"/>
      <c r="G948" s="330" t="s">
        <v>3456</v>
      </c>
      <c r="H948" s="235"/>
      <c r="I948" s="544" t="s">
        <v>89</v>
      </c>
      <c r="J948" s="119">
        <v>46260.0</v>
      </c>
      <c r="K948" s="231">
        <v>46283.0</v>
      </c>
      <c r="L948" s="21">
        <v>2.0</v>
      </c>
      <c r="M948" s="21" t="s">
        <v>3457</v>
      </c>
    </row>
    <row r="949">
      <c r="A949" s="230" t="s">
        <v>39</v>
      </c>
      <c r="B949" s="231">
        <v>46260.0</v>
      </c>
      <c r="C949" s="548" t="s">
        <v>3235</v>
      </c>
      <c r="D949" s="546" t="s">
        <v>3458</v>
      </c>
      <c r="E949" s="232" t="s">
        <v>3459</v>
      </c>
      <c r="F949" s="540"/>
      <c r="G949" s="541"/>
      <c r="H949" s="235"/>
      <c r="I949" s="542" t="s">
        <v>89</v>
      </c>
      <c r="J949" s="119">
        <v>46260.0</v>
      </c>
      <c r="K949" s="231">
        <v>46277.0</v>
      </c>
      <c r="L949" s="21">
        <v>4.0</v>
      </c>
      <c r="M949" s="21" t="s">
        <v>3460</v>
      </c>
    </row>
    <row r="950">
      <c r="A950" s="230" t="s">
        <v>811</v>
      </c>
      <c r="B950" s="231">
        <v>46260.0</v>
      </c>
      <c r="C950" s="548" t="s">
        <v>3212</v>
      </c>
      <c r="D950" s="546" t="s">
        <v>3239</v>
      </c>
      <c r="E950" s="232" t="s">
        <v>2534</v>
      </c>
      <c r="F950" s="540"/>
      <c r="G950" s="541" t="s">
        <v>3461</v>
      </c>
      <c r="H950" s="235"/>
      <c r="I950" s="542" t="s">
        <v>89</v>
      </c>
      <c r="J950" s="119">
        <v>46261.0</v>
      </c>
      <c r="K950" s="231"/>
      <c r="L950" s="21"/>
      <c r="M950" s="21" t="s">
        <v>173</v>
      </c>
    </row>
    <row r="951">
      <c r="A951" s="230" t="s">
        <v>811</v>
      </c>
      <c r="B951" s="231">
        <v>46261.0</v>
      </c>
      <c r="C951" s="547" t="s">
        <v>51</v>
      </c>
      <c r="D951" s="509" t="s">
        <v>3462</v>
      </c>
      <c r="E951" s="526" t="s">
        <v>3463</v>
      </c>
      <c r="F951" s="543"/>
      <c r="G951" s="330" t="s">
        <v>3464</v>
      </c>
      <c r="H951" s="235" t="s">
        <v>22</v>
      </c>
      <c r="I951" s="544" t="s">
        <v>89</v>
      </c>
      <c r="J951" s="119">
        <v>46261.0</v>
      </c>
      <c r="K951" s="231"/>
      <c r="L951" s="21"/>
      <c r="M951" s="21" t="s">
        <v>183</v>
      </c>
    </row>
    <row r="952">
      <c r="A952" s="230" t="s">
        <v>39</v>
      </c>
      <c r="B952" s="231">
        <v>46261.0</v>
      </c>
      <c r="C952" s="548" t="s">
        <v>51</v>
      </c>
      <c r="D952" s="509" t="s">
        <v>3465</v>
      </c>
      <c r="E952" s="526" t="s">
        <v>3466</v>
      </c>
      <c r="F952" s="540"/>
      <c r="G952" s="541" t="s">
        <v>3464</v>
      </c>
      <c r="H952" s="235" t="s">
        <v>22</v>
      </c>
      <c r="I952" s="542" t="s">
        <v>89</v>
      </c>
      <c r="J952" s="119">
        <v>46261.0</v>
      </c>
      <c r="K952" s="231">
        <v>46274.0</v>
      </c>
      <c r="L952" s="21">
        <v>2.0</v>
      </c>
      <c r="M952" s="21" t="s">
        <v>3467</v>
      </c>
    </row>
    <row r="953">
      <c r="A953" s="230" t="s">
        <v>811</v>
      </c>
      <c r="B953" s="231">
        <v>46261.0</v>
      </c>
      <c r="C953" s="547" t="s">
        <v>51</v>
      </c>
      <c r="D953" s="509" t="s">
        <v>3468</v>
      </c>
      <c r="E953" s="526" t="s">
        <v>3469</v>
      </c>
      <c r="F953" s="543"/>
      <c r="G953" s="330" t="s">
        <v>3470</v>
      </c>
      <c r="H953" s="235" t="s">
        <v>22</v>
      </c>
      <c r="I953" s="544" t="s">
        <v>89</v>
      </c>
      <c r="J953" s="119">
        <v>46261.0</v>
      </c>
      <c r="K953" s="231"/>
      <c r="L953" s="21"/>
      <c r="M953" s="21" t="s">
        <v>183</v>
      </c>
    </row>
    <row r="954">
      <c r="A954" s="282" t="s">
        <v>76</v>
      </c>
      <c r="B954" s="549">
        <v>46261.0</v>
      </c>
      <c r="C954" s="550" t="s">
        <v>3471</v>
      </c>
      <c r="D954" s="551" t="s">
        <v>3472</v>
      </c>
      <c r="E954" s="552" t="s">
        <v>3473</v>
      </c>
      <c r="F954" s="553"/>
      <c r="G954" s="554"/>
      <c r="H954" s="555"/>
      <c r="I954" s="556" t="s">
        <v>89</v>
      </c>
      <c r="J954" s="557">
        <v>46261.0</v>
      </c>
      <c r="K954" s="549"/>
      <c r="L954" s="463">
        <v>2.0</v>
      </c>
      <c r="M954" s="463" t="s">
        <v>3474</v>
      </c>
      <c r="N954" s="287"/>
      <c r="O954" s="287"/>
      <c r="P954" s="287"/>
      <c r="Q954" s="287"/>
      <c r="R954" s="287"/>
      <c r="S954" s="287"/>
      <c r="T954" s="287"/>
      <c r="U954" s="287"/>
      <c r="V954" s="287"/>
      <c r="W954" s="287"/>
      <c r="X954" s="287"/>
      <c r="Y954" s="287"/>
      <c r="Z954" s="287"/>
      <c r="AA954" s="287"/>
    </row>
    <row r="955">
      <c r="A955" s="230" t="s">
        <v>811</v>
      </c>
      <c r="B955" s="231">
        <v>46261.0</v>
      </c>
      <c r="C955" s="547" t="s">
        <v>3471</v>
      </c>
      <c r="D955" s="546" t="s">
        <v>3475</v>
      </c>
      <c r="E955" s="232" t="s">
        <v>3425</v>
      </c>
      <c r="F955" s="543"/>
      <c r="G955" s="330" t="s">
        <v>3476</v>
      </c>
      <c r="H955" s="235"/>
      <c r="I955" s="544" t="s">
        <v>89</v>
      </c>
      <c r="J955" s="119">
        <v>46261.0</v>
      </c>
      <c r="K955" s="231"/>
      <c r="L955" s="21"/>
      <c r="M955" s="21" t="s">
        <v>183</v>
      </c>
    </row>
    <row r="956">
      <c r="A956" s="230" t="s">
        <v>76</v>
      </c>
      <c r="B956" s="231">
        <v>46261.0</v>
      </c>
      <c r="C956" s="547" t="s">
        <v>3252</v>
      </c>
      <c r="D956" s="546" t="s">
        <v>96</v>
      </c>
      <c r="E956" s="232" t="s">
        <v>3477</v>
      </c>
      <c r="F956" s="543"/>
      <c r="G956" s="330" t="s">
        <v>3478</v>
      </c>
      <c r="H956" s="235" t="s">
        <v>22</v>
      </c>
      <c r="I956" s="544" t="s">
        <v>89</v>
      </c>
      <c r="J956" s="119">
        <v>46261.0</v>
      </c>
      <c r="K956" s="231"/>
      <c r="L956" s="21">
        <v>2.0</v>
      </c>
      <c r="M956" s="21" t="s">
        <v>3479</v>
      </c>
    </row>
    <row r="957">
      <c r="A957" s="230" t="s">
        <v>39</v>
      </c>
      <c r="B957" s="231">
        <v>46262.0</v>
      </c>
      <c r="C957" s="547" t="s">
        <v>3212</v>
      </c>
      <c r="D957" s="546" t="s">
        <v>3480</v>
      </c>
      <c r="E957" s="232" t="s">
        <v>3481</v>
      </c>
      <c r="F957" s="543"/>
      <c r="G957" s="330" t="s">
        <v>3482</v>
      </c>
      <c r="H957" s="235"/>
      <c r="I957" s="544" t="s">
        <v>89</v>
      </c>
      <c r="J957" s="119">
        <v>46262.0</v>
      </c>
      <c r="K957" s="231">
        <v>46283.0</v>
      </c>
      <c r="L957" s="21">
        <v>2.0</v>
      </c>
      <c r="M957" s="21" t="s">
        <v>3483</v>
      </c>
    </row>
    <row r="958">
      <c r="A958" s="230" t="s">
        <v>39</v>
      </c>
      <c r="B958" s="231">
        <v>46262.0</v>
      </c>
      <c r="C958" s="547" t="s">
        <v>3252</v>
      </c>
      <c r="D958" s="546" t="s">
        <v>3484</v>
      </c>
      <c r="E958" s="232" t="s">
        <v>3485</v>
      </c>
      <c r="F958" s="543"/>
      <c r="G958" s="330" t="s">
        <v>3486</v>
      </c>
      <c r="H958" s="235"/>
      <c r="I958" s="544" t="s">
        <v>89</v>
      </c>
      <c r="J958" s="119">
        <v>46262.0</v>
      </c>
      <c r="K958" s="231">
        <v>46304.0</v>
      </c>
      <c r="L958" s="21">
        <v>2.0</v>
      </c>
      <c r="M958" s="37" t="s">
        <v>3487</v>
      </c>
    </row>
    <row r="959">
      <c r="A959" s="230" t="s">
        <v>39</v>
      </c>
      <c r="B959" s="231">
        <v>46262.0</v>
      </c>
      <c r="C959" s="547" t="s">
        <v>740</v>
      </c>
      <c r="D959" s="546" t="s">
        <v>3488</v>
      </c>
      <c r="E959" s="232" t="s">
        <v>3418</v>
      </c>
      <c r="F959" s="543"/>
      <c r="G959" s="330" t="s">
        <v>3489</v>
      </c>
      <c r="H959" s="235"/>
      <c r="I959" s="544" t="s">
        <v>89</v>
      </c>
      <c r="J959" s="119">
        <v>46263.0</v>
      </c>
      <c r="K959" s="231"/>
      <c r="L959" s="21"/>
      <c r="M959" s="21" t="s">
        <v>173</v>
      </c>
    </row>
    <row r="960">
      <c r="A960" s="230" t="s">
        <v>120</v>
      </c>
      <c r="B960" s="231">
        <v>46262.0</v>
      </c>
      <c r="C960" s="547" t="s">
        <v>51</v>
      </c>
      <c r="D960" s="509" t="s">
        <v>3490</v>
      </c>
      <c r="E960" s="526" t="s">
        <v>3491</v>
      </c>
      <c r="F960" s="543"/>
      <c r="G960" s="330" t="s">
        <v>3492</v>
      </c>
      <c r="H960" s="235" t="s">
        <v>22</v>
      </c>
      <c r="I960" s="544" t="s">
        <v>89</v>
      </c>
      <c r="J960" s="119">
        <v>46262.0</v>
      </c>
      <c r="K960" s="231"/>
      <c r="L960" s="21"/>
      <c r="M960" s="21" t="s">
        <v>3493</v>
      </c>
    </row>
    <row r="961">
      <c r="A961" s="230" t="s">
        <v>811</v>
      </c>
      <c r="B961" s="231">
        <v>46262.0</v>
      </c>
      <c r="C961" s="547" t="s">
        <v>51</v>
      </c>
      <c r="D961" s="509" t="s">
        <v>3494</v>
      </c>
      <c r="E961" s="526" t="s">
        <v>3495</v>
      </c>
      <c r="F961" s="543"/>
      <c r="G961" s="330" t="s">
        <v>3496</v>
      </c>
      <c r="H961" s="235" t="s">
        <v>22</v>
      </c>
      <c r="I961" s="544" t="s">
        <v>89</v>
      </c>
      <c r="J961" s="119">
        <v>46262.0</v>
      </c>
      <c r="K961" s="231"/>
      <c r="L961" s="21"/>
      <c r="M961" s="21" t="s">
        <v>183</v>
      </c>
    </row>
    <row r="962">
      <c r="A962" s="230" t="s">
        <v>811</v>
      </c>
      <c r="B962" s="231">
        <v>46262.0</v>
      </c>
      <c r="C962" s="547" t="s">
        <v>3235</v>
      </c>
      <c r="D962" s="546" t="s">
        <v>3497</v>
      </c>
      <c r="E962" s="232" t="s">
        <v>3498</v>
      </c>
      <c r="F962" s="543"/>
      <c r="G962" s="330" t="s">
        <v>3499</v>
      </c>
      <c r="H962" s="235" t="s">
        <v>22</v>
      </c>
      <c r="I962" s="544"/>
      <c r="J962" s="119"/>
      <c r="K962" s="231"/>
      <c r="L962" s="21"/>
      <c r="M962" s="21"/>
    </row>
    <row r="963">
      <c r="A963" s="558" t="s">
        <v>120</v>
      </c>
      <c r="B963" s="559">
        <v>46262.0</v>
      </c>
      <c r="C963" s="560" t="s">
        <v>51</v>
      </c>
      <c r="D963" s="561" t="s">
        <v>3500</v>
      </c>
      <c r="E963" s="562" t="s">
        <v>3501</v>
      </c>
      <c r="F963" s="563"/>
      <c r="G963" s="564" t="s">
        <v>3502</v>
      </c>
      <c r="H963" s="235" t="s">
        <v>22</v>
      </c>
      <c r="I963" s="565" t="s">
        <v>89</v>
      </c>
      <c r="J963" s="566">
        <v>46263.0</v>
      </c>
      <c r="K963" s="559"/>
      <c r="L963" s="567"/>
      <c r="M963" s="21" t="s">
        <v>3420</v>
      </c>
      <c r="N963" s="568"/>
      <c r="O963" s="568"/>
      <c r="P963" s="568"/>
      <c r="Q963" s="568"/>
      <c r="R963" s="568"/>
      <c r="S963" s="568"/>
      <c r="T963" s="568"/>
      <c r="U963" s="568"/>
      <c r="V963" s="568"/>
      <c r="W963" s="568"/>
      <c r="X963" s="568"/>
      <c r="Y963" s="568"/>
      <c r="Z963" s="568"/>
      <c r="AA963" s="568"/>
    </row>
    <row r="964" ht="76.5" customHeight="1">
      <c r="A964" s="31" t="s">
        <v>39</v>
      </c>
      <c r="B964" s="220">
        <v>46084.0</v>
      </c>
      <c r="C964" s="491" t="s">
        <v>51</v>
      </c>
      <c r="D964" s="9" t="s">
        <v>3503</v>
      </c>
      <c r="E964" s="247" t="s">
        <v>3504</v>
      </c>
      <c r="F964" s="238" t="s">
        <v>89</v>
      </c>
      <c r="G964" s="31" t="s">
        <v>3505</v>
      </c>
      <c r="H964" s="50" t="s">
        <v>22</v>
      </c>
      <c r="I964" s="281" t="s">
        <v>83</v>
      </c>
      <c r="J964" s="218">
        <v>46084.0</v>
      </c>
      <c r="K964" s="219"/>
      <c r="L964" s="219"/>
      <c r="M964" s="172" t="s">
        <v>3506</v>
      </c>
    </row>
    <row r="965">
      <c r="A965" s="558" t="s">
        <v>811</v>
      </c>
      <c r="B965" s="559">
        <v>46261.0</v>
      </c>
      <c r="C965" s="560" t="s">
        <v>51</v>
      </c>
      <c r="D965" s="561" t="s">
        <v>3507</v>
      </c>
      <c r="E965" s="562" t="s">
        <v>3508</v>
      </c>
      <c r="F965" s="563"/>
      <c r="G965" s="564" t="s">
        <v>3509</v>
      </c>
      <c r="H965" s="569" t="s">
        <v>22</v>
      </c>
      <c r="I965" s="565" t="s">
        <v>89</v>
      </c>
      <c r="J965" s="566">
        <v>46263.0</v>
      </c>
      <c r="K965" s="559"/>
      <c r="L965" s="567"/>
      <c r="M965" s="567" t="s">
        <v>183</v>
      </c>
      <c r="N965" s="568"/>
      <c r="O965" s="568"/>
      <c r="P965" s="568"/>
      <c r="Q965" s="568"/>
      <c r="R965" s="568"/>
      <c r="S965" s="568"/>
      <c r="T965" s="568"/>
      <c r="U965" s="568"/>
      <c r="V965" s="568"/>
      <c r="W965" s="568"/>
      <c r="X965" s="568"/>
      <c r="Y965" s="568"/>
      <c r="Z965" s="568"/>
      <c r="AA965" s="568"/>
    </row>
    <row r="966">
      <c r="A966" s="230" t="s">
        <v>39</v>
      </c>
      <c r="B966" s="231">
        <v>46262.0</v>
      </c>
      <c r="C966" s="547" t="s">
        <v>51</v>
      </c>
      <c r="D966" s="509" t="s">
        <v>3510</v>
      </c>
      <c r="E966" s="526" t="s">
        <v>3511</v>
      </c>
      <c r="F966" s="543"/>
      <c r="G966" s="330" t="s">
        <v>3512</v>
      </c>
      <c r="H966" s="235" t="s">
        <v>22</v>
      </c>
      <c r="I966" s="544" t="s">
        <v>89</v>
      </c>
      <c r="J966" s="119">
        <v>46263.0</v>
      </c>
      <c r="K966" s="21" t="s">
        <v>2414</v>
      </c>
      <c r="L966" s="21" t="s">
        <v>2414</v>
      </c>
      <c r="M966" s="21" t="s">
        <v>2543</v>
      </c>
    </row>
    <row r="967">
      <c r="A967" s="230" t="s">
        <v>76</v>
      </c>
      <c r="B967" s="231">
        <v>46262.0</v>
      </c>
      <c r="C967" s="547" t="s">
        <v>3212</v>
      </c>
      <c r="D967" s="546" t="s">
        <v>3513</v>
      </c>
      <c r="E967" s="232" t="s">
        <v>3514</v>
      </c>
      <c r="F967" s="543"/>
      <c r="G967" s="330"/>
      <c r="H967" s="235"/>
      <c r="I967" s="544" t="s">
        <v>89</v>
      </c>
      <c r="J967" s="119">
        <v>46262.0</v>
      </c>
      <c r="K967" s="231"/>
      <c r="L967" s="21">
        <v>3.0</v>
      </c>
      <c r="M967" s="21" t="s">
        <v>3515</v>
      </c>
    </row>
    <row r="968">
      <c r="A968" s="230" t="s">
        <v>120</v>
      </c>
      <c r="B968" s="231">
        <v>46266.0</v>
      </c>
      <c r="C968" s="548" t="s">
        <v>3212</v>
      </c>
      <c r="D968" s="546" t="s">
        <v>3148</v>
      </c>
      <c r="E968" s="232" t="s">
        <v>3149</v>
      </c>
      <c r="F968" s="540"/>
      <c r="G968" s="541" t="s">
        <v>3516</v>
      </c>
      <c r="H968" s="235"/>
      <c r="I968" s="542"/>
      <c r="J968" s="119"/>
      <c r="K968" s="231"/>
      <c r="L968" s="21"/>
      <c r="M968" s="21" t="s">
        <v>3517</v>
      </c>
    </row>
    <row r="969">
      <c r="A969" s="570" t="s">
        <v>120</v>
      </c>
      <c r="B969" s="571">
        <v>46266.0</v>
      </c>
      <c r="C969" s="572" t="s">
        <v>3212</v>
      </c>
      <c r="D969" s="573" t="s">
        <v>3518</v>
      </c>
      <c r="E969" s="574" t="s">
        <v>3519</v>
      </c>
      <c r="F969" s="575"/>
      <c r="G969" s="576" t="s">
        <v>3520</v>
      </c>
      <c r="H969" s="577"/>
      <c r="I969" s="578" t="s">
        <v>89</v>
      </c>
      <c r="J969" s="579">
        <v>46266.0</v>
      </c>
      <c r="K969" s="571"/>
      <c r="L969" s="580"/>
      <c r="M969" s="581" t="s">
        <v>3521</v>
      </c>
      <c r="N969" s="582"/>
      <c r="O969" s="582"/>
      <c r="P969" s="582"/>
      <c r="Q969" s="582"/>
      <c r="R969" s="582"/>
      <c r="S969" s="582"/>
      <c r="T969" s="582"/>
      <c r="U969" s="582"/>
      <c r="V969" s="582"/>
      <c r="W969" s="582"/>
      <c r="X969" s="582"/>
      <c r="Y969" s="582"/>
      <c r="Z969" s="582"/>
      <c r="AA969" s="582"/>
    </row>
    <row r="970">
      <c r="A970" s="230" t="s">
        <v>76</v>
      </c>
      <c r="B970" s="231">
        <v>46267.0</v>
      </c>
      <c r="C970" s="547" t="s">
        <v>3252</v>
      </c>
      <c r="D970" s="546" t="s">
        <v>3522</v>
      </c>
      <c r="E970" s="232" t="s">
        <v>1681</v>
      </c>
      <c r="F970" s="543"/>
      <c r="G970" s="330" t="s">
        <v>3523</v>
      </c>
      <c r="H970" s="235" t="s">
        <v>22</v>
      </c>
      <c r="I970" s="544" t="s">
        <v>89</v>
      </c>
      <c r="J970" s="119">
        <v>46267.0</v>
      </c>
      <c r="K970" s="231"/>
      <c r="L970" s="21"/>
      <c r="M970" s="21" t="s">
        <v>3524</v>
      </c>
    </row>
    <row r="971">
      <c r="A971" s="230" t="s">
        <v>76</v>
      </c>
      <c r="B971" s="231">
        <v>46267.0</v>
      </c>
      <c r="C971" s="547" t="s">
        <v>3252</v>
      </c>
      <c r="D971" s="546" t="s">
        <v>3525</v>
      </c>
      <c r="E971" s="232" t="s">
        <v>3526</v>
      </c>
      <c r="F971" s="543"/>
      <c r="G971" s="330" t="s">
        <v>3527</v>
      </c>
      <c r="H971" s="235" t="s">
        <v>22</v>
      </c>
      <c r="I971" s="544" t="s">
        <v>89</v>
      </c>
      <c r="J971" s="119">
        <v>46267.0</v>
      </c>
      <c r="K971" s="231"/>
      <c r="L971" s="21"/>
      <c r="M971" s="21" t="s">
        <v>3528</v>
      </c>
    </row>
    <row r="972">
      <c r="A972" s="230" t="s">
        <v>811</v>
      </c>
      <c r="B972" s="231">
        <v>46267.0</v>
      </c>
      <c r="C972" s="547" t="s">
        <v>3252</v>
      </c>
      <c r="D972" s="546" t="s">
        <v>3529</v>
      </c>
      <c r="E972" s="232" t="s">
        <v>3530</v>
      </c>
      <c r="F972" s="543"/>
      <c r="G972" s="330" t="s">
        <v>3531</v>
      </c>
      <c r="H972" s="235" t="s">
        <v>22</v>
      </c>
      <c r="I972" s="544" t="s">
        <v>89</v>
      </c>
      <c r="J972" s="119">
        <v>46267.0</v>
      </c>
      <c r="K972" s="231"/>
      <c r="L972" s="21"/>
      <c r="M972" s="21" t="s">
        <v>183</v>
      </c>
    </row>
    <row r="973">
      <c r="A973" s="230" t="s">
        <v>811</v>
      </c>
      <c r="B973" s="231">
        <v>46267.0</v>
      </c>
      <c r="C973" s="547" t="s">
        <v>3252</v>
      </c>
      <c r="D973" s="546" t="s">
        <v>3532</v>
      </c>
      <c r="E973" s="232" t="s">
        <v>3533</v>
      </c>
      <c r="F973" s="543"/>
      <c r="G973" s="330" t="s">
        <v>3534</v>
      </c>
      <c r="H973" s="235" t="s">
        <v>22</v>
      </c>
      <c r="I973" s="544" t="s">
        <v>89</v>
      </c>
      <c r="J973" s="119">
        <v>46267.0</v>
      </c>
      <c r="K973" s="231"/>
      <c r="L973" s="21"/>
      <c r="M973" s="21" t="s">
        <v>173</v>
      </c>
    </row>
    <row r="974">
      <c r="A974" s="230"/>
      <c r="B974" s="231"/>
      <c r="C974" s="547"/>
      <c r="D974" s="546"/>
      <c r="E974" s="232"/>
      <c r="F974" s="543"/>
      <c r="G974" s="330"/>
      <c r="H974" s="235"/>
      <c r="I974" s="544"/>
      <c r="J974" s="119"/>
      <c r="K974" s="231"/>
      <c r="L974" s="21"/>
      <c r="M974" s="21"/>
    </row>
    <row r="975">
      <c r="A975" s="230"/>
      <c r="B975" s="231"/>
      <c r="C975" s="547"/>
      <c r="D975" s="546"/>
      <c r="E975" s="232"/>
      <c r="F975" s="543"/>
      <c r="G975" s="330"/>
      <c r="H975" s="235"/>
      <c r="I975" s="544"/>
      <c r="J975" s="119"/>
      <c r="K975" s="231"/>
      <c r="L975" s="21"/>
      <c r="M975" s="21"/>
    </row>
    <row r="976">
      <c r="A976" s="230"/>
      <c r="B976" s="231"/>
      <c r="C976" s="547"/>
      <c r="D976" s="546"/>
      <c r="E976" s="232"/>
      <c r="F976" s="543"/>
      <c r="G976" s="330"/>
      <c r="H976" s="235"/>
      <c r="I976" s="544"/>
      <c r="J976" s="119"/>
      <c r="K976" s="231"/>
      <c r="L976" s="21"/>
      <c r="M976" s="21"/>
    </row>
    <row r="977">
      <c r="A977" s="230"/>
      <c r="B977" s="231"/>
      <c r="C977" s="547"/>
      <c r="D977" s="546"/>
      <c r="E977" s="232"/>
      <c r="F977" s="543"/>
      <c r="G977" s="330"/>
      <c r="H977" s="235"/>
      <c r="I977" s="544"/>
      <c r="J977" s="119"/>
      <c r="K977" s="231"/>
      <c r="L977" s="21"/>
      <c r="M977" s="21"/>
    </row>
    <row r="978">
      <c r="A978" s="230"/>
      <c r="B978" s="231"/>
      <c r="C978" s="547"/>
      <c r="D978" s="546"/>
      <c r="E978" s="232"/>
      <c r="F978" s="543"/>
      <c r="G978" s="330"/>
      <c r="H978" s="235"/>
      <c r="I978" s="544"/>
      <c r="J978" s="119"/>
      <c r="K978" s="231"/>
      <c r="L978" s="21"/>
      <c r="M978" s="21"/>
    </row>
    <row r="979">
      <c r="A979" s="230"/>
      <c r="B979" s="231"/>
      <c r="C979" s="547"/>
      <c r="D979" s="546"/>
      <c r="E979" s="232"/>
      <c r="F979" s="543"/>
      <c r="G979" s="330"/>
      <c r="H979" s="235"/>
      <c r="I979" s="544"/>
      <c r="J979" s="119"/>
      <c r="K979" s="231"/>
      <c r="L979" s="21"/>
      <c r="M979" s="21"/>
    </row>
    <row r="980">
      <c r="A980" s="230"/>
      <c r="B980" s="231"/>
      <c r="C980" s="547"/>
      <c r="D980" s="546"/>
      <c r="E980" s="232"/>
      <c r="F980" s="543"/>
      <c r="G980" s="330"/>
      <c r="H980" s="235"/>
      <c r="I980" s="544"/>
      <c r="J980" s="119"/>
      <c r="K980" s="231"/>
      <c r="L980" s="21"/>
      <c r="M980" s="21"/>
    </row>
    <row r="981">
      <c r="A981" s="230"/>
      <c r="B981" s="231"/>
      <c r="C981" s="547"/>
      <c r="D981" s="546"/>
      <c r="E981" s="232"/>
      <c r="F981" s="543"/>
      <c r="G981" s="330"/>
      <c r="H981" s="235"/>
      <c r="I981" s="544"/>
      <c r="J981" s="119"/>
      <c r="K981" s="231"/>
      <c r="L981" s="21"/>
      <c r="M981" s="21"/>
    </row>
    <row r="982">
      <c r="A982" s="230"/>
      <c r="B982" s="231"/>
      <c r="C982" s="547"/>
      <c r="D982" s="546"/>
      <c r="E982" s="232"/>
      <c r="F982" s="543"/>
      <c r="G982" s="330"/>
      <c r="H982" s="235"/>
      <c r="I982" s="544"/>
      <c r="J982" s="119"/>
      <c r="K982" s="231"/>
      <c r="L982" s="21"/>
      <c r="M982" s="21"/>
    </row>
    <row r="983">
      <c r="A983" s="230"/>
      <c r="B983" s="231"/>
      <c r="C983" s="547"/>
      <c r="D983" s="546"/>
      <c r="E983" s="232"/>
      <c r="F983" s="543"/>
      <c r="G983" s="330"/>
      <c r="H983" s="235"/>
      <c r="I983" s="544"/>
      <c r="J983" s="119"/>
      <c r="K983" s="231"/>
      <c r="L983" s="21"/>
      <c r="M983" s="21"/>
    </row>
    <row r="984">
      <c r="A984" s="230"/>
      <c r="B984" s="231"/>
      <c r="C984" s="547"/>
      <c r="D984" s="546"/>
      <c r="E984" s="232"/>
      <c r="F984" s="543"/>
      <c r="G984" s="330"/>
      <c r="H984" s="235"/>
      <c r="I984" s="544"/>
      <c r="J984" s="119"/>
      <c r="K984" s="231"/>
      <c r="L984" s="21"/>
      <c r="M984" s="21"/>
    </row>
    <row r="985">
      <c r="A985" s="230"/>
      <c r="B985" s="231"/>
      <c r="C985" s="547"/>
      <c r="D985" s="546"/>
      <c r="E985" s="232"/>
      <c r="F985" s="543"/>
      <c r="G985" s="330"/>
      <c r="H985" s="235"/>
      <c r="I985" s="544"/>
      <c r="J985" s="119"/>
      <c r="K985" s="231"/>
      <c r="L985" s="21"/>
      <c r="M985" s="21"/>
    </row>
    <row r="986">
      <c r="A986" s="230"/>
      <c r="B986" s="231"/>
      <c r="C986" s="547"/>
      <c r="D986" s="546"/>
      <c r="E986" s="232"/>
      <c r="F986" s="543"/>
      <c r="G986" s="330"/>
      <c r="H986" s="235"/>
      <c r="I986" s="544"/>
      <c r="J986" s="119"/>
      <c r="K986" s="231"/>
      <c r="L986" s="21"/>
      <c r="M986" s="21"/>
    </row>
    <row r="987">
      <c r="A987" s="230"/>
      <c r="B987" s="231"/>
      <c r="C987" s="547"/>
      <c r="D987" s="546"/>
      <c r="E987" s="232"/>
      <c r="F987" s="543"/>
      <c r="G987" s="330"/>
      <c r="H987" s="235"/>
      <c r="I987" s="544"/>
      <c r="J987" s="119"/>
      <c r="K987" s="231"/>
      <c r="L987" s="21"/>
      <c r="M987" s="21"/>
    </row>
    <row r="988">
      <c r="A988" s="230"/>
      <c r="B988" s="231"/>
      <c r="C988" s="547"/>
      <c r="D988" s="546"/>
      <c r="E988" s="232"/>
      <c r="F988" s="543"/>
      <c r="G988" s="330"/>
      <c r="H988" s="235"/>
      <c r="I988" s="544"/>
      <c r="J988" s="119"/>
      <c r="K988" s="231"/>
      <c r="L988" s="21"/>
      <c r="M988" s="21"/>
    </row>
    <row r="989">
      <c r="A989" s="230"/>
      <c r="B989" s="231"/>
      <c r="C989" s="547"/>
      <c r="D989" s="546"/>
      <c r="E989" s="232"/>
      <c r="F989" s="543"/>
      <c r="G989" s="330"/>
      <c r="H989" s="235"/>
      <c r="I989" s="544"/>
      <c r="J989" s="119"/>
      <c r="K989" s="231"/>
      <c r="L989" s="21"/>
      <c r="M989" s="21"/>
    </row>
    <row r="990">
      <c r="A990" s="230"/>
      <c r="B990" s="231"/>
      <c r="C990" s="547"/>
      <c r="D990" s="546"/>
      <c r="E990" s="232"/>
      <c r="F990" s="543"/>
      <c r="G990" s="330"/>
      <c r="H990" s="235"/>
      <c r="I990" s="544"/>
      <c r="J990" s="119"/>
      <c r="K990" s="231"/>
      <c r="L990" s="21"/>
      <c r="M990" s="21"/>
    </row>
    <row r="991">
      <c r="A991" s="230"/>
      <c r="B991" s="231"/>
      <c r="C991" s="547"/>
      <c r="D991" s="546"/>
      <c r="E991" s="232"/>
      <c r="F991" s="543"/>
      <c r="G991" s="330"/>
      <c r="H991" s="235"/>
      <c r="I991" s="544"/>
      <c r="J991" s="119"/>
      <c r="K991" s="231"/>
      <c r="L991" s="21"/>
      <c r="M991" s="21"/>
    </row>
    <row r="992">
      <c r="A992" s="230"/>
      <c r="B992" s="231"/>
      <c r="C992" s="547"/>
      <c r="D992" s="546"/>
      <c r="E992" s="232"/>
      <c r="F992" s="543"/>
      <c r="G992" s="330"/>
      <c r="H992" s="235"/>
      <c r="I992" s="544"/>
      <c r="J992" s="119"/>
      <c r="K992" s="231"/>
      <c r="L992" s="21"/>
      <c r="M992" s="21"/>
    </row>
    <row r="993">
      <c r="A993" s="230"/>
      <c r="B993" s="231"/>
      <c r="C993" s="547"/>
      <c r="D993" s="546"/>
      <c r="E993" s="232"/>
      <c r="F993" s="543"/>
      <c r="G993" s="330"/>
      <c r="H993" s="235"/>
      <c r="I993" s="544"/>
      <c r="J993" s="119"/>
      <c r="K993" s="231"/>
      <c r="L993" s="21"/>
      <c r="M993" s="21"/>
    </row>
    <row r="994">
      <c r="A994" s="230"/>
      <c r="B994" s="231"/>
      <c r="C994" s="547"/>
      <c r="D994" s="546"/>
      <c r="E994" s="232"/>
      <c r="F994" s="543"/>
      <c r="G994" s="330"/>
      <c r="H994" s="235"/>
      <c r="I994" s="544"/>
      <c r="J994" s="119"/>
      <c r="K994" s="231"/>
      <c r="L994" s="21"/>
      <c r="M994" s="21"/>
    </row>
    <row r="995">
      <c r="A995" s="230"/>
      <c r="B995" s="231"/>
      <c r="C995" s="547"/>
      <c r="D995" s="546"/>
      <c r="E995" s="232"/>
      <c r="F995" s="543"/>
      <c r="G995" s="330"/>
      <c r="H995" s="235"/>
      <c r="I995" s="544"/>
      <c r="J995" s="119"/>
      <c r="K995" s="231"/>
      <c r="L995" s="21"/>
      <c r="M995" s="21"/>
    </row>
    <row r="996">
      <c r="A996" s="230"/>
      <c r="B996" s="231"/>
      <c r="C996" s="547"/>
      <c r="D996" s="546"/>
      <c r="E996" s="232"/>
      <c r="F996" s="543"/>
      <c r="G996" s="330"/>
      <c r="H996" s="235"/>
      <c r="I996" s="544"/>
      <c r="J996" s="119"/>
      <c r="K996" s="231"/>
      <c r="L996" s="21"/>
      <c r="M996" s="21"/>
    </row>
    <row r="997">
      <c r="A997" s="230"/>
      <c r="B997" s="231"/>
      <c r="C997" s="547"/>
      <c r="D997" s="546"/>
      <c r="E997" s="232"/>
      <c r="F997" s="543"/>
      <c r="G997" s="330"/>
      <c r="H997" s="235"/>
      <c r="I997" s="544"/>
      <c r="J997" s="119"/>
      <c r="K997" s="231"/>
      <c r="L997" s="21"/>
      <c r="M997" s="21"/>
    </row>
    <row r="998">
      <c r="A998" s="230"/>
      <c r="B998" s="231"/>
      <c r="C998" s="547"/>
      <c r="D998" s="546"/>
      <c r="E998" s="232"/>
      <c r="F998" s="543"/>
      <c r="G998" s="330"/>
      <c r="H998" s="235"/>
      <c r="I998" s="544"/>
      <c r="J998" s="119"/>
      <c r="K998" s="231"/>
      <c r="L998" s="21"/>
      <c r="M998" s="21"/>
    </row>
    <row r="999">
      <c r="A999" s="230"/>
      <c r="B999" s="231"/>
      <c r="C999" s="547"/>
      <c r="D999" s="546"/>
      <c r="E999" s="232"/>
      <c r="F999" s="543"/>
      <c r="G999" s="330"/>
      <c r="H999" s="235"/>
      <c r="I999" s="544"/>
      <c r="J999" s="119"/>
      <c r="K999" s="231"/>
      <c r="L999" s="21"/>
      <c r="M999" s="21"/>
    </row>
    <row r="1000">
      <c r="A1000" s="230"/>
      <c r="B1000" s="231"/>
      <c r="C1000" s="547"/>
      <c r="D1000" s="546"/>
      <c r="E1000" s="232"/>
      <c r="F1000" s="543"/>
      <c r="G1000" s="330"/>
      <c r="H1000" s="235"/>
      <c r="I1000" s="544"/>
      <c r="J1000" s="119"/>
      <c r="K1000" s="231"/>
      <c r="L1000" s="21"/>
      <c r="M1000" s="21"/>
    </row>
    <row r="1001">
      <c r="A1001" s="230"/>
      <c r="B1001" s="231"/>
      <c r="C1001" s="547"/>
      <c r="D1001" s="546"/>
      <c r="E1001" s="232"/>
      <c r="F1001" s="543"/>
      <c r="G1001" s="330"/>
      <c r="H1001" s="235"/>
      <c r="I1001" s="544"/>
      <c r="J1001" s="119"/>
      <c r="K1001" s="231"/>
      <c r="L1001" s="21"/>
      <c r="M1001" s="21"/>
    </row>
    <row r="1002">
      <c r="A1002" s="230"/>
      <c r="B1002" s="231"/>
      <c r="C1002" s="547"/>
      <c r="D1002" s="546"/>
      <c r="E1002" s="232"/>
      <c r="F1002" s="543"/>
      <c r="G1002" s="330"/>
      <c r="H1002" s="235"/>
      <c r="I1002" s="544"/>
      <c r="J1002" s="119"/>
      <c r="K1002" s="231"/>
      <c r="L1002" s="21"/>
      <c r="M1002" s="21"/>
    </row>
    <row r="1003">
      <c r="A1003" s="230"/>
      <c r="B1003" s="231"/>
      <c r="C1003" s="547"/>
      <c r="D1003" s="546"/>
      <c r="E1003" s="232"/>
      <c r="F1003" s="543"/>
      <c r="G1003" s="330"/>
      <c r="H1003" s="235"/>
      <c r="I1003" s="544"/>
      <c r="J1003" s="119"/>
      <c r="K1003" s="231"/>
      <c r="L1003" s="21"/>
      <c r="M1003" s="21"/>
    </row>
    <row r="1004">
      <c r="A1004" s="230"/>
      <c r="B1004" s="231"/>
      <c r="C1004" s="547"/>
      <c r="D1004" s="546"/>
      <c r="E1004" s="232"/>
      <c r="F1004" s="543"/>
      <c r="G1004" s="330"/>
      <c r="H1004" s="235"/>
      <c r="I1004" s="544"/>
      <c r="J1004" s="119"/>
      <c r="K1004" s="231"/>
      <c r="L1004" s="21"/>
      <c r="M1004" s="21"/>
    </row>
    <row r="1005">
      <c r="A1005" s="230"/>
      <c r="B1005" s="231"/>
      <c r="C1005" s="547"/>
      <c r="D1005" s="546"/>
      <c r="E1005" s="232"/>
      <c r="F1005" s="543"/>
      <c r="G1005" s="330"/>
      <c r="H1005" s="235"/>
      <c r="I1005" s="544"/>
      <c r="J1005" s="119"/>
      <c r="K1005" s="231"/>
      <c r="L1005" s="21"/>
      <c r="M1005" s="21"/>
    </row>
    <row r="1006">
      <c r="A1006" s="230"/>
      <c r="B1006" s="231"/>
      <c r="C1006" s="547"/>
      <c r="D1006" s="546"/>
      <c r="E1006" s="232"/>
      <c r="F1006" s="543"/>
      <c r="G1006" s="330"/>
      <c r="H1006" s="235"/>
      <c r="I1006" s="544"/>
      <c r="J1006" s="119"/>
      <c r="K1006" s="231"/>
      <c r="L1006" s="21"/>
      <c r="M1006" s="21"/>
    </row>
    <row r="1007">
      <c r="A1007" s="230"/>
      <c r="B1007" s="231"/>
      <c r="C1007" s="547"/>
      <c r="D1007" s="546"/>
      <c r="E1007" s="232"/>
      <c r="F1007" s="543"/>
      <c r="G1007" s="330"/>
      <c r="H1007" s="235"/>
      <c r="I1007" s="544"/>
      <c r="J1007" s="119"/>
      <c r="K1007" s="231"/>
      <c r="L1007" s="21"/>
      <c r="M1007" s="21"/>
    </row>
    <row r="1008">
      <c r="A1008" s="230"/>
      <c r="B1008" s="231"/>
      <c r="C1008" s="547"/>
      <c r="D1008" s="546"/>
      <c r="E1008" s="232"/>
      <c r="F1008" s="543"/>
      <c r="G1008" s="330"/>
      <c r="H1008" s="235"/>
      <c r="I1008" s="544"/>
      <c r="J1008" s="119"/>
      <c r="K1008" s="231"/>
      <c r="L1008" s="21"/>
      <c r="M1008" s="21"/>
    </row>
    <row r="1009">
      <c r="A1009" s="230"/>
      <c r="B1009" s="231"/>
      <c r="C1009" s="547"/>
      <c r="D1009" s="546"/>
      <c r="E1009" s="232"/>
      <c r="F1009" s="543"/>
      <c r="G1009" s="330"/>
      <c r="H1009" s="235"/>
      <c r="I1009" s="544"/>
      <c r="J1009" s="119"/>
      <c r="K1009" s="231"/>
      <c r="L1009" s="21"/>
      <c r="M1009" s="21"/>
    </row>
    <row r="1010">
      <c r="A1010" s="230"/>
      <c r="B1010" s="231"/>
      <c r="C1010" s="547"/>
      <c r="D1010" s="546"/>
      <c r="E1010" s="232"/>
      <c r="F1010" s="543"/>
      <c r="G1010" s="330"/>
      <c r="H1010" s="235"/>
      <c r="I1010" s="544"/>
      <c r="J1010" s="119"/>
      <c r="K1010" s="231"/>
      <c r="L1010" s="21"/>
      <c r="M1010" s="21"/>
    </row>
    <row r="1011">
      <c r="A1011" s="230"/>
      <c r="B1011" s="231"/>
      <c r="C1011" s="547"/>
      <c r="D1011" s="546"/>
      <c r="E1011" s="232"/>
      <c r="F1011" s="543"/>
      <c r="G1011" s="330"/>
      <c r="H1011" s="235"/>
      <c r="I1011" s="544"/>
      <c r="J1011" s="119"/>
      <c r="K1011" s="231"/>
      <c r="L1011" s="21"/>
      <c r="M1011" s="21"/>
    </row>
    <row r="1012">
      <c r="A1012" s="230"/>
      <c r="B1012" s="231"/>
      <c r="C1012" s="547"/>
      <c r="D1012" s="546"/>
      <c r="E1012" s="232"/>
      <c r="F1012" s="543"/>
      <c r="G1012" s="330"/>
      <c r="H1012" s="235"/>
      <c r="I1012" s="544"/>
      <c r="J1012" s="119"/>
      <c r="K1012" s="231"/>
      <c r="L1012" s="21"/>
      <c r="M1012" s="21"/>
    </row>
    <row r="1013">
      <c r="A1013" s="230"/>
      <c r="B1013" s="231"/>
      <c r="C1013" s="547"/>
      <c r="D1013" s="546"/>
      <c r="E1013" s="232"/>
      <c r="F1013" s="543"/>
      <c r="G1013" s="330"/>
      <c r="H1013" s="235"/>
      <c r="I1013" s="544"/>
      <c r="J1013" s="119"/>
      <c r="K1013" s="231"/>
      <c r="L1013" s="21"/>
      <c r="M1013" s="21"/>
    </row>
    <row r="1014">
      <c r="A1014" s="230"/>
      <c r="B1014" s="231"/>
      <c r="C1014" s="547"/>
      <c r="D1014" s="546"/>
      <c r="E1014" s="232"/>
      <c r="F1014" s="543"/>
      <c r="G1014" s="330"/>
      <c r="H1014" s="235"/>
      <c r="I1014" s="544"/>
      <c r="J1014" s="119"/>
      <c r="K1014" s="231"/>
      <c r="L1014" s="21"/>
      <c r="M1014" s="21"/>
    </row>
    <row r="1015">
      <c r="A1015" s="230"/>
      <c r="B1015" s="231"/>
      <c r="C1015" s="547"/>
      <c r="D1015" s="546"/>
      <c r="E1015" s="232"/>
      <c r="F1015" s="543"/>
      <c r="G1015" s="330"/>
      <c r="H1015" s="235"/>
      <c r="I1015" s="544"/>
      <c r="J1015" s="119"/>
      <c r="K1015" s="231"/>
      <c r="L1015" s="21"/>
      <c r="M1015" s="21"/>
    </row>
    <row r="1016">
      <c r="A1016" s="230"/>
      <c r="B1016" s="231"/>
      <c r="C1016" s="547"/>
      <c r="D1016" s="546"/>
      <c r="E1016" s="232"/>
      <c r="F1016" s="543"/>
      <c r="G1016" s="330"/>
      <c r="H1016" s="235"/>
      <c r="I1016" s="544"/>
      <c r="J1016" s="119"/>
      <c r="K1016" s="231"/>
      <c r="L1016" s="21"/>
      <c r="M1016" s="21"/>
    </row>
    <row r="1017">
      <c r="A1017" s="230"/>
      <c r="B1017" s="231"/>
      <c r="C1017" s="547"/>
      <c r="D1017" s="546"/>
      <c r="E1017" s="232"/>
      <c r="F1017" s="543"/>
      <c r="G1017" s="330"/>
      <c r="H1017" s="235"/>
      <c r="I1017" s="544"/>
      <c r="J1017" s="119"/>
      <c r="K1017" s="231"/>
      <c r="L1017" s="21"/>
      <c r="M1017" s="21"/>
    </row>
    <row r="1018">
      <c r="A1018" s="230"/>
      <c r="B1018" s="231"/>
      <c r="C1018" s="547"/>
      <c r="D1018" s="546"/>
      <c r="E1018" s="232"/>
      <c r="F1018" s="543"/>
      <c r="G1018" s="330"/>
      <c r="H1018" s="235"/>
      <c r="I1018" s="544"/>
      <c r="J1018" s="119"/>
      <c r="K1018" s="231"/>
      <c r="L1018" s="21"/>
      <c r="M1018" s="21"/>
    </row>
    <row r="1019">
      <c r="A1019" s="230"/>
      <c r="B1019" s="231"/>
      <c r="C1019" s="547"/>
      <c r="D1019" s="546"/>
      <c r="E1019" s="232"/>
      <c r="F1019" s="543"/>
      <c r="G1019" s="330"/>
      <c r="H1019" s="235"/>
      <c r="I1019" s="544"/>
      <c r="J1019" s="119"/>
      <c r="K1019" s="231"/>
      <c r="L1019" s="21"/>
      <c r="M1019" s="21"/>
    </row>
    <row r="1020">
      <c r="A1020" s="230"/>
      <c r="B1020" s="231"/>
      <c r="C1020" s="547"/>
      <c r="D1020" s="546"/>
      <c r="E1020" s="232"/>
      <c r="F1020" s="543"/>
      <c r="G1020" s="330"/>
      <c r="H1020" s="235"/>
      <c r="I1020" s="544"/>
      <c r="J1020" s="119"/>
      <c r="K1020" s="231"/>
      <c r="L1020" s="21"/>
      <c r="M1020" s="21"/>
    </row>
    <row r="1021">
      <c r="A1021" s="230"/>
      <c r="B1021" s="231"/>
      <c r="C1021" s="547"/>
      <c r="D1021" s="546"/>
      <c r="E1021" s="232"/>
      <c r="F1021" s="543"/>
      <c r="G1021" s="330"/>
      <c r="H1021" s="235"/>
      <c r="I1021" s="544"/>
      <c r="J1021" s="119"/>
      <c r="K1021" s="231"/>
      <c r="L1021" s="21"/>
      <c r="M1021" s="21"/>
    </row>
    <row r="1022">
      <c r="A1022" s="230"/>
      <c r="B1022" s="231"/>
      <c r="C1022" s="547"/>
      <c r="D1022" s="546"/>
      <c r="E1022" s="232"/>
      <c r="F1022" s="543"/>
      <c r="G1022" s="330"/>
      <c r="H1022" s="235"/>
      <c r="I1022" s="544"/>
      <c r="J1022" s="119"/>
      <c r="K1022" s="231"/>
      <c r="L1022" s="21"/>
      <c r="M1022" s="21"/>
    </row>
    <row r="1023">
      <c r="A1023" s="230"/>
      <c r="B1023" s="231"/>
      <c r="C1023" s="547"/>
      <c r="D1023" s="546"/>
      <c r="E1023" s="232"/>
      <c r="F1023" s="543"/>
      <c r="G1023" s="330"/>
      <c r="H1023" s="235"/>
      <c r="I1023" s="544"/>
      <c r="J1023" s="119"/>
      <c r="K1023" s="231"/>
      <c r="L1023" s="21"/>
      <c r="M1023" s="21"/>
    </row>
    <row r="1024">
      <c r="A1024" s="230"/>
      <c r="B1024" s="231"/>
      <c r="C1024" s="547"/>
      <c r="D1024" s="546"/>
      <c r="E1024" s="232"/>
      <c r="F1024" s="543"/>
      <c r="G1024" s="330"/>
      <c r="H1024" s="235"/>
      <c r="I1024" s="544"/>
      <c r="J1024" s="119"/>
      <c r="K1024" s="231"/>
      <c r="L1024" s="21"/>
      <c r="M1024" s="21"/>
    </row>
    <row r="1025">
      <c r="A1025" s="230"/>
      <c r="B1025" s="231"/>
      <c r="C1025" s="547"/>
      <c r="D1025" s="546"/>
      <c r="E1025" s="232"/>
      <c r="F1025" s="543"/>
      <c r="G1025" s="330"/>
      <c r="H1025" s="235"/>
      <c r="I1025" s="544"/>
      <c r="J1025" s="119"/>
      <c r="K1025" s="231"/>
      <c r="L1025" s="21"/>
      <c r="M1025" s="21"/>
    </row>
    <row r="1026">
      <c r="A1026" s="230"/>
      <c r="B1026" s="231"/>
      <c r="C1026" s="547"/>
      <c r="D1026" s="546"/>
      <c r="E1026" s="232"/>
      <c r="F1026" s="543"/>
      <c r="G1026" s="330"/>
      <c r="H1026" s="235"/>
      <c r="I1026" s="544"/>
      <c r="J1026" s="119"/>
      <c r="K1026" s="231"/>
      <c r="L1026" s="21"/>
      <c r="M1026" s="21"/>
    </row>
    <row r="1027">
      <c r="A1027" s="230"/>
      <c r="B1027" s="231"/>
      <c r="C1027" s="547"/>
      <c r="D1027" s="546"/>
      <c r="E1027" s="232"/>
      <c r="F1027" s="543"/>
      <c r="G1027" s="330"/>
      <c r="H1027" s="235"/>
      <c r="I1027" s="544"/>
      <c r="J1027" s="119"/>
      <c r="K1027" s="231"/>
      <c r="L1027" s="21"/>
      <c r="M1027" s="21"/>
    </row>
    <row r="1028">
      <c r="A1028" s="230"/>
      <c r="B1028" s="231"/>
      <c r="C1028" s="547"/>
      <c r="D1028" s="546"/>
      <c r="E1028" s="232"/>
      <c r="F1028" s="543"/>
      <c r="G1028" s="330"/>
      <c r="H1028" s="235"/>
      <c r="I1028" s="544"/>
      <c r="J1028" s="119"/>
      <c r="K1028" s="231"/>
      <c r="L1028" s="21"/>
      <c r="M1028" s="21"/>
    </row>
    <row r="1029">
      <c r="A1029" s="230"/>
      <c r="B1029" s="231"/>
      <c r="C1029" s="547"/>
      <c r="D1029" s="546"/>
      <c r="E1029" s="232"/>
      <c r="F1029" s="543"/>
      <c r="G1029" s="330"/>
      <c r="H1029" s="235"/>
      <c r="I1029" s="544"/>
      <c r="J1029" s="119"/>
      <c r="K1029" s="231"/>
      <c r="L1029" s="21"/>
      <c r="M1029" s="21"/>
    </row>
    <row r="1030">
      <c r="A1030" s="230"/>
      <c r="B1030" s="231"/>
      <c r="C1030" s="547"/>
      <c r="D1030" s="546"/>
      <c r="E1030" s="232"/>
      <c r="F1030" s="543"/>
      <c r="G1030" s="330"/>
      <c r="H1030" s="235"/>
      <c r="I1030" s="544"/>
      <c r="J1030" s="119"/>
      <c r="K1030" s="231"/>
      <c r="L1030" s="21"/>
      <c r="M1030" s="21"/>
    </row>
    <row r="1031">
      <c r="A1031" s="230"/>
      <c r="B1031" s="231"/>
      <c r="C1031" s="547"/>
      <c r="D1031" s="546"/>
      <c r="E1031" s="232"/>
      <c r="F1031" s="543"/>
      <c r="G1031" s="330"/>
      <c r="H1031" s="235"/>
      <c r="I1031" s="544"/>
      <c r="J1031" s="119"/>
      <c r="K1031" s="231"/>
      <c r="L1031" s="21"/>
      <c r="M1031" s="21"/>
    </row>
    <row r="1032">
      <c r="A1032" s="230"/>
      <c r="B1032" s="231"/>
      <c r="C1032" s="547"/>
      <c r="D1032" s="546"/>
      <c r="E1032" s="232"/>
      <c r="F1032" s="543"/>
      <c r="G1032" s="330"/>
      <c r="H1032" s="235"/>
      <c r="I1032" s="544"/>
      <c r="J1032" s="119"/>
      <c r="K1032" s="231"/>
      <c r="L1032" s="21"/>
      <c r="M1032" s="21"/>
    </row>
    <row r="1033">
      <c r="A1033" s="230"/>
      <c r="B1033" s="231"/>
      <c r="C1033" s="547"/>
      <c r="D1033" s="546"/>
      <c r="E1033" s="232"/>
      <c r="F1033" s="543"/>
      <c r="G1033" s="330"/>
      <c r="H1033" s="235"/>
      <c r="I1033" s="544"/>
      <c r="J1033" s="119"/>
      <c r="K1033" s="231"/>
      <c r="L1033" s="21"/>
      <c r="M1033" s="21"/>
    </row>
    <row r="1034">
      <c r="A1034" s="230"/>
      <c r="B1034" s="231"/>
      <c r="C1034" s="547"/>
      <c r="D1034" s="546"/>
      <c r="E1034" s="232"/>
      <c r="F1034" s="543"/>
      <c r="G1034" s="330"/>
      <c r="H1034" s="235"/>
      <c r="I1034" s="544"/>
      <c r="J1034" s="119"/>
      <c r="K1034" s="231"/>
      <c r="L1034" s="21"/>
      <c r="M1034" s="21"/>
    </row>
    <row r="1035">
      <c r="A1035" s="230"/>
      <c r="B1035" s="231"/>
      <c r="C1035" s="547"/>
      <c r="D1035" s="546"/>
      <c r="E1035" s="232"/>
      <c r="F1035" s="543"/>
      <c r="G1035" s="330"/>
      <c r="H1035" s="235"/>
      <c r="I1035" s="544"/>
      <c r="J1035" s="119"/>
      <c r="K1035" s="231"/>
      <c r="L1035" s="21"/>
      <c r="M1035" s="21"/>
    </row>
    <row r="1036">
      <c r="A1036" s="230"/>
      <c r="B1036" s="231"/>
      <c r="C1036" s="547"/>
      <c r="D1036" s="546"/>
      <c r="E1036" s="232"/>
      <c r="F1036" s="543"/>
      <c r="G1036" s="330"/>
      <c r="H1036" s="235"/>
      <c r="I1036" s="544"/>
      <c r="J1036" s="119"/>
      <c r="K1036" s="231"/>
      <c r="L1036" s="21"/>
      <c r="M1036" s="21"/>
    </row>
    <row r="1037">
      <c r="A1037" s="230"/>
      <c r="B1037" s="231"/>
      <c r="C1037" s="547"/>
      <c r="D1037" s="546"/>
      <c r="E1037" s="232"/>
      <c r="F1037" s="543"/>
      <c r="G1037" s="330"/>
      <c r="H1037" s="235"/>
      <c r="I1037" s="544"/>
      <c r="J1037" s="119"/>
      <c r="K1037" s="231"/>
      <c r="L1037" s="21"/>
      <c r="M1037" s="21"/>
    </row>
    <row r="1038">
      <c r="A1038" s="230"/>
      <c r="B1038" s="231"/>
      <c r="C1038" s="547"/>
      <c r="D1038" s="546"/>
      <c r="E1038" s="232"/>
      <c r="F1038" s="543"/>
      <c r="G1038" s="330"/>
      <c r="H1038" s="235"/>
      <c r="I1038" s="544"/>
      <c r="J1038" s="119"/>
      <c r="K1038" s="231"/>
      <c r="L1038" s="21"/>
      <c r="M1038" s="21"/>
    </row>
    <row r="1039">
      <c r="A1039" s="230"/>
      <c r="B1039" s="231"/>
      <c r="C1039" s="547"/>
      <c r="D1039" s="546"/>
      <c r="E1039" s="232"/>
      <c r="F1039" s="543"/>
      <c r="G1039" s="330"/>
      <c r="H1039" s="235"/>
      <c r="I1039" s="544"/>
      <c r="J1039" s="119"/>
      <c r="K1039" s="231"/>
      <c r="L1039" s="21"/>
      <c r="M1039" s="21"/>
    </row>
    <row r="1040">
      <c r="A1040" s="230"/>
      <c r="B1040" s="231"/>
      <c r="C1040" s="547"/>
      <c r="D1040" s="546"/>
      <c r="E1040" s="232"/>
      <c r="F1040" s="543"/>
      <c r="G1040" s="330"/>
      <c r="H1040" s="235"/>
      <c r="I1040" s="544"/>
      <c r="J1040" s="119"/>
      <c r="K1040" s="231"/>
      <c r="L1040" s="21"/>
      <c r="M1040" s="21"/>
    </row>
    <row r="1041">
      <c r="A1041" s="230"/>
      <c r="B1041" s="231"/>
      <c r="C1041" s="547"/>
      <c r="D1041" s="546"/>
      <c r="E1041" s="232"/>
      <c r="F1041" s="543"/>
      <c r="G1041" s="330"/>
      <c r="H1041" s="235"/>
      <c r="I1041" s="544"/>
      <c r="J1041" s="119"/>
      <c r="K1041" s="231"/>
      <c r="L1041" s="21"/>
      <c r="M1041" s="21"/>
    </row>
    <row r="1042">
      <c r="A1042" s="230"/>
      <c r="B1042" s="231"/>
      <c r="C1042" s="547"/>
      <c r="D1042" s="546"/>
      <c r="E1042" s="232"/>
      <c r="F1042" s="543"/>
      <c r="G1042" s="330"/>
      <c r="H1042" s="235"/>
      <c r="I1042" s="544"/>
      <c r="J1042" s="119"/>
      <c r="K1042" s="231"/>
      <c r="L1042" s="21"/>
      <c r="M1042" s="21"/>
    </row>
    <row r="1043">
      <c r="A1043" s="230"/>
      <c r="B1043" s="231"/>
      <c r="C1043" s="547"/>
      <c r="D1043" s="546"/>
      <c r="E1043" s="232"/>
      <c r="F1043" s="543"/>
      <c r="G1043" s="330"/>
      <c r="H1043" s="235"/>
      <c r="I1043" s="544"/>
      <c r="J1043" s="119"/>
      <c r="K1043" s="231"/>
      <c r="L1043" s="21"/>
      <c r="M1043" s="21"/>
    </row>
    <row r="1044">
      <c r="A1044" s="230"/>
      <c r="B1044" s="231"/>
      <c r="C1044" s="547"/>
      <c r="D1044" s="546"/>
      <c r="E1044" s="232"/>
      <c r="F1044" s="543"/>
      <c r="G1044" s="330"/>
      <c r="H1044" s="235"/>
      <c r="I1044" s="544"/>
      <c r="J1044" s="119"/>
      <c r="K1044" s="231"/>
      <c r="L1044" s="21"/>
      <c r="M1044" s="21"/>
    </row>
    <row r="1045">
      <c r="A1045" s="230"/>
      <c r="B1045" s="231"/>
      <c r="C1045" s="547"/>
      <c r="D1045" s="546"/>
      <c r="E1045" s="232"/>
      <c r="F1045" s="543"/>
      <c r="G1045" s="330"/>
      <c r="H1045" s="235"/>
      <c r="I1045" s="544"/>
      <c r="J1045" s="119"/>
      <c r="K1045" s="231"/>
      <c r="L1045" s="21"/>
      <c r="M1045" s="21"/>
    </row>
    <row r="1046">
      <c r="A1046" s="230"/>
      <c r="B1046" s="231"/>
      <c r="C1046" s="547"/>
      <c r="D1046" s="546"/>
      <c r="E1046" s="232"/>
      <c r="F1046" s="543"/>
      <c r="G1046" s="330"/>
      <c r="H1046" s="235"/>
      <c r="I1046" s="544"/>
      <c r="J1046" s="119"/>
      <c r="K1046" s="231"/>
      <c r="L1046" s="21"/>
      <c r="M1046" s="21"/>
    </row>
    <row r="1047">
      <c r="A1047" s="230"/>
      <c r="B1047" s="231"/>
      <c r="C1047" s="547"/>
      <c r="D1047" s="546"/>
      <c r="E1047" s="232"/>
      <c r="F1047" s="543"/>
      <c r="G1047" s="330"/>
      <c r="H1047" s="235"/>
      <c r="I1047" s="544"/>
      <c r="J1047" s="119"/>
      <c r="K1047" s="231"/>
      <c r="L1047" s="21"/>
      <c r="M1047" s="21"/>
    </row>
    <row r="1048">
      <c r="A1048" s="230"/>
      <c r="B1048" s="231"/>
      <c r="C1048" s="547"/>
      <c r="D1048" s="546"/>
      <c r="E1048" s="232"/>
      <c r="F1048" s="543"/>
      <c r="G1048" s="330"/>
      <c r="H1048" s="235"/>
      <c r="I1048" s="544"/>
      <c r="J1048" s="119"/>
      <c r="K1048" s="231"/>
      <c r="L1048" s="21"/>
      <c r="M1048" s="21"/>
    </row>
    <row r="1049">
      <c r="A1049" s="230"/>
      <c r="B1049" s="231"/>
      <c r="C1049" s="547"/>
      <c r="D1049" s="546"/>
      <c r="E1049" s="232"/>
      <c r="F1049" s="543"/>
      <c r="G1049" s="330"/>
      <c r="H1049" s="235"/>
      <c r="I1049" s="544"/>
      <c r="J1049" s="119"/>
      <c r="K1049" s="231"/>
      <c r="L1049" s="21"/>
      <c r="M1049" s="21"/>
    </row>
    <row r="1050">
      <c r="A1050" s="230"/>
      <c r="B1050" s="231"/>
      <c r="C1050" s="547"/>
      <c r="D1050" s="546"/>
      <c r="E1050" s="232"/>
      <c r="F1050" s="543"/>
      <c r="G1050" s="330"/>
      <c r="H1050" s="235"/>
      <c r="I1050" s="544"/>
      <c r="J1050" s="119"/>
      <c r="K1050" s="231"/>
      <c r="L1050" s="21"/>
      <c r="M1050" s="21"/>
    </row>
    <row r="1051">
      <c r="A1051" s="230"/>
      <c r="B1051" s="231"/>
      <c r="C1051" s="547"/>
      <c r="D1051" s="546"/>
      <c r="E1051" s="232"/>
      <c r="F1051" s="543"/>
      <c r="G1051" s="330"/>
      <c r="H1051" s="235"/>
      <c r="I1051" s="544"/>
      <c r="J1051" s="119"/>
      <c r="K1051" s="231"/>
      <c r="L1051" s="21"/>
      <c r="M1051" s="21"/>
    </row>
    <row r="1052">
      <c r="A1052" s="230"/>
      <c r="B1052" s="231"/>
      <c r="C1052" s="547"/>
      <c r="D1052" s="546"/>
      <c r="E1052" s="232"/>
      <c r="F1052" s="543"/>
      <c r="G1052" s="330"/>
      <c r="H1052" s="235"/>
      <c r="I1052" s="544"/>
      <c r="J1052" s="119"/>
      <c r="K1052" s="231"/>
      <c r="L1052" s="21"/>
      <c r="M1052" s="21"/>
    </row>
    <row r="1053">
      <c r="A1053" s="230"/>
      <c r="B1053" s="231"/>
      <c r="C1053" s="547"/>
      <c r="D1053" s="546"/>
      <c r="E1053" s="232"/>
      <c r="F1053" s="543"/>
      <c r="G1053" s="330"/>
      <c r="H1053" s="235"/>
      <c r="I1053" s="544"/>
      <c r="J1053" s="119"/>
      <c r="K1053" s="231"/>
      <c r="L1053" s="21"/>
      <c r="M1053" s="21"/>
    </row>
    <row r="1054">
      <c r="A1054" s="230"/>
      <c r="B1054" s="231"/>
      <c r="C1054" s="547"/>
      <c r="D1054" s="546"/>
      <c r="E1054" s="232"/>
      <c r="F1054" s="543"/>
      <c r="G1054" s="330"/>
      <c r="H1054" s="235"/>
      <c r="I1054" s="544"/>
      <c r="J1054" s="119"/>
      <c r="K1054" s="231"/>
      <c r="L1054" s="21"/>
      <c r="M1054" s="21"/>
    </row>
    <row r="1055">
      <c r="A1055" s="230"/>
      <c r="B1055" s="231"/>
      <c r="C1055" s="547"/>
      <c r="D1055" s="546"/>
      <c r="E1055" s="232"/>
      <c r="F1055" s="543"/>
      <c r="G1055" s="330"/>
      <c r="H1055" s="235"/>
      <c r="I1055" s="544"/>
      <c r="J1055" s="119"/>
      <c r="K1055" s="231"/>
      <c r="L1055" s="21"/>
      <c r="M1055" s="21"/>
    </row>
    <row r="1056">
      <c r="A1056" s="230"/>
      <c r="B1056" s="231"/>
      <c r="C1056" s="547"/>
      <c r="D1056" s="546"/>
      <c r="E1056" s="232"/>
      <c r="F1056" s="543"/>
      <c r="G1056" s="330"/>
      <c r="H1056" s="235"/>
      <c r="I1056" s="544"/>
      <c r="J1056" s="119"/>
      <c r="K1056" s="231"/>
      <c r="L1056" s="21"/>
      <c r="M1056" s="21"/>
    </row>
    <row r="1057">
      <c r="A1057" s="230"/>
      <c r="B1057" s="231"/>
      <c r="C1057" s="547"/>
      <c r="D1057" s="546"/>
      <c r="E1057" s="232"/>
      <c r="F1057" s="543"/>
      <c r="G1057" s="330"/>
      <c r="H1057" s="235"/>
      <c r="I1057" s="544"/>
      <c r="J1057" s="119"/>
      <c r="K1057" s="231"/>
      <c r="L1057" s="21"/>
      <c r="M1057" s="21"/>
    </row>
    <row r="1058">
      <c r="A1058" s="230"/>
      <c r="B1058" s="231"/>
      <c r="C1058" s="547"/>
      <c r="D1058" s="546"/>
      <c r="E1058" s="232"/>
      <c r="F1058" s="543"/>
      <c r="G1058" s="330"/>
      <c r="H1058" s="235"/>
      <c r="I1058" s="544"/>
      <c r="J1058" s="119"/>
      <c r="K1058" s="231"/>
      <c r="L1058" s="21"/>
      <c r="M1058" s="21"/>
    </row>
    <row r="1059">
      <c r="A1059" s="230"/>
      <c r="B1059" s="231"/>
      <c r="C1059" s="547"/>
      <c r="D1059" s="546"/>
      <c r="E1059" s="232"/>
      <c r="F1059" s="543"/>
      <c r="G1059" s="330"/>
      <c r="H1059" s="235"/>
      <c r="I1059" s="544"/>
      <c r="J1059" s="119"/>
      <c r="K1059" s="231"/>
      <c r="L1059" s="21"/>
      <c r="M1059" s="21"/>
    </row>
    <row r="1060">
      <c r="A1060" s="230"/>
      <c r="B1060" s="231"/>
      <c r="C1060" s="547"/>
      <c r="D1060" s="546"/>
      <c r="E1060" s="232"/>
      <c r="F1060" s="543"/>
      <c r="G1060" s="330"/>
      <c r="H1060" s="235"/>
      <c r="I1060" s="544"/>
      <c r="J1060" s="119"/>
      <c r="K1060" s="231"/>
      <c r="L1060" s="21"/>
      <c r="M1060" s="21"/>
    </row>
    <row r="1061">
      <c r="A1061" s="230"/>
      <c r="B1061" s="231"/>
      <c r="C1061" s="547"/>
      <c r="D1061" s="546"/>
      <c r="E1061" s="232"/>
      <c r="F1061" s="543"/>
      <c r="G1061" s="330"/>
      <c r="H1061" s="235"/>
      <c r="I1061" s="544"/>
      <c r="J1061" s="119"/>
      <c r="K1061" s="231"/>
      <c r="L1061" s="21"/>
      <c r="M1061" s="21"/>
    </row>
    <row r="1062">
      <c r="A1062" s="230"/>
      <c r="B1062" s="231"/>
      <c r="C1062" s="547"/>
      <c r="D1062" s="546"/>
      <c r="E1062" s="232"/>
      <c r="F1062" s="543"/>
      <c r="G1062" s="330"/>
      <c r="H1062" s="235"/>
      <c r="I1062" s="544"/>
      <c r="J1062" s="119"/>
      <c r="K1062" s="231"/>
      <c r="L1062" s="21"/>
      <c r="M1062" s="21"/>
    </row>
    <row r="1063">
      <c r="A1063" s="230"/>
      <c r="B1063" s="231"/>
      <c r="C1063" s="547"/>
      <c r="D1063" s="546"/>
      <c r="E1063" s="232"/>
      <c r="F1063" s="543"/>
      <c r="G1063" s="330"/>
      <c r="H1063" s="235"/>
      <c r="I1063" s="544"/>
      <c r="J1063" s="119"/>
      <c r="K1063" s="231"/>
      <c r="L1063" s="21"/>
      <c r="M1063" s="21"/>
    </row>
    <row r="1064">
      <c r="A1064" s="230"/>
      <c r="B1064" s="231"/>
      <c r="C1064" s="547"/>
      <c r="D1064" s="546"/>
      <c r="E1064" s="232"/>
      <c r="F1064" s="543"/>
      <c r="G1064" s="330"/>
      <c r="H1064" s="235"/>
      <c r="I1064" s="544"/>
      <c r="J1064" s="119"/>
      <c r="K1064" s="231"/>
      <c r="L1064" s="21"/>
      <c r="M1064" s="21"/>
    </row>
    <row r="1065">
      <c r="A1065" s="230"/>
      <c r="B1065" s="231"/>
      <c r="C1065" s="547"/>
      <c r="D1065" s="546"/>
      <c r="E1065" s="232"/>
      <c r="F1065" s="543"/>
      <c r="G1065" s="330"/>
      <c r="H1065" s="235"/>
      <c r="I1065" s="544"/>
      <c r="J1065" s="119"/>
      <c r="K1065" s="231"/>
      <c r="L1065" s="21"/>
      <c r="M1065" s="21"/>
    </row>
    <row r="1066">
      <c r="A1066" s="230"/>
      <c r="B1066" s="231"/>
      <c r="C1066" s="547"/>
      <c r="D1066" s="546"/>
      <c r="E1066" s="232"/>
      <c r="F1066" s="543"/>
      <c r="G1066" s="330"/>
      <c r="H1066" s="235"/>
      <c r="I1066" s="544"/>
      <c r="J1066" s="119"/>
      <c r="K1066" s="231"/>
      <c r="L1066" s="21"/>
      <c r="M1066" s="21"/>
    </row>
    <row r="1067">
      <c r="A1067" s="230"/>
      <c r="B1067" s="231"/>
      <c r="C1067" s="547"/>
      <c r="D1067" s="546"/>
      <c r="E1067" s="232"/>
      <c r="F1067" s="543"/>
      <c r="G1067" s="330"/>
      <c r="H1067" s="235"/>
      <c r="I1067" s="544"/>
      <c r="J1067" s="119"/>
      <c r="K1067" s="231"/>
      <c r="L1067" s="21"/>
      <c r="M1067" s="21"/>
    </row>
    <row r="1068">
      <c r="A1068" s="230"/>
      <c r="B1068" s="231"/>
      <c r="C1068" s="547"/>
      <c r="D1068" s="546"/>
      <c r="E1068" s="232"/>
      <c r="F1068" s="543"/>
      <c r="G1068" s="330"/>
      <c r="H1068" s="235"/>
      <c r="I1068" s="544"/>
      <c r="J1068" s="119"/>
      <c r="K1068" s="231"/>
      <c r="L1068" s="21"/>
      <c r="M1068" s="21"/>
    </row>
    <row r="1069">
      <c r="A1069" s="230"/>
      <c r="B1069" s="231"/>
      <c r="C1069" s="547"/>
      <c r="D1069" s="546"/>
      <c r="E1069" s="232"/>
      <c r="F1069" s="543"/>
      <c r="G1069" s="330"/>
      <c r="H1069" s="235"/>
      <c r="I1069" s="544"/>
      <c r="J1069" s="119"/>
      <c r="K1069" s="231"/>
      <c r="L1069" s="21"/>
      <c r="M1069" s="21"/>
    </row>
    <row r="1070">
      <c r="A1070" s="230"/>
      <c r="B1070" s="231"/>
      <c r="C1070" s="547"/>
      <c r="D1070" s="546"/>
      <c r="E1070" s="232"/>
      <c r="F1070" s="543"/>
      <c r="G1070" s="330"/>
      <c r="H1070" s="235"/>
      <c r="I1070" s="544"/>
      <c r="J1070" s="119"/>
      <c r="K1070" s="231"/>
      <c r="L1070" s="21"/>
      <c r="M1070" s="21"/>
    </row>
    <row r="1071">
      <c r="A1071" s="230"/>
      <c r="B1071" s="231"/>
      <c r="C1071" s="547"/>
      <c r="D1071" s="546"/>
      <c r="E1071" s="232"/>
      <c r="F1071" s="543"/>
      <c r="G1071" s="330"/>
      <c r="H1071" s="235"/>
      <c r="I1071" s="544"/>
      <c r="J1071" s="119"/>
      <c r="K1071" s="231"/>
      <c r="L1071" s="21"/>
      <c r="M1071" s="21"/>
    </row>
    <row r="1072">
      <c r="A1072" s="230"/>
      <c r="B1072" s="231"/>
      <c r="C1072" s="547"/>
      <c r="D1072" s="546"/>
      <c r="E1072" s="232"/>
      <c r="F1072" s="543"/>
      <c r="G1072" s="330"/>
      <c r="H1072" s="235"/>
      <c r="I1072" s="544"/>
      <c r="J1072" s="119"/>
      <c r="K1072" s="231"/>
      <c r="L1072" s="21"/>
      <c r="M1072" s="21"/>
    </row>
    <row r="1073">
      <c r="A1073" s="230"/>
      <c r="B1073" s="231"/>
      <c r="C1073" s="547"/>
      <c r="D1073" s="546"/>
      <c r="E1073" s="232"/>
      <c r="F1073" s="543"/>
      <c r="G1073" s="330"/>
      <c r="H1073" s="235"/>
      <c r="I1073" s="544"/>
      <c r="J1073" s="119"/>
      <c r="K1073" s="231"/>
      <c r="L1073" s="21"/>
      <c r="M1073" s="21"/>
    </row>
    <row r="1074">
      <c r="A1074" s="230"/>
      <c r="B1074" s="231"/>
      <c r="C1074" s="547"/>
      <c r="D1074" s="546"/>
      <c r="E1074" s="232"/>
      <c r="F1074" s="543"/>
      <c r="G1074" s="330"/>
      <c r="H1074" s="235"/>
      <c r="I1074" s="544"/>
      <c r="J1074" s="119"/>
      <c r="K1074" s="231"/>
      <c r="L1074" s="21"/>
      <c r="M1074" s="21"/>
    </row>
    <row r="1075">
      <c r="A1075" s="230"/>
      <c r="B1075" s="231"/>
      <c r="C1075" s="547"/>
      <c r="D1075" s="546"/>
      <c r="E1075" s="232"/>
      <c r="F1075" s="543"/>
      <c r="G1075" s="330"/>
      <c r="H1075" s="235"/>
      <c r="I1075" s="544"/>
      <c r="J1075" s="119"/>
      <c r="K1075" s="231"/>
      <c r="L1075" s="21"/>
      <c r="M1075" s="21"/>
    </row>
    <row r="1076">
      <c r="A1076" s="230"/>
      <c r="B1076" s="231"/>
      <c r="C1076" s="547"/>
      <c r="D1076" s="546"/>
      <c r="E1076" s="232"/>
      <c r="F1076" s="543"/>
      <c r="G1076" s="330"/>
      <c r="H1076" s="235"/>
      <c r="I1076" s="544"/>
      <c r="J1076" s="119"/>
      <c r="K1076" s="231"/>
      <c r="L1076" s="21"/>
      <c r="M1076" s="21"/>
    </row>
    <row r="1077">
      <c r="A1077" s="230"/>
      <c r="B1077" s="231"/>
      <c r="C1077" s="547"/>
      <c r="D1077" s="546"/>
      <c r="E1077" s="232"/>
      <c r="F1077" s="543"/>
      <c r="G1077" s="330"/>
      <c r="H1077" s="235"/>
      <c r="I1077" s="544"/>
      <c r="J1077" s="119"/>
      <c r="K1077" s="231"/>
      <c r="L1077" s="21"/>
      <c r="M1077" s="21"/>
    </row>
    <row r="1078">
      <c r="A1078" s="230"/>
      <c r="B1078" s="231"/>
      <c r="C1078" s="547"/>
      <c r="D1078" s="546"/>
      <c r="E1078" s="232"/>
      <c r="F1078" s="543"/>
      <c r="G1078" s="330"/>
      <c r="H1078" s="235"/>
      <c r="I1078" s="544"/>
      <c r="J1078" s="119"/>
      <c r="K1078" s="231"/>
      <c r="L1078" s="21"/>
      <c r="M1078" s="21"/>
    </row>
    <row r="1079">
      <c r="A1079" s="230"/>
      <c r="B1079" s="231"/>
      <c r="C1079" s="547"/>
      <c r="D1079" s="546"/>
      <c r="E1079" s="232"/>
      <c r="F1079" s="543"/>
      <c r="G1079" s="330"/>
      <c r="H1079" s="235"/>
      <c r="I1079" s="544"/>
      <c r="J1079" s="119"/>
      <c r="K1079" s="231"/>
      <c r="L1079" s="21"/>
      <c r="M1079" s="21"/>
    </row>
    <row r="1080">
      <c r="A1080" s="230"/>
      <c r="B1080" s="231"/>
      <c r="C1080" s="547"/>
      <c r="D1080" s="546"/>
      <c r="E1080" s="232"/>
      <c r="F1080" s="543"/>
      <c r="G1080" s="330"/>
      <c r="H1080" s="235"/>
      <c r="I1080" s="544"/>
      <c r="J1080" s="119"/>
      <c r="K1080" s="231"/>
      <c r="L1080" s="21"/>
      <c r="M1080" s="21"/>
    </row>
    <row r="1081">
      <c r="A1081" s="230"/>
      <c r="B1081" s="231"/>
      <c r="C1081" s="547"/>
      <c r="D1081" s="546"/>
      <c r="E1081" s="232"/>
      <c r="F1081" s="543"/>
      <c r="G1081" s="330"/>
      <c r="H1081" s="235"/>
      <c r="I1081" s="544"/>
      <c r="J1081" s="119"/>
      <c r="K1081" s="231"/>
      <c r="L1081" s="21"/>
      <c r="M1081" s="21"/>
    </row>
    <row r="1082">
      <c r="A1082" s="230"/>
      <c r="B1082" s="231"/>
      <c r="C1082" s="547"/>
      <c r="D1082" s="546"/>
      <c r="E1082" s="232"/>
      <c r="F1082" s="543"/>
      <c r="G1082" s="330"/>
      <c r="H1082" s="235"/>
      <c r="I1082" s="544"/>
      <c r="J1082" s="119"/>
      <c r="K1082" s="231"/>
      <c r="L1082" s="21"/>
      <c r="M1082" s="21"/>
    </row>
    <row r="1083">
      <c r="A1083" s="230"/>
      <c r="B1083" s="231"/>
      <c r="C1083" s="547"/>
      <c r="D1083" s="546"/>
      <c r="E1083" s="232"/>
      <c r="F1083" s="543"/>
      <c r="G1083" s="330"/>
      <c r="H1083" s="235"/>
      <c r="I1083" s="544"/>
      <c r="J1083" s="119"/>
      <c r="K1083" s="231"/>
      <c r="L1083" s="21"/>
      <c r="M1083" s="21"/>
    </row>
    <row r="1084">
      <c r="A1084" s="230"/>
      <c r="B1084" s="231"/>
      <c r="C1084" s="547"/>
      <c r="D1084" s="546"/>
      <c r="E1084" s="232"/>
      <c r="F1084" s="543"/>
      <c r="G1084" s="330"/>
      <c r="H1084" s="235"/>
      <c r="I1084" s="544"/>
      <c r="J1084" s="119"/>
      <c r="K1084" s="231"/>
      <c r="L1084" s="21"/>
      <c r="M1084" s="21"/>
    </row>
    <row r="1085">
      <c r="A1085" s="230"/>
      <c r="B1085" s="231"/>
      <c r="C1085" s="547"/>
      <c r="D1085" s="546"/>
      <c r="E1085" s="232"/>
      <c r="F1085" s="543"/>
      <c r="G1085" s="330"/>
      <c r="H1085" s="235"/>
      <c r="I1085" s="544"/>
      <c r="J1085" s="119"/>
      <c r="K1085" s="231"/>
      <c r="L1085" s="21"/>
      <c r="M1085" s="21"/>
    </row>
    <row r="1086">
      <c r="A1086" s="230"/>
      <c r="B1086" s="231"/>
      <c r="C1086" s="547"/>
      <c r="D1086" s="546"/>
      <c r="E1086" s="232"/>
      <c r="F1086" s="543"/>
      <c r="G1086" s="330"/>
      <c r="H1086" s="235"/>
      <c r="I1086" s="544"/>
      <c r="J1086" s="119"/>
      <c r="K1086" s="231"/>
      <c r="L1086" s="21"/>
      <c r="M1086" s="21"/>
    </row>
    <row r="1087">
      <c r="A1087" s="230"/>
      <c r="B1087" s="231"/>
      <c r="C1087" s="547"/>
      <c r="D1087" s="546"/>
      <c r="E1087" s="232"/>
      <c r="F1087" s="543"/>
      <c r="G1087" s="330"/>
      <c r="H1087" s="235"/>
      <c r="I1087" s="544"/>
      <c r="J1087" s="119"/>
      <c r="K1087" s="231"/>
      <c r="L1087" s="21"/>
      <c r="M1087" s="21"/>
    </row>
    <row r="1088">
      <c r="A1088" s="230"/>
      <c r="B1088" s="231"/>
      <c r="C1088" s="547"/>
      <c r="D1088" s="546"/>
      <c r="E1088" s="232"/>
      <c r="F1088" s="543"/>
      <c r="G1088" s="330"/>
      <c r="H1088" s="235"/>
      <c r="I1088" s="544"/>
      <c r="J1088" s="119"/>
      <c r="K1088" s="231"/>
      <c r="L1088" s="21"/>
      <c r="M1088" s="21"/>
    </row>
    <row r="1089">
      <c r="A1089" s="230"/>
      <c r="B1089" s="231"/>
      <c r="C1089" s="547"/>
      <c r="D1089" s="546"/>
      <c r="E1089" s="232"/>
      <c r="F1089" s="543"/>
      <c r="G1089" s="330"/>
      <c r="H1089" s="235"/>
      <c r="I1089" s="544"/>
      <c r="J1089" s="119"/>
      <c r="K1089" s="231"/>
      <c r="L1089" s="21"/>
      <c r="M1089" s="21"/>
    </row>
    <row r="1090">
      <c r="A1090" s="230"/>
      <c r="B1090" s="231"/>
      <c r="C1090" s="547"/>
      <c r="D1090" s="546"/>
      <c r="E1090" s="232"/>
      <c r="F1090" s="543"/>
      <c r="G1090" s="330"/>
      <c r="H1090" s="235"/>
      <c r="I1090" s="544"/>
      <c r="J1090" s="119"/>
      <c r="K1090" s="231"/>
      <c r="L1090" s="21"/>
      <c r="M1090" s="21"/>
    </row>
    <row r="1091">
      <c r="A1091" s="230"/>
      <c r="B1091" s="231"/>
      <c r="C1091" s="547"/>
      <c r="D1091" s="546"/>
      <c r="E1091" s="232"/>
      <c r="F1091" s="543"/>
      <c r="G1091" s="330"/>
      <c r="H1091" s="235"/>
      <c r="I1091" s="544"/>
      <c r="J1091" s="119"/>
      <c r="K1091" s="231"/>
      <c r="L1091" s="21"/>
      <c r="M1091" s="21"/>
    </row>
    <row r="1092">
      <c r="A1092" s="230"/>
      <c r="B1092" s="231"/>
      <c r="C1092" s="547"/>
      <c r="D1092" s="546"/>
      <c r="E1092" s="232"/>
      <c r="F1092" s="543"/>
      <c r="G1092" s="330"/>
      <c r="H1092" s="235"/>
      <c r="I1092" s="544"/>
      <c r="J1092" s="119"/>
      <c r="K1092" s="231"/>
      <c r="L1092" s="21"/>
      <c r="M1092" s="21"/>
    </row>
    <row r="1093">
      <c r="A1093" s="230"/>
      <c r="B1093" s="231"/>
      <c r="C1093" s="547"/>
      <c r="D1093" s="546"/>
      <c r="E1093" s="232"/>
      <c r="F1093" s="543"/>
      <c r="G1093" s="330"/>
      <c r="H1093" s="235"/>
      <c r="I1093" s="544"/>
      <c r="J1093" s="119"/>
      <c r="K1093" s="231"/>
      <c r="L1093" s="21"/>
      <c r="M1093" s="21"/>
    </row>
    <row r="1094">
      <c r="A1094" s="230"/>
      <c r="B1094" s="231"/>
      <c r="C1094" s="547"/>
      <c r="D1094" s="546"/>
      <c r="E1094" s="232"/>
      <c r="F1094" s="543"/>
      <c r="G1094" s="330"/>
      <c r="H1094" s="235"/>
      <c r="I1094" s="544"/>
      <c r="J1094" s="119"/>
      <c r="K1094" s="231"/>
      <c r="L1094" s="21"/>
      <c r="M1094" s="21"/>
    </row>
    <row r="1095">
      <c r="A1095" s="230"/>
      <c r="B1095" s="231"/>
      <c r="C1095" s="547"/>
      <c r="D1095" s="546"/>
      <c r="E1095" s="232"/>
      <c r="F1095" s="543"/>
      <c r="G1095" s="330"/>
      <c r="H1095" s="235"/>
      <c r="I1095" s="544"/>
      <c r="J1095" s="119"/>
      <c r="K1095" s="231"/>
      <c r="L1095" s="21"/>
      <c r="M1095" s="21"/>
    </row>
    <row r="1096">
      <c r="A1096" s="230"/>
      <c r="B1096" s="231"/>
      <c r="C1096" s="547"/>
      <c r="D1096" s="546"/>
      <c r="E1096" s="232"/>
      <c r="F1096" s="543"/>
      <c r="G1096" s="330"/>
      <c r="H1096" s="235"/>
      <c r="I1096" s="544"/>
      <c r="J1096" s="119"/>
      <c r="K1096" s="231"/>
      <c r="L1096" s="21"/>
      <c r="M1096" s="21"/>
    </row>
    <row r="1097">
      <c r="A1097" s="230"/>
      <c r="B1097" s="231"/>
      <c r="C1097" s="547"/>
      <c r="D1097" s="546"/>
      <c r="E1097" s="232"/>
      <c r="F1097" s="543"/>
      <c r="G1097" s="330"/>
      <c r="H1097" s="235"/>
      <c r="I1097" s="544"/>
      <c r="J1097" s="119"/>
      <c r="K1097" s="231"/>
      <c r="L1097" s="21"/>
      <c r="M1097" s="21"/>
    </row>
    <row r="1098">
      <c r="A1098" s="230"/>
      <c r="B1098" s="231"/>
      <c r="C1098" s="547"/>
      <c r="D1098" s="546"/>
      <c r="E1098" s="232"/>
      <c r="F1098" s="543"/>
      <c r="G1098" s="330"/>
      <c r="H1098" s="235"/>
      <c r="I1098" s="544"/>
      <c r="J1098" s="119"/>
      <c r="K1098" s="231"/>
      <c r="L1098" s="21"/>
      <c r="M1098" s="21"/>
    </row>
    <row r="1099">
      <c r="A1099" s="230"/>
      <c r="B1099" s="231"/>
      <c r="C1099" s="547"/>
      <c r="D1099" s="546"/>
      <c r="E1099" s="232"/>
      <c r="F1099" s="543"/>
      <c r="G1099" s="330"/>
      <c r="H1099" s="235"/>
      <c r="I1099" s="544"/>
      <c r="J1099" s="119"/>
      <c r="K1099" s="231"/>
      <c r="L1099" s="21"/>
      <c r="M1099" s="21"/>
    </row>
    <row r="1100">
      <c r="A1100" s="230"/>
      <c r="B1100" s="231"/>
      <c r="C1100" s="547"/>
      <c r="D1100" s="546"/>
      <c r="E1100" s="232"/>
      <c r="F1100" s="543"/>
      <c r="G1100" s="330"/>
      <c r="H1100" s="235"/>
      <c r="I1100" s="544"/>
      <c r="J1100" s="119"/>
      <c r="K1100" s="231"/>
      <c r="L1100" s="21"/>
      <c r="M1100" s="21"/>
    </row>
    <row r="1101">
      <c r="A1101" s="230"/>
      <c r="B1101" s="231"/>
      <c r="C1101" s="547"/>
      <c r="D1101" s="546"/>
      <c r="E1101" s="232"/>
      <c r="F1101" s="543"/>
      <c r="G1101" s="330"/>
      <c r="H1101" s="235"/>
      <c r="I1101" s="544"/>
      <c r="J1101" s="119"/>
      <c r="K1101" s="231"/>
      <c r="L1101" s="21"/>
      <c r="M1101" s="21"/>
    </row>
    <row r="1102">
      <c r="A1102" s="230"/>
      <c r="B1102" s="231"/>
      <c r="C1102" s="547"/>
      <c r="D1102" s="546"/>
      <c r="E1102" s="232"/>
      <c r="F1102" s="543"/>
      <c r="G1102" s="330"/>
      <c r="H1102" s="235"/>
      <c r="I1102" s="544"/>
      <c r="J1102" s="119"/>
      <c r="K1102" s="231"/>
      <c r="L1102" s="21"/>
      <c r="M1102" s="21"/>
    </row>
    <row r="1103">
      <c r="A1103" s="230"/>
      <c r="B1103" s="231"/>
      <c r="C1103" s="547"/>
      <c r="D1103" s="546"/>
      <c r="E1103" s="232"/>
      <c r="F1103" s="543"/>
      <c r="G1103" s="330"/>
      <c r="H1103" s="235"/>
      <c r="I1103" s="544"/>
      <c r="J1103" s="119"/>
      <c r="K1103" s="231"/>
      <c r="L1103" s="21"/>
      <c r="M1103" s="21"/>
    </row>
    <row r="1104">
      <c r="A1104" s="230"/>
      <c r="B1104" s="231"/>
      <c r="C1104" s="547"/>
      <c r="D1104" s="546"/>
      <c r="E1104" s="232"/>
      <c r="F1104" s="543"/>
      <c r="G1104" s="330"/>
      <c r="H1104" s="235"/>
      <c r="I1104" s="544"/>
      <c r="J1104" s="119"/>
      <c r="K1104" s="231"/>
      <c r="L1104" s="21"/>
      <c r="M1104" s="21"/>
    </row>
    <row r="1105">
      <c r="A1105" s="230"/>
      <c r="B1105" s="231"/>
      <c r="C1105" s="547"/>
      <c r="D1105" s="546"/>
      <c r="E1105" s="232"/>
      <c r="F1105" s="543"/>
      <c r="G1105" s="330"/>
      <c r="H1105" s="235"/>
      <c r="I1105" s="544"/>
      <c r="J1105" s="119"/>
      <c r="K1105" s="231"/>
      <c r="L1105" s="21"/>
      <c r="M1105" s="21"/>
    </row>
    <row r="1106">
      <c r="A1106" s="230"/>
      <c r="B1106" s="231"/>
      <c r="C1106" s="547"/>
      <c r="D1106" s="546"/>
      <c r="E1106" s="232"/>
      <c r="F1106" s="543"/>
      <c r="G1106" s="330"/>
      <c r="H1106" s="235"/>
      <c r="I1106" s="544"/>
      <c r="J1106" s="119"/>
      <c r="K1106" s="231"/>
      <c r="L1106" s="21"/>
      <c r="M1106" s="21"/>
    </row>
    <row r="1107">
      <c r="A1107" s="230"/>
      <c r="B1107" s="231"/>
      <c r="C1107" s="547"/>
      <c r="D1107" s="546"/>
      <c r="E1107" s="232"/>
      <c r="F1107" s="543"/>
      <c r="G1107" s="330"/>
      <c r="H1107" s="235"/>
      <c r="I1107" s="544"/>
      <c r="J1107" s="119"/>
      <c r="K1107" s="231"/>
      <c r="L1107" s="21"/>
      <c r="M1107" s="21"/>
    </row>
    <row r="1108">
      <c r="A1108" s="230"/>
      <c r="B1108" s="231"/>
      <c r="C1108" s="547"/>
      <c r="D1108" s="546"/>
      <c r="E1108" s="232"/>
      <c r="F1108" s="543"/>
      <c r="G1108" s="330"/>
      <c r="H1108" s="235"/>
      <c r="I1108" s="544"/>
      <c r="J1108" s="119"/>
      <c r="K1108" s="231"/>
      <c r="L1108" s="21"/>
      <c r="M1108" s="21"/>
    </row>
    <row r="1109">
      <c r="A1109" s="230"/>
      <c r="B1109" s="231"/>
      <c r="C1109" s="547"/>
      <c r="D1109" s="546"/>
      <c r="E1109" s="232"/>
      <c r="F1109" s="543"/>
      <c r="G1109" s="330"/>
      <c r="H1109" s="235"/>
      <c r="I1109" s="544"/>
      <c r="J1109" s="119"/>
      <c r="K1109" s="231"/>
      <c r="L1109" s="21"/>
      <c r="M1109" s="21"/>
    </row>
    <row r="1110">
      <c r="A1110" s="230"/>
      <c r="B1110" s="231"/>
      <c r="C1110" s="547"/>
      <c r="D1110" s="546"/>
      <c r="E1110" s="232"/>
      <c r="F1110" s="543"/>
      <c r="G1110" s="330"/>
      <c r="H1110" s="235"/>
      <c r="I1110" s="544"/>
      <c r="J1110" s="119"/>
      <c r="K1110" s="231"/>
      <c r="L1110" s="21"/>
      <c r="M1110" s="21"/>
    </row>
    <row r="1111">
      <c r="A1111" s="230"/>
      <c r="B1111" s="231"/>
      <c r="C1111" s="547"/>
      <c r="D1111" s="546"/>
      <c r="E1111" s="232"/>
      <c r="F1111" s="543"/>
      <c r="G1111" s="330"/>
      <c r="H1111" s="235"/>
      <c r="I1111" s="544"/>
      <c r="J1111" s="119"/>
      <c r="K1111" s="231"/>
      <c r="L1111" s="21"/>
      <c r="M1111" s="21"/>
    </row>
    <row r="1112">
      <c r="A1112" s="230"/>
      <c r="B1112" s="231"/>
      <c r="C1112" s="547"/>
      <c r="D1112" s="546"/>
      <c r="E1112" s="232"/>
      <c r="F1112" s="543"/>
      <c r="G1112" s="330"/>
      <c r="H1112" s="235"/>
      <c r="I1112" s="544"/>
      <c r="J1112" s="119"/>
      <c r="K1112" s="231"/>
      <c r="L1112" s="21"/>
      <c r="M1112" s="21"/>
    </row>
    <row r="1113">
      <c r="A1113" s="230"/>
      <c r="B1113" s="231"/>
      <c r="C1113" s="547"/>
      <c r="D1113" s="546"/>
      <c r="E1113" s="232"/>
      <c r="F1113" s="543"/>
      <c r="G1113" s="330"/>
      <c r="H1113" s="235"/>
      <c r="I1113" s="544"/>
      <c r="J1113" s="119"/>
      <c r="K1113" s="231"/>
      <c r="L1113" s="21"/>
      <c r="M1113" s="21"/>
    </row>
    <row r="1114">
      <c r="A1114" s="230"/>
      <c r="B1114" s="231"/>
      <c r="C1114" s="547"/>
      <c r="D1114" s="546"/>
      <c r="E1114" s="232"/>
      <c r="F1114" s="543"/>
      <c r="G1114" s="330"/>
      <c r="H1114" s="235"/>
      <c r="I1114" s="544"/>
      <c r="J1114" s="119"/>
      <c r="K1114" s="231"/>
      <c r="L1114" s="21"/>
      <c r="M1114" s="21"/>
    </row>
    <row r="1115">
      <c r="A1115" s="230"/>
      <c r="B1115" s="231"/>
      <c r="C1115" s="547"/>
      <c r="D1115" s="546"/>
      <c r="E1115" s="232"/>
      <c r="F1115" s="543"/>
      <c r="G1115" s="330"/>
      <c r="H1115" s="235"/>
      <c r="I1115" s="544"/>
      <c r="J1115" s="119"/>
      <c r="K1115" s="231"/>
      <c r="L1115" s="21"/>
      <c r="M1115" s="21"/>
    </row>
    <row r="1116">
      <c r="A1116" s="230"/>
      <c r="B1116" s="231"/>
      <c r="C1116" s="547"/>
      <c r="D1116" s="546"/>
      <c r="E1116" s="232"/>
      <c r="F1116" s="543"/>
      <c r="G1116" s="330"/>
      <c r="H1116" s="235"/>
      <c r="I1116" s="544"/>
      <c r="J1116" s="119"/>
      <c r="K1116" s="231"/>
      <c r="L1116" s="21"/>
      <c r="M1116" s="21"/>
    </row>
    <row r="1117">
      <c r="A1117" s="230"/>
      <c r="B1117" s="231"/>
      <c r="C1117" s="547"/>
      <c r="D1117" s="546"/>
      <c r="E1117" s="232"/>
      <c r="F1117" s="543"/>
      <c r="G1117" s="330"/>
      <c r="H1117" s="235"/>
      <c r="I1117" s="544"/>
      <c r="J1117" s="119"/>
      <c r="K1117" s="231"/>
      <c r="L1117" s="21"/>
      <c r="M1117" s="21"/>
    </row>
    <row r="1118">
      <c r="A1118" s="230"/>
      <c r="B1118" s="231"/>
      <c r="C1118" s="547"/>
      <c r="D1118" s="546"/>
      <c r="E1118" s="232"/>
      <c r="F1118" s="543"/>
      <c r="G1118" s="330"/>
      <c r="H1118" s="235"/>
      <c r="I1118" s="544"/>
      <c r="J1118" s="119"/>
      <c r="K1118" s="231"/>
      <c r="L1118" s="21"/>
      <c r="M1118" s="21"/>
    </row>
    <row r="1119">
      <c r="A1119" s="230"/>
      <c r="B1119" s="231"/>
      <c r="C1119" s="547"/>
      <c r="D1119" s="546"/>
      <c r="E1119" s="232"/>
      <c r="F1119" s="543"/>
      <c r="G1119" s="330"/>
      <c r="H1119" s="235"/>
      <c r="I1119" s="544"/>
      <c r="J1119" s="119"/>
      <c r="K1119" s="231"/>
      <c r="L1119" s="21"/>
      <c r="M1119" s="21"/>
    </row>
    <row r="1120">
      <c r="A1120" s="230"/>
      <c r="B1120" s="231"/>
      <c r="C1120" s="547"/>
      <c r="D1120" s="546"/>
      <c r="E1120" s="232"/>
      <c r="F1120" s="543"/>
      <c r="G1120" s="330"/>
      <c r="H1120" s="235"/>
      <c r="I1120" s="544"/>
      <c r="J1120" s="119"/>
      <c r="K1120" s="231"/>
      <c r="L1120" s="21"/>
      <c r="M1120" s="21"/>
    </row>
    <row r="1121">
      <c r="A1121" s="230"/>
      <c r="B1121" s="231"/>
      <c r="C1121" s="547"/>
      <c r="D1121" s="546"/>
      <c r="E1121" s="232"/>
      <c r="F1121" s="543"/>
      <c r="G1121" s="330"/>
      <c r="H1121" s="235"/>
      <c r="I1121" s="544"/>
      <c r="J1121" s="119"/>
      <c r="K1121" s="231"/>
      <c r="L1121" s="21"/>
      <c r="M1121" s="21"/>
    </row>
    <row r="1122">
      <c r="A1122" s="230"/>
      <c r="B1122" s="231"/>
      <c r="C1122" s="547"/>
      <c r="D1122" s="546"/>
      <c r="E1122" s="232"/>
      <c r="F1122" s="543"/>
      <c r="G1122" s="330"/>
      <c r="H1122" s="235"/>
      <c r="I1122" s="544"/>
      <c r="J1122" s="119"/>
      <c r="K1122" s="231"/>
      <c r="L1122" s="21"/>
      <c r="M1122" s="21"/>
    </row>
    <row r="1123">
      <c r="A1123" s="230"/>
      <c r="B1123" s="231"/>
      <c r="C1123" s="547"/>
      <c r="D1123" s="546"/>
      <c r="E1123" s="232"/>
      <c r="F1123" s="543"/>
      <c r="G1123" s="330"/>
      <c r="H1123" s="235"/>
      <c r="I1123" s="544"/>
      <c r="J1123" s="119"/>
      <c r="K1123" s="231"/>
      <c r="L1123" s="21"/>
      <c r="M1123" s="21"/>
    </row>
    <row r="1124">
      <c r="A1124" s="230"/>
      <c r="B1124" s="231"/>
      <c r="C1124" s="547"/>
      <c r="D1124" s="546"/>
      <c r="E1124" s="232"/>
      <c r="F1124" s="543"/>
      <c r="G1124" s="330"/>
      <c r="H1124" s="235"/>
      <c r="I1124" s="544"/>
      <c r="J1124" s="119"/>
      <c r="K1124" s="231"/>
      <c r="L1124" s="21"/>
      <c r="M1124" s="21"/>
    </row>
    <row r="1125">
      <c r="A1125" s="230"/>
      <c r="B1125" s="231"/>
      <c r="C1125" s="547"/>
      <c r="D1125" s="546"/>
      <c r="E1125" s="232"/>
      <c r="F1125" s="543"/>
      <c r="G1125" s="330"/>
      <c r="H1125" s="235"/>
      <c r="I1125" s="544"/>
      <c r="J1125" s="119"/>
      <c r="K1125" s="231"/>
      <c r="L1125" s="21"/>
      <c r="M1125" s="21"/>
    </row>
    <row r="1126">
      <c r="A1126" s="230"/>
      <c r="B1126" s="231"/>
      <c r="C1126" s="547"/>
      <c r="D1126" s="546"/>
      <c r="E1126" s="232"/>
      <c r="F1126" s="543"/>
      <c r="G1126" s="330"/>
      <c r="H1126" s="235"/>
      <c r="I1126" s="544"/>
      <c r="J1126" s="119"/>
      <c r="K1126" s="231"/>
      <c r="L1126" s="21"/>
      <c r="M1126" s="21"/>
    </row>
    <row r="1127">
      <c r="A1127" s="230"/>
      <c r="B1127" s="231"/>
      <c r="C1127" s="547"/>
      <c r="D1127" s="546"/>
      <c r="E1127" s="232"/>
      <c r="F1127" s="543"/>
      <c r="G1127" s="330"/>
      <c r="H1127" s="235"/>
      <c r="I1127" s="544"/>
      <c r="J1127" s="119"/>
      <c r="K1127" s="231"/>
      <c r="L1127" s="21"/>
      <c r="M1127" s="21"/>
    </row>
    <row r="1128">
      <c r="A1128" s="230"/>
      <c r="B1128" s="231"/>
      <c r="C1128" s="547"/>
      <c r="D1128" s="546"/>
      <c r="E1128" s="232"/>
      <c r="F1128" s="543"/>
      <c r="G1128" s="330"/>
      <c r="H1128" s="235"/>
      <c r="I1128" s="544"/>
      <c r="J1128" s="119"/>
      <c r="K1128" s="231"/>
      <c r="L1128" s="21"/>
      <c r="M1128" s="21"/>
    </row>
    <row r="1129">
      <c r="A1129" s="230"/>
      <c r="B1129" s="231"/>
      <c r="C1129" s="547"/>
      <c r="D1129" s="546"/>
      <c r="E1129" s="232"/>
      <c r="F1129" s="543"/>
      <c r="G1129" s="330"/>
      <c r="H1129" s="235"/>
      <c r="I1129" s="544"/>
      <c r="J1129" s="119"/>
      <c r="K1129" s="231"/>
      <c r="L1129" s="21"/>
      <c r="M1129" s="21"/>
    </row>
    <row r="1130">
      <c r="A1130" s="230"/>
      <c r="B1130" s="231"/>
      <c r="C1130" s="547"/>
      <c r="D1130" s="546"/>
      <c r="E1130" s="232"/>
      <c r="F1130" s="543"/>
      <c r="G1130" s="330"/>
      <c r="H1130" s="235"/>
      <c r="I1130" s="544"/>
      <c r="J1130" s="119"/>
      <c r="K1130" s="231"/>
      <c r="L1130" s="21"/>
      <c r="M1130" s="21"/>
    </row>
    <row r="1131">
      <c r="A1131" s="230"/>
      <c r="B1131" s="231"/>
      <c r="C1131" s="547"/>
      <c r="D1131" s="546"/>
      <c r="E1131" s="232"/>
      <c r="F1131" s="543"/>
      <c r="G1131" s="330"/>
      <c r="H1131" s="235"/>
      <c r="I1131" s="544"/>
      <c r="J1131" s="119"/>
      <c r="K1131" s="231"/>
      <c r="L1131" s="21"/>
      <c r="M1131" s="21"/>
    </row>
    <row r="1132">
      <c r="A1132" s="230"/>
      <c r="B1132" s="231"/>
      <c r="C1132" s="547"/>
      <c r="D1132" s="546"/>
      <c r="E1132" s="232"/>
      <c r="F1132" s="543"/>
      <c r="G1132" s="330"/>
      <c r="H1132" s="235"/>
      <c r="I1132" s="544"/>
      <c r="J1132" s="119"/>
      <c r="K1132" s="231"/>
      <c r="L1132" s="21"/>
      <c r="M1132" s="21"/>
    </row>
    <row r="1133">
      <c r="A1133" s="230"/>
      <c r="B1133" s="231"/>
      <c r="C1133" s="547"/>
      <c r="D1133" s="546"/>
      <c r="E1133" s="232"/>
      <c r="F1133" s="543"/>
      <c r="G1133" s="330"/>
      <c r="H1133" s="235"/>
      <c r="I1133" s="544"/>
      <c r="J1133" s="119"/>
      <c r="K1133" s="231"/>
      <c r="L1133" s="21"/>
      <c r="M1133" s="21"/>
    </row>
    <row r="1134">
      <c r="A1134" s="230"/>
      <c r="B1134" s="231"/>
      <c r="C1134" s="547"/>
      <c r="D1134" s="546"/>
      <c r="E1134" s="232"/>
      <c r="F1134" s="543"/>
      <c r="G1134" s="330"/>
      <c r="H1134" s="235"/>
      <c r="I1134" s="544"/>
      <c r="J1134" s="119"/>
      <c r="K1134" s="231"/>
      <c r="L1134" s="21"/>
      <c r="M1134" s="21"/>
    </row>
    <row r="1135">
      <c r="A1135" s="230"/>
      <c r="B1135" s="231"/>
      <c r="C1135" s="547"/>
      <c r="D1135" s="546"/>
      <c r="E1135" s="232"/>
      <c r="F1135" s="543"/>
      <c r="G1135" s="330"/>
      <c r="H1135" s="235"/>
      <c r="I1135" s="544"/>
      <c r="J1135" s="119"/>
      <c r="K1135" s="231"/>
      <c r="L1135" s="21"/>
      <c r="M1135" s="21"/>
    </row>
    <row r="1136">
      <c r="A1136" s="230"/>
      <c r="B1136" s="231"/>
      <c r="C1136" s="547"/>
      <c r="D1136" s="546"/>
      <c r="E1136" s="232"/>
      <c r="F1136" s="543"/>
      <c r="G1136" s="330"/>
      <c r="H1136" s="235"/>
      <c r="I1136" s="544"/>
      <c r="J1136" s="119"/>
      <c r="K1136" s="231"/>
      <c r="L1136" s="21"/>
      <c r="M1136" s="21"/>
    </row>
    <row r="1137">
      <c r="A1137" s="230"/>
      <c r="B1137" s="231"/>
      <c r="C1137" s="547"/>
      <c r="D1137" s="546"/>
      <c r="E1137" s="232"/>
      <c r="F1137" s="543"/>
      <c r="G1137" s="330"/>
      <c r="H1137" s="235"/>
      <c r="I1137" s="544"/>
      <c r="J1137" s="119"/>
      <c r="K1137" s="231"/>
      <c r="L1137" s="21"/>
      <c r="M1137" s="21"/>
    </row>
    <row r="1138">
      <c r="A1138" s="230"/>
      <c r="B1138" s="231"/>
      <c r="C1138" s="547"/>
      <c r="D1138" s="546"/>
      <c r="E1138" s="232"/>
      <c r="F1138" s="543"/>
      <c r="G1138" s="330"/>
      <c r="H1138" s="235"/>
      <c r="I1138" s="544"/>
      <c r="J1138" s="119"/>
      <c r="K1138" s="231"/>
      <c r="L1138" s="21"/>
      <c r="M1138" s="21"/>
    </row>
    <row r="1139">
      <c r="A1139" s="230"/>
      <c r="B1139" s="231"/>
      <c r="C1139" s="547"/>
      <c r="D1139" s="546"/>
      <c r="E1139" s="232"/>
      <c r="F1139" s="543"/>
      <c r="G1139" s="330"/>
      <c r="H1139" s="235"/>
      <c r="I1139" s="544"/>
      <c r="J1139" s="119"/>
      <c r="K1139" s="231"/>
      <c r="L1139" s="21"/>
      <c r="M1139" s="21"/>
    </row>
    <row r="1140">
      <c r="A1140" s="230"/>
      <c r="B1140" s="231"/>
      <c r="C1140" s="547"/>
      <c r="D1140" s="546"/>
      <c r="E1140" s="232"/>
      <c r="F1140" s="543"/>
      <c r="G1140" s="330"/>
      <c r="H1140" s="235"/>
      <c r="I1140" s="544"/>
      <c r="J1140" s="119"/>
      <c r="K1140" s="231"/>
      <c r="L1140" s="21"/>
      <c r="M1140" s="21"/>
    </row>
    <row r="1141">
      <c r="A1141" s="230"/>
      <c r="B1141" s="231"/>
      <c r="C1141" s="547"/>
      <c r="D1141" s="546"/>
      <c r="E1141" s="232"/>
      <c r="F1141" s="543"/>
      <c r="G1141" s="330"/>
      <c r="H1141" s="235"/>
      <c r="I1141" s="544"/>
      <c r="J1141" s="119"/>
      <c r="K1141" s="231"/>
      <c r="L1141" s="21"/>
      <c r="M1141" s="21"/>
    </row>
    <row r="1142">
      <c r="A1142" s="230"/>
      <c r="B1142" s="231"/>
      <c r="C1142" s="547"/>
      <c r="D1142" s="546"/>
      <c r="E1142" s="232"/>
      <c r="F1142" s="543"/>
      <c r="G1142" s="330"/>
      <c r="H1142" s="235"/>
      <c r="I1142" s="544"/>
      <c r="J1142" s="119"/>
      <c r="K1142" s="231"/>
      <c r="L1142" s="21"/>
      <c r="M1142" s="21"/>
    </row>
    <row r="1143">
      <c r="A1143" s="230"/>
      <c r="B1143" s="231"/>
      <c r="C1143" s="547"/>
      <c r="D1143" s="546"/>
      <c r="E1143" s="232"/>
      <c r="F1143" s="543"/>
      <c r="G1143" s="330"/>
      <c r="H1143" s="235"/>
      <c r="I1143" s="544"/>
      <c r="J1143" s="119"/>
      <c r="K1143" s="231"/>
      <c r="L1143" s="21"/>
      <c r="M1143" s="21"/>
    </row>
    <row r="1144">
      <c r="A1144" s="230"/>
      <c r="B1144" s="231"/>
      <c r="C1144" s="547"/>
      <c r="D1144" s="546"/>
      <c r="E1144" s="232"/>
      <c r="F1144" s="543"/>
      <c r="G1144" s="330"/>
      <c r="H1144" s="235"/>
      <c r="I1144" s="544"/>
      <c r="J1144" s="119"/>
      <c r="K1144" s="231"/>
      <c r="L1144" s="21"/>
      <c r="M1144" s="21"/>
    </row>
    <row r="1145">
      <c r="A1145" s="230"/>
      <c r="B1145" s="231"/>
      <c r="C1145" s="547"/>
      <c r="D1145" s="546"/>
      <c r="E1145" s="232"/>
      <c r="F1145" s="543"/>
      <c r="G1145" s="330"/>
      <c r="H1145" s="235"/>
      <c r="I1145" s="544"/>
      <c r="J1145" s="119"/>
      <c r="K1145" s="231"/>
      <c r="L1145" s="21"/>
      <c r="M1145" s="21"/>
    </row>
    <row r="1146">
      <c r="A1146" s="230"/>
      <c r="B1146" s="231"/>
      <c r="C1146" s="547"/>
      <c r="D1146" s="546"/>
      <c r="E1146" s="232"/>
      <c r="F1146" s="543"/>
      <c r="G1146" s="330"/>
      <c r="H1146" s="235"/>
      <c r="I1146" s="544"/>
      <c r="J1146" s="119"/>
      <c r="K1146" s="231"/>
      <c r="L1146" s="21"/>
      <c r="M1146" s="21"/>
    </row>
    <row r="1147">
      <c r="A1147" s="230"/>
      <c r="B1147" s="231"/>
      <c r="C1147" s="547"/>
      <c r="D1147" s="546"/>
      <c r="E1147" s="232"/>
      <c r="F1147" s="543"/>
      <c r="G1147" s="330"/>
      <c r="H1147" s="235"/>
      <c r="I1147" s="544"/>
      <c r="J1147" s="119"/>
      <c r="K1147" s="231"/>
      <c r="L1147" s="21"/>
      <c r="M1147" s="21"/>
    </row>
    <row r="1148">
      <c r="A1148" s="230"/>
      <c r="B1148" s="231"/>
      <c r="C1148" s="547"/>
      <c r="D1148" s="546"/>
      <c r="E1148" s="232"/>
      <c r="F1148" s="543"/>
      <c r="G1148" s="330"/>
      <c r="H1148" s="235"/>
      <c r="I1148" s="544"/>
      <c r="J1148" s="119"/>
      <c r="K1148" s="231"/>
      <c r="L1148" s="21"/>
      <c r="M1148" s="21"/>
    </row>
    <row r="1149">
      <c r="A1149" s="230"/>
      <c r="B1149" s="231"/>
      <c r="C1149" s="547"/>
      <c r="D1149" s="546"/>
      <c r="E1149" s="232"/>
      <c r="F1149" s="543"/>
      <c r="G1149" s="330"/>
      <c r="H1149" s="235"/>
      <c r="I1149" s="544"/>
      <c r="J1149" s="119"/>
      <c r="K1149" s="231"/>
      <c r="L1149" s="21"/>
      <c r="M1149" s="21"/>
    </row>
    <row r="1150">
      <c r="A1150" s="230"/>
      <c r="B1150" s="231"/>
      <c r="C1150" s="547"/>
      <c r="D1150" s="546"/>
      <c r="E1150" s="232"/>
      <c r="F1150" s="543"/>
      <c r="G1150" s="330"/>
      <c r="H1150" s="235"/>
      <c r="I1150" s="544"/>
      <c r="J1150" s="119"/>
      <c r="K1150" s="231"/>
      <c r="L1150" s="21"/>
      <c r="M1150" s="21"/>
    </row>
    <row r="1151">
      <c r="A1151" s="230"/>
      <c r="B1151" s="231"/>
      <c r="C1151" s="547"/>
      <c r="D1151" s="546"/>
      <c r="E1151" s="232"/>
      <c r="F1151" s="543"/>
      <c r="G1151" s="330"/>
      <c r="H1151" s="235"/>
      <c r="I1151" s="544"/>
      <c r="J1151" s="119"/>
      <c r="K1151" s="231"/>
      <c r="L1151" s="21"/>
      <c r="M1151" s="21"/>
    </row>
    <row r="1152">
      <c r="A1152" s="230"/>
      <c r="B1152" s="231"/>
      <c r="C1152" s="547"/>
      <c r="D1152" s="546"/>
      <c r="E1152" s="232"/>
      <c r="F1152" s="543"/>
      <c r="G1152" s="330"/>
      <c r="H1152" s="235"/>
      <c r="I1152" s="544"/>
      <c r="J1152" s="119"/>
      <c r="K1152" s="231"/>
      <c r="L1152" s="21"/>
      <c r="M1152" s="21"/>
    </row>
    <row r="1153">
      <c r="A1153" s="230"/>
      <c r="B1153" s="231"/>
      <c r="C1153" s="547"/>
      <c r="D1153" s="546"/>
      <c r="E1153" s="232"/>
      <c r="F1153" s="543"/>
      <c r="G1153" s="330"/>
      <c r="H1153" s="235"/>
      <c r="I1153" s="544"/>
      <c r="J1153" s="119"/>
      <c r="K1153" s="231"/>
      <c r="L1153" s="21"/>
      <c r="M1153" s="21"/>
    </row>
    <row r="1154">
      <c r="A1154" s="230"/>
      <c r="B1154" s="231"/>
      <c r="C1154" s="547"/>
      <c r="D1154" s="546"/>
      <c r="E1154" s="232"/>
      <c r="F1154" s="543"/>
      <c r="G1154" s="330"/>
      <c r="H1154" s="235"/>
      <c r="I1154" s="544"/>
      <c r="J1154" s="119"/>
      <c r="K1154" s="231"/>
      <c r="L1154" s="21"/>
      <c r="M1154" s="21"/>
    </row>
    <row r="1155">
      <c r="A1155" s="230"/>
      <c r="B1155" s="231"/>
      <c r="C1155" s="547"/>
      <c r="D1155" s="546"/>
      <c r="E1155" s="232"/>
      <c r="F1155" s="543"/>
      <c r="G1155" s="330"/>
      <c r="H1155" s="235"/>
      <c r="I1155" s="544"/>
      <c r="J1155" s="119"/>
      <c r="K1155" s="231"/>
      <c r="L1155" s="21"/>
      <c r="M1155" s="21"/>
    </row>
    <row r="1156">
      <c r="A1156" s="230"/>
      <c r="B1156" s="231"/>
      <c r="C1156" s="547"/>
      <c r="D1156" s="546"/>
      <c r="E1156" s="232"/>
      <c r="F1156" s="543"/>
      <c r="G1156" s="330"/>
      <c r="H1156" s="235"/>
      <c r="I1156" s="544"/>
      <c r="J1156" s="119"/>
      <c r="K1156" s="231"/>
      <c r="L1156" s="21"/>
      <c r="M1156" s="21"/>
    </row>
    <row r="1157">
      <c r="A1157" s="230"/>
      <c r="B1157" s="231"/>
      <c r="C1157" s="547"/>
      <c r="D1157" s="546"/>
      <c r="E1157" s="232"/>
      <c r="F1157" s="543"/>
      <c r="G1157" s="330"/>
      <c r="H1157" s="235"/>
      <c r="I1157" s="544"/>
      <c r="J1157" s="119"/>
      <c r="K1157" s="231"/>
      <c r="L1157" s="21"/>
      <c r="M1157" s="21"/>
    </row>
    <row r="1158">
      <c r="A1158" s="230"/>
      <c r="B1158" s="231"/>
      <c r="C1158" s="547"/>
      <c r="D1158" s="546"/>
      <c r="E1158" s="232"/>
      <c r="F1158" s="543"/>
      <c r="G1158" s="330"/>
      <c r="H1158" s="235"/>
      <c r="I1158" s="544"/>
      <c r="J1158" s="119"/>
      <c r="K1158" s="231"/>
      <c r="L1158" s="21"/>
      <c r="M1158" s="21"/>
    </row>
    <row r="1159">
      <c r="A1159" s="230"/>
      <c r="B1159" s="231"/>
      <c r="C1159" s="547"/>
      <c r="D1159" s="546"/>
      <c r="E1159" s="232"/>
      <c r="F1159" s="543"/>
      <c r="G1159" s="330"/>
      <c r="H1159" s="235"/>
      <c r="I1159" s="544"/>
      <c r="J1159" s="119"/>
      <c r="K1159" s="231"/>
      <c r="L1159" s="21"/>
      <c r="M1159" s="21"/>
    </row>
    <row r="1160">
      <c r="A1160" s="230"/>
      <c r="B1160" s="231"/>
      <c r="C1160" s="547"/>
      <c r="D1160" s="546"/>
      <c r="E1160" s="232"/>
      <c r="F1160" s="543"/>
      <c r="G1160" s="330"/>
      <c r="H1160" s="235"/>
      <c r="I1160" s="544"/>
      <c r="J1160" s="119"/>
      <c r="K1160" s="231"/>
      <c r="L1160" s="21"/>
      <c r="M1160" s="21"/>
    </row>
    <row r="1161">
      <c r="A1161" s="230"/>
      <c r="B1161" s="231"/>
      <c r="C1161" s="547"/>
      <c r="D1161" s="546"/>
      <c r="E1161" s="232"/>
      <c r="F1161" s="543"/>
      <c r="G1161" s="330"/>
      <c r="H1161" s="235"/>
      <c r="I1161" s="544"/>
      <c r="J1161" s="119"/>
      <c r="K1161" s="231"/>
      <c r="L1161" s="21"/>
      <c r="M1161" s="21"/>
    </row>
    <row r="1162">
      <c r="A1162" s="230"/>
      <c r="B1162" s="231"/>
      <c r="C1162" s="547"/>
      <c r="D1162" s="546"/>
      <c r="E1162" s="232"/>
      <c r="F1162" s="543"/>
      <c r="G1162" s="330"/>
      <c r="H1162" s="235"/>
      <c r="I1162" s="544"/>
      <c r="J1162" s="119"/>
      <c r="K1162" s="231"/>
      <c r="L1162" s="21"/>
      <c r="M1162" s="21"/>
    </row>
    <row r="1163">
      <c r="A1163" s="230"/>
      <c r="B1163" s="231"/>
      <c r="C1163" s="547"/>
      <c r="D1163" s="546"/>
      <c r="E1163" s="232"/>
      <c r="F1163" s="543"/>
      <c r="G1163" s="330"/>
      <c r="H1163" s="235"/>
      <c r="I1163" s="544"/>
      <c r="J1163" s="119"/>
      <c r="K1163" s="231"/>
      <c r="L1163" s="21"/>
      <c r="M1163" s="21"/>
    </row>
    <row r="1164">
      <c r="A1164" s="230"/>
      <c r="B1164" s="231"/>
      <c r="C1164" s="547"/>
      <c r="D1164" s="546"/>
      <c r="E1164" s="232"/>
      <c r="F1164" s="543"/>
      <c r="G1164" s="330"/>
      <c r="H1164" s="235"/>
      <c r="I1164" s="544"/>
      <c r="J1164" s="119"/>
      <c r="K1164" s="231"/>
      <c r="L1164" s="21"/>
      <c r="M1164" s="21"/>
    </row>
    <row r="1165">
      <c r="A1165" s="230"/>
      <c r="B1165" s="231"/>
      <c r="C1165" s="547"/>
      <c r="D1165" s="546"/>
      <c r="E1165" s="232"/>
      <c r="F1165" s="543"/>
      <c r="G1165" s="330"/>
      <c r="H1165" s="235"/>
      <c r="I1165" s="544"/>
      <c r="J1165" s="119"/>
      <c r="K1165" s="231"/>
      <c r="L1165" s="21"/>
      <c r="M1165" s="21"/>
    </row>
    <row r="1166">
      <c r="A1166" s="230"/>
      <c r="B1166" s="231"/>
      <c r="C1166" s="547"/>
      <c r="D1166" s="546"/>
      <c r="E1166" s="232"/>
      <c r="F1166" s="543"/>
      <c r="G1166" s="330"/>
      <c r="H1166" s="235"/>
      <c r="I1166" s="544"/>
      <c r="J1166" s="119"/>
      <c r="K1166" s="231"/>
      <c r="L1166" s="21"/>
      <c r="M1166" s="21"/>
    </row>
    <row r="1167">
      <c r="A1167" s="230"/>
      <c r="B1167" s="231"/>
      <c r="C1167" s="547"/>
      <c r="D1167" s="546"/>
      <c r="E1167" s="232"/>
      <c r="F1167" s="543"/>
      <c r="G1167" s="330"/>
      <c r="H1167" s="235"/>
      <c r="I1167" s="544"/>
      <c r="J1167" s="119"/>
      <c r="K1167" s="231"/>
      <c r="L1167" s="21"/>
      <c r="M1167" s="21"/>
    </row>
    <row r="1168">
      <c r="A1168" s="230"/>
      <c r="B1168" s="231"/>
      <c r="C1168" s="547"/>
      <c r="D1168" s="546"/>
      <c r="E1168" s="232"/>
      <c r="F1168" s="543"/>
      <c r="G1168" s="330"/>
      <c r="H1168" s="235"/>
      <c r="I1168" s="544"/>
      <c r="J1168" s="119"/>
      <c r="K1168" s="231"/>
      <c r="L1168" s="21"/>
      <c r="M1168" s="21"/>
    </row>
    <row r="1169">
      <c r="A1169" s="230"/>
      <c r="B1169" s="231"/>
      <c r="C1169" s="547"/>
      <c r="D1169" s="546"/>
      <c r="E1169" s="232"/>
      <c r="F1169" s="543"/>
      <c r="G1169" s="330"/>
      <c r="H1169" s="235"/>
      <c r="I1169" s="544"/>
      <c r="J1169" s="119"/>
      <c r="K1169" s="231"/>
      <c r="L1169" s="21"/>
      <c r="M1169" s="21"/>
    </row>
    <row r="1170">
      <c r="A1170" s="230"/>
      <c r="B1170" s="231"/>
      <c r="C1170" s="547"/>
      <c r="D1170" s="546"/>
      <c r="E1170" s="232"/>
      <c r="F1170" s="543"/>
      <c r="G1170" s="330"/>
      <c r="H1170" s="235"/>
      <c r="I1170" s="544"/>
      <c r="J1170" s="119"/>
      <c r="K1170" s="231"/>
      <c r="L1170" s="21"/>
      <c r="M1170" s="21"/>
    </row>
    <row r="1171">
      <c r="A1171" s="230"/>
      <c r="B1171" s="231"/>
      <c r="C1171" s="547"/>
      <c r="D1171" s="546"/>
      <c r="E1171" s="232"/>
      <c r="F1171" s="543"/>
      <c r="G1171" s="330"/>
      <c r="H1171" s="235"/>
      <c r="I1171" s="544"/>
      <c r="J1171" s="119"/>
      <c r="K1171" s="231"/>
      <c r="L1171" s="21"/>
      <c r="M1171" s="21"/>
    </row>
    <row r="1172">
      <c r="A1172" s="230"/>
      <c r="B1172" s="231"/>
      <c r="C1172" s="547"/>
      <c r="D1172" s="546"/>
      <c r="E1172" s="232"/>
      <c r="F1172" s="543"/>
      <c r="G1172" s="330"/>
      <c r="H1172" s="235"/>
      <c r="I1172" s="544"/>
      <c r="J1172" s="119"/>
      <c r="K1172" s="231"/>
      <c r="L1172" s="21"/>
      <c r="M1172" s="21"/>
    </row>
    <row r="1173">
      <c r="A1173" s="230"/>
      <c r="B1173" s="231"/>
      <c r="C1173" s="547"/>
      <c r="D1173" s="546"/>
      <c r="E1173" s="232"/>
      <c r="F1173" s="543"/>
      <c r="G1173" s="330"/>
      <c r="H1173" s="235"/>
      <c r="I1173" s="544"/>
      <c r="J1173" s="119"/>
      <c r="K1173" s="231"/>
      <c r="L1173" s="21"/>
      <c r="M1173" s="21"/>
    </row>
    <row r="1174">
      <c r="A1174" s="230"/>
      <c r="B1174" s="231"/>
      <c r="C1174" s="547"/>
      <c r="D1174" s="546"/>
      <c r="E1174" s="232"/>
      <c r="F1174" s="543"/>
      <c r="G1174" s="330"/>
      <c r="H1174" s="235"/>
      <c r="I1174" s="544"/>
      <c r="J1174" s="119"/>
      <c r="K1174" s="231"/>
      <c r="L1174" s="21"/>
      <c r="M1174" s="21"/>
    </row>
    <row r="1175">
      <c r="A1175" s="230"/>
      <c r="B1175" s="231"/>
      <c r="C1175" s="547"/>
      <c r="D1175" s="546"/>
      <c r="E1175" s="232"/>
      <c r="F1175" s="543"/>
      <c r="G1175" s="330"/>
      <c r="H1175" s="235"/>
      <c r="I1175" s="544"/>
      <c r="J1175" s="119"/>
      <c r="K1175" s="231"/>
      <c r="L1175" s="21"/>
      <c r="M1175" s="21"/>
    </row>
    <row r="1176">
      <c r="A1176" s="230"/>
      <c r="B1176" s="231"/>
      <c r="C1176" s="547"/>
      <c r="D1176" s="546"/>
      <c r="E1176" s="232"/>
      <c r="F1176" s="543"/>
      <c r="G1176" s="330"/>
      <c r="H1176" s="235"/>
      <c r="I1176" s="544"/>
      <c r="J1176" s="119"/>
      <c r="K1176" s="231"/>
      <c r="L1176" s="21"/>
      <c r="M1176" s="21"/>
    </row>
    <row r="1177">
      <c r="A1177" s="230"/>
      <c r="B1177" s="231"/>
      <c r="C1177" s="547"/>
      <c r="D1177" s="546"/>
      <c r="E1177" s="232"/>
      <c r="F1177" s="543"/>
      <c r="G1177" s="330"/>
      <c r="H1177" s="235"/>
      <c r="I1177" s="544"/>
      <c r="J1177" s="119"/>
      <c r="K1177" s="231"/>
      <c r="L1177" s="21"/>
      <c r="M1177" s="21"/>
    </row>
    <row r="1178">
      <c r="A1178" s="230"/>
      <c r="B1178" s="231"/>
      <c r="C1178" s="547"/>
      <c r="D1178" s="546"/>
      <c r="E1178" s="232"/>
      <c r="F1178" s="543"/>
      <c r="G1178" s="330"/>
      <c r="H1178" s="235"/>
      <c r="I1178" s="544"/>
      <c r="J1178" s="119"/>
      <c r="K1178" s="231"/>
      <c r="L1178" s="21"/>
      <c r="M1178" s="21"/>
    </row>
    <row r="1179">
      <c r="A1179" s="230"/>
      <c r="B1179" s="231"/>
      <c r="C1179" s="547"/>
      <c r="D1179" s="546"/>
      <c r="E1179" s="232"/>
      <c r="F1179" s="543"/>
      <c r="G1179" s="330"/>
      <c r="H1179" s="235"/>
      <c r="I1179" s="544"/>
      <c r="J1179" s="119"/>
      <c r="K1179" s="231"/>
      <c r="L1179" s="21"/>
      <c r="M1179" s="21"/>
    </row>
    <row r="1180">
      <c r="A1180" s="230"/>
      <c r="B1180" s="231"/>
      <c r="C1180" s="547"/>
      <c r="D1180" s="546"/>
      <c r="E1180" s="232"/>
      <c r="F1180" s="543"/>
      <c r="G1180" s="330"/>
      <c r="H1180" s="235"/>
      <c r="I1180" s="544"/>
      <c r="J1180" s="119"/>
      <c r="K1180" s="231"/>
      <c r="L1180" s="21"/>
      <c r="M1180" s="21"/>
    </row>
    <row r="1181">
      <c r="A1181" s="230"/>
      <c r="B1181" s="231"/>
      <c r="C1181" s="547"/>
      <c r="D1181" s="546"/>
      <c r="E1181" s="232"/>
      <c r="F1181" s="543"/>
      <c r="G1181" s="330"/>
      <c r="H1181" s="235"/>
      <c r="I1181" s="544"/>
      <c r="J1181" s="119"/>
      <c r="K1181" s="231"/>
      <c r="L1181" s="21"/>
      <c r="M1181" s="21"/>
    </row>
    <row r="1182">
      <c r="A1182" s="230"/>
      <c r="B1182" s="231"/>
      <c r="C1182" s="547"/>
      <c r="D1182" s="546"/>
      <c r="E1182" s="232"/>
      <c r="F1182" s="543"/>
      <c r="G1182" s="330"/>
      <c r="H1182" s="235"/>
      <c r="I1182" s="544"/>
      <c r="J1182" s="119"/>
      <c r="K1182" s="231"/>
      <c r="L1182" s="21"/>
      <c r="M1182" s="21"/>
    </row>
    <row r="1183">
      <c r="A1183" s="230"/>
      <c r="B1183" s="231"/>
      <c r="C1183" s="547"/>
      <c r="D1183" s="546"/>
      <c r="E1183" s="232"/>
      <c r="F1183" s="543"/>
      <c r="G1183" s="330"/>
      <c r="H1183" s="235"/>
      <c r="I1183" s="544"/>
      <c r="J1183" s="119"/>
      <c r="K1183" s="231"/>
      <c r="L1183" s="21"/>
      <c r="M1183" s="21"/>
    </row>
    <row r="1184">
      <c r="A1184" s="230"/>
      <c r="B1184" s="231"/>
      <c r="C1184" s="547"/>
      <c r="D1184" s="546"/>
      <c r="E1184" s="232"/>
      <c r="F1184" s="543"/>
      <c r="G1184" s="330"/>
      <c r="H1184" s="235"/>
      <c r="I1184" s="544"/>
      <c r="J1184" s="119"/>
      <c r="K1184" s="231"/>
      <c r="L1184" s="21"/>
      <c r="M1184" s="21"/>
    </row>
    <row r="1185">
      <c r="A1185" s="230"/>
      <c r="B1185" s="231"/>
      <c r="C1185" s="547"/>
      <c r="D1185" s="546"/>
      <c r="E1185" s="232"/>
      <c r="F1185" s="543"/>
      <c r="G1185" s="330"/>
      <c r="H1185" s="235"/>
      <c r="I1185" s="544"/>
      <c r="J1185" s="119"/>
      <c r="K1185" s="231"/>
      <c r="L1185" s="21"/>
      <c r="M1185" s="21"/>
    </row>
    <row r="1186">
      <c r="A1186" s="230"/>
      <c r="B1186" s="231"/>
      <c r="C1186" s="547"/>
      <c r="D1186" s="546"/>
      <c r="E1186" s="232"/>
      <c r="F1186" s="543"/>
      <c r="G1186" s="330"/>
      <c r="H1186" s="235"/>
      <c r="I1186" s="544"/>
      <c r="J1186" s="119"/>
      <c r="K1186" s="231"/>
      <c r="L1186" s="21"/>
      <c r="M1186" s="21"/>
    </row>
    <row r="1187">
      <c r="A1187" s="230"/>
      <c r="B1187" s="231"/>
      <c r="C1187" s="547"/>
      <c r="D1187" s="546"/>
      <c r="E1187" s="232"/>
      <c r="F1187" s="543"/>
      <c r="G1187" s="330"/>
      <c r="H1187" s="235"/>
      <c r="I1187" s="544"/>
      <c r="J1187" s="119"/>
      <c r="K1187" s="231"/>
      <c r="L1187" s="21"/>
      <c r="M1187" s="21"/>
    </row>
    <row r="1188">
      <c r="A1188" s="230"/>
      <c r="B1188" s="231"/>
      <c r="C1188" s="547"/>
      <c r="D1188" s="546"/>
      <c r="E1188" s="232"/>
      <c r="F1188" s="543"/>
      <c r="G1188" s="330"/>
      <c r="H1188" s="235"/>
      <c r="I1188" s="544"/>
      <c r="J1188" s="119"/>
      <c r="K1188" s="231"/>
      <c r="L1188" s="21"/>
      <c r="M1188" s="21"/>
    </row>
    <row r="1189">
      <c r="A1189" s="230"/>
      <c r="B1189" s="231"/>
      <c r="C1189" s="547"/>
      <c r="D1189" s="546"/>
      <c r="E1189" s="232"/>
      <c r="F1189" s="543"/>
      <c r="G1189" s="330"/>
      <c r="H1189" s="235"/>
      <c r="I1189" s="544"/>
      <c r="J1189" s="119"/>
      <c r="K1189" s="231"/>
      <c r="L1189" s="21"/>
      <c r="M1189" s="21"/>
    </row>
    <row r="1190">
      <c r="A1190" s="230"/>
      <c r="B1190" s="231"/>
      <c r="C1190" s="547"/>
      <c r="D1190" s="546"/>
      <c r="E1190" s="232"/>
      <c r="F1190" s="543"/>
      <c r="G1190" s="330"/>
      <c r="H1190" s="235"/>
      <c r="I1190" s="544"/>
      <c r="J1190" s="119"/>
      <c r="K1190" s="231"/>
      <c r="L1190" s="21"/>
      <c r="M1190" s="21"/>
    </row>
    <row r="1191">
      <c r="A1191" s="230"/>
      <c r="B1191" s="231"/>
      <c r="C1191" s="547"/>
      <c r="D1191" s="546"/>
      <c r="E1191" s="232"/>
      <c r="F1191" s="543"/>
      <c r="G1191" s="330"/>
      <c r="H1191" s="235"/>
      <c r="I1191" s="544"/>
      <c r="J1191" s="119"/>
      <c r="K1191" s="231"/>
      <c r="L1191" s="21"/>
      <c r="M1191" s="21"/>
    </row>
    <row r="1192">
      <c r="A1192" s="230"/>
      <c r="B1192" s="231"/>
      <c r="C1192" s="547"/>
      <c r="D1192" s="546"/>
      <c r="E1192" s="232"/>
      <c r="F1192" s="543"/>
      <c r="G1192" s="330"/>
      <c r="H1192" s="235"/>
      <c r="I1192" s="544"/>
      <c r="J1192" s="119"/>
      <c r="K1192" s="231"/>
      <c r="L1192" s="21"/>
      <c r="M1192" s="21"/>
    </row>
    <row r="1193">
      <c r="A1193" s="230"/>
      <c r="B1193" s="231"/>
      <c r="C1193" s="547"/>
      <c r="D1193" s="546"/>
      <c r="E1193" s="232"/>
      <c r="F1193" s="543"/>
      <c r="G1193" s="330"/>
      <c r="H1193" s="235"/>
      <c r="I1193" s="544"/>
      <c r="J1193" s="119"/>
      <c r="K1193" s="231"/>
      <c r="L1193" s="21"/>
      <c r="M1193" s="21"/>
    </row>
    <row r="1194">
      <c r="A1194" s="230"/>
      <c r="B1194" s="231"/>
      <c r="C1194" s="547"/>
      <c r="D1194" s="546"/>
      <c r="E1194" s="232"/>
      <c r="F1194" s="543"/>
      <c r="G1194" s="330"/>
      <c r="H1194" s="235"/>
      <c r="I1194" s="544"/>
      <c r="J1194" s="119"/>
      <c r="K1194" s="231"/>
      <c r="L1194" s="21"/>
      <c r="M1194" s="21"/>
    </row>
    <row r="1195">
      <c r="A1195" s="230"/>
      <c r="B1195" s="231"/>
      <c r="C1195" s="547"/>
      <c r="D1195" s="546"/>
      <c r="E1195" s="232"/>
      <c r="F1195" s="543"/>
      <c r="G1195" s="330"/>
      <c r="H1195" s="235"/>
      <c r="I1195" s="544"/>
      <c r="J1195" s="119"/>
      <c r="K1195" s="231"/>
      <c r="L1195" s="21"/>
      <c r="M1195" s="21"/>
    </row>
    <row r="1196">
      <c r="A1196" s="230"/>
      <c r="B1196" s="231"/>
      <c r="C1196" s="547"/>
      <c r="D1196" s="546"/>
      <c r="E1196" s="232"/>
      <c r="F1196" s="543"/>
      <c r="G1196" s="330"/>
      <c r="H1196" s="235"/>
      <c r="I1196" s="544"/>
      <c r="J1196" s="119"/>
      <c r="K1196" s="231"/>
      <c r="L1196" s="21"/>
      <c r="M1196" s="21"/>
    </row>
    <row r="1197">
      <c r="A1197" s="230"/>
      <c r="B1197" s="231"/>
      <c r="C1197" s="547"/>
      <c r="D1197" s="546"/>
      <c r="E1197" s="232"/>
      <c r="F1197" s="543"/>
      <c r="G1197" s="330"/>
      <c r="H1197" s="235"/>
      <c r="I1197" s="544"/>
      <c r="J1197" s="119"/>
      <c r="K1197" s="231"/>
      <c r="L1197" s="21"/>
      <c r="M1197" s="21"/>
    </row>
    <row r="1198">
      <c r="A1198" s="230"/>
      <c r="B1198" s="231"/>
      <c r="C1198" s="547"/>
      <c r="D1198" s="546"/>
      <c r="E1198" s="232"/>
      <c r="F1198" s="543"/>
      <c r="G1198" s="330"/>
      <c r="H1198" s="235"/>
      <c r="I1198" s="544"/>
      <c r="J1198" s="119"/>
      <c r="K1198" s="231"/>
      <c r="L1198" s="21"/>
      <c r="M1198" s="21"/>
    </row>
    <row r="1199">
      <c r="A1199" s="230"/>
      <c r="B1199" s="231"/>
      <c r="C1199" s="547"/>
      <c r="D1199" s="546"/>
      <c r="E1199" s="232"/>
      <c r="F1199" s="543"/>
      <c r="G1199" s="330"/>
      <c r="H1199" s="235"/>
      <c r="I1199" s="544"/>
      <c r="J1199" s="119"/>
      <c r="K1199" s="231"/>
      <c r="L1199" s="21"/>
      <c r="M1199" s="21"/>
    </row>
    <row r="1200">
      <c r="A1200" s="230"/>
      <c r="B1200" s="231"/>
      <c r="C1200" s="547"/>
      <c r="D1200" s="546"/>
      <c r="E1200" s="232"/>
      <c r="F1200" s="543"/>
      <c r="G1200" s="330"/>
      <c r="H1200" s="235"/>
      <c r="I1200" s="544"/>
      <c r="J1200" s="119"/>
      <c r="K1200" s="231"/>
      <c r="L1200" s="21"/>
      <c r="M1200" s="21"/>
    </row>
    <row r="1201">
      <c r="A1201" s="230"/>
      <c r="B1201" s="231"/>
      <c r="C1201" s="547"/>
      <c r="D1201" s="546"/>
      <c r="E1201" s="232"/>
      <c r="F1201" s="543"/>
      <c r="G1201" s="330"/>
      <c r="H1201" s="235"/>
      <c r="I1201" s="544"/>
      <c r="J1201" s="119"/>
      <c r="K1201" s="231"/>
      <c r="L1201" s="21"/>
      <c r="M1201" s="21"/>
    </row>
    <row r="1202">
      <c r="A1202" s="230"/>
      <c r="B1202" s="231"/>
      <c r="C1202" s="547"/>
      <c r="D1202" s="546"/>
      <c r="E1202" s="232"/>
      <c r="F1202" s="543"/>
      <c r="G1202" s="330"/>
      <c r="H1202" s="235"/>
      <c r="I1202" s="544"/>
      <c r="J1202" s="119"/>
      <c r="K1202" s="231"/>
      <c r="L1202" s="21"/>
      <c r="M1202" s="21"/>
    </row>
    <row r="1203">
      <c r="A1203" s="230"/>
      <c r="B1203" s="231"/>
      <c r="C1203" s="547"/>
      <c r="D1203" s="546"/>
      <c r="E1203" s="232"/>
      <c r="F1203" s="543"/>
      <c r="G1203" s="330"/>
      <c r="H1203" s="235"/>
      <c r="I1203" s="544"/>
      <c r="J1203" s="119"/>
      <c r="K1203" s="231"/>
      <c r="L1203" s="21"/>
      <c r="M1203" s="21"/>
    </row>
    <row r="1204">
      <c r="A1204" s="230"/>
      <c r="B1204" s="231"/>
      <c r="C1204" s="547"/>
      <c r="D1204" s="546"/>
      <c r="E1204" s="232"/>
      <c r="F1204" s="543"/>
      <c r="G1204" s="330"/>
      <c r="H1204" s="235"/>
      <c r="I1204" s="544"/>
      <c r="J1204" s="119"/>
      <c r="K1204" s="231"/>
      <c r="L1204" s="21"/>
      <c r="M1204" s="21"/>
    </row>
    <row r="1205">
      <c r="A1205" s="230"/>
      <c r="B1205" s="231"/>
      <c r="C1205" s="547"/>
      <c r="D1205" s="546"/>
      <c r="E1205" s="232"/>
      <c r="F1205" s="543"/>
      <c r="G1205" s="330"/>
      <c r="H1205" s="235"/>
      <c r="I1205" s="544"/>
      <c r="J1205" s="119"/>
      <c r="K1205" s="231"/>
      <c r="L1205" s="21"/>
      <c r="M1205" s="21"/>
    </row>
    <row r="1206">
      <c r="A1206" s="230"/>
      <c r="B1206" s="231"/>
      <c r="C1206" s="547"/>
      <c r="D1206" s="546"/>
      <c r="E1206" s="232"/>
      <c r="F1206" s="543"/>
      <c r="G1206" s="330"/>
      <c r="H1206" s="235"/>
      <c r="I1206" s="544"/>
      <c r="J1206" s="119"/>
      <c r="K1206" s="231"/>
      <c r="L1206" s="21"/>
      <c r="M1206" s="21"/>
    </row>
    <row r="1207">
      <c r="A1207" s="230"/>
      <c r="B1207" s="231"/>
      <c r="C1207" s="547"/>
      <c r="D1207" s="546"/>
      <c r="E1207" s="232"/>
      <c r="F1207" s="543"/>
      <c r="G1207" s="330"/>
      <c r="H1207" s="235"/>
      <c r="I1207" s="544"/>
      <c r="J1207" s="119"/>
      <c r="K1207" s="231"/>
      <c r="L1207" s="21"/>
      <c r="M1207" s="21"/>
    </row>
    <row r="1208">
      <c r="A1208" s="230"/>
      <c r="B1208" s="231"/>
      <c r="C1208" s="547"/>
      <c r="D1208" s="546"/>
      <c r="E1208" s="232"/>
      <c r="F1208" s="543"/>
      <c r="G1208" s="330"/>
      <c r="H1208" s="235"/>
      <c r="I1208" s="544"/>
      <c r="J1208" s="119"/>
      <c r="K1208" s="231"/>
      <c r="L1208" s="21"/>
      <c r="M1208" s="21"/>
    </row>
    <row r="1209">
      <c r="A1209" s="230"/>
      <c r="B1209" s="231"/>
      <c r="C1209" s="547"/>
      <c r="D1209" s="546"/>
      <c r="E1209" s="232"/>
      <c r="F1209" s="543"/>
      <c r="G1209" s="330"/>
      <c r="H1209" s="235"/>
      <c r="I1209" s="544"/>
      <c r="J1209" s="119"/>
      <c r="K1209" s="231"/>
      <c r="L1209" s="21"/>
      <c r="M1209" s="21"/>
    </row>
    <row r="1210">
      <c r="A1210" s="230"/>
      <c r="B1210" s="231"/>
      <c r="C1210" s="547"/>
      <c r="D1210" s="546"/>
      <c r="E1210" s="232"/>
      <c r="F1210" s="543"/>
      <c r="G1210" s="330"/>
      <c r="H1210" s="235"/>
      <c r="I1210" s="544"/>
      <c r="J1210" s="119"/>
      <c r="K1210" s="231"/>
      <c r="L1210" s="21"/>
      <c r="M1210" s="21"/>
    </row>
    <row r="1211">
      <c r="A1211" s="230"/>
      <c r="B1211" s="231"/>
      <c r="C1211" s="547"/>
      <c r="D1211" s="546"/>
      <c r="E1211" s="232"/>
      <c r="F1211" s="543"/>
      <c r="G1211" s="330"/>
      <c r="H1211" s="235"/>
      <c r="I1211" s="544"/>
      <c r="J1211" s="119"/>
      <c r="K1211" s="231"/>
      <c r="L1211" s="21"/>
      <c r="M1211" s="21"/>
    </row>
    <row r="1212">
      <c r="A1212" s="230"/>
      <c r="B1212" s="231"/>
      <c r="C1212" s="547"/>
      <c r="D1212" s="546"/>
      <c r="E1212" s="232"/>
      <c r="F1212" s="543"/>
      <c r="G1212" s="330"/>
      <c r="H1212" s="235"/>
      <c r="I1212" s="544"/>
      <c r="J1212" s="119"/>
      <c r="K1212" s="231"/>
      <c r="L1212" s="21"/>
      <c r="M1212" s="21"/>
    </row>
    <row r="1213">
      <c r="A1213" s="230"/>
      <c r="B1213" s="231"/>
      <c r="C1213" s="547"/>
      <c r="D1213" s="546"/>
      <c r="E1213" s="232"/>
      <c r="F1213" s="543"/>
      <c r="G1213" s="330"/>
      <c r="H1213" s="235"/>
      <c r="I1213" s="544"/>
      <c r="J1213" s="119"/>
      <c r="K1213" s="231"/>
      <c r="L1213" s="21"/>
      <c r="M1213" s="21"/>
    </row>
    <row r="1214">
      <c r="A1214" s="230"/>
      <c r="B1214" s="231"/>
      <c r="C1214" s="547"/>
      <c r="D1214" s="546"/>
      <c r="E1214" s="232"/>
      <c r="F1214" s="543"/>
      <c r="G1214" s="330"/>
      <c r="H1214" s="235"/>
      <c r="I1214" s="544"/>
      <c r="J1214" s="119"/>
      <c r="K1214" s="231"/>
      <c r="L1214" s="21"/>
      <c r="M1214" s="21"/>
    </row>
    <row r="1215">
      <c r="A1215" s="230"/>
      <c r="B1215" s="231"/>
      <c r="C1215" s="547"/>
      <c r="D1215" s="546"/>
      <c r="E1215" s="232"/>
      <c r="F1215" s="543"/>
      <c r="G1215" s="330"/>
      <c r="H1215" s="235"/>
      <c r="I1215" s="544"/>
      <c r="J1215" s="119"/>
      <c r="K1215" s="231"/>
      <c r="L1215" s="21"/>
      <c r="M1215" s="21"/>
    </row>
    <row r="1216">
      <c r="A1216" s="230"/>
      <c r="B1216" s="231"/>
      <c r="C1216" s="547"/>
      <c r="D1216" s="546"/>
      <c r="E1216" s="232"/>
      <c r="F1216" s="543"/>
      <c r="G1216" s="330"/>
      <c r="H1216" s="235"/>
      <c r="I1216" s="544"/>
      <c r="J1216" s="119"/>
      <c r="K1216" s="231"/>
      <c r="L1216" s="21"/>
      <c r="M1216" s="21"/>
    </row>
    <row r="1217">
      <c r="A1217" s="230"/>
      <c r="B1217" s="231"/>
      <c r="C1217" s="547"/>
      <c r="D1217" s="546"/>
      <c r="E1217" s="232"/>
      <c r="F1217" s="543"/>
      <c r="G1217" s="330"/>
      <c r="H1217" s="235"/>
      <c r="I1217" s="544"/>
      <c r="J1217" s="119"/>
      <c r="K1217" s="231"/>
      <c r="L1217" s="21"/>
      <c r="M1217" s="21"/>
    </row>
    <row r="1218">
      <c r="A1218" s="230"/>
      <c r="B1218" s="231"/>
      <c r="C1218" s="547"/>
      <c r="D1218" s="546"/>
      <c r="E1218" s="232"/>
      <c r="F1218" s="543"/>
      <c r="G1218" s="330"/>
      <c r="H1218" s="235"/>
      <c r="I1218" s="544"/>
      <c r="J1218" s="119"/>
      <c r="K1218" s="231"/>
      <c r="L1218" s="21"/>
      <c r="M1218" s="21"/>
    </row>
    <row r="1219">
      <c r="A1219" s="230"/>
      <c r="B1219" s="231"/>
      <c r="C1219" s="547"/>
      <c r="D1219" s="546"/>
      <c r="E1219" s="232"/>
      <c r="F1219" s="543"/>
      <c r="G1219" s="330"/>
      <c r="H1219" s="235"/>
      <c r="I1219" s="544"/>
      <c r="J1219" s="119"/>
      <c r="K1219" s="231"/>
      <c r="L1219" s="21"/>
      <c r="M1219" s="21"/>
    </row>
    <row r="1220">
      <c r="A1220" s="230"/>
      <c r="B1220" s="231"/>
      <c r="C1220" s="547"/>
      <c r="D1220" s="546"/>
      <c r="E1220" s="232"/>
      <c r="F1220" s="543"/>
      <c r="G1220" s="330"/>
      <c r="H1220" s="235"/>
      <c r="I1220" s="544"/>
      <c r="J1220" s="119"/>
      <c r="K1220" s="231"/>
      <c r="L1220" s="21"/>
      <c r="M1220" s="21"/>
    </row>
    <row r="1221">
      <c r="A1221" s="230"/>
      <c r="B1221" s="231"/>
      <c r="C1221" s="547"/>
      <c r="D1221" s="546"/>
      <c r="E1221" s="232"/>
      <c r="F1221" s="543"/>
      <c r="G1221" s="330"/>
      <c r="H1221" s="235"/>
      <c r="I1221" s="544"/>
      <c r="J1221" s="119"/>
      <c r="K1221" s="231"/>
      <c r="L1221" s="21"/>
      <c r="M1221" s="21"/>
    </row>
    <row r="1222">
      <c r="A1222" s="230"/>
      <c r="B1222" s="231"/>
      <c r="C1222" s="547"/>
      <c r="D1222" s="546"/>
      <c r="E1222" s="232"/>
      <c r="F1222" s="543"/>
      <c r="G1222" s="330"/>
      <c r="H1222" s="235"/>
      <c r="I1222" s="544"/>
      <c r="J1222" s="119"/>
      <c r="K1222" s="231"/>
      <c r="L1222" s="21"/>
      <c r="M1222" s="21"/>
    </row>
    <row r="1223">
      <c r="A1223" s="230"/>
      <c r="B1223" s="231"/>
      <c r="C1223" s="547"/>
      <c r="D1223" s="546"/>
      <c r="E1223" s="232"/>
      <c r="F1223" s="543"/>
      <c r="G1223" s="330"/>
      <c r="H1223" s="235"/>
      <c r="I1223" s="544"/>
      <c r="J1223" s="119"/>
      <c r="K1223" s="231"/>
      <c r="L1223" s="21"/>
      <c r="M1223" s="21"/>
    </row>
    <row r="1224">
      <c r="A1224" s="230"/>
      <c r="B1224" s="231"/>
      <c r="C1224" s="547"/>
      <c r="D1224" s="546"/>
      <c r="E1224" s="232"/>
      <c r="F1224" s="543"/>
      <c r="G1224" s="330"/>
      <c r="H1224" s="235"/>
      <c r="I1224" s="544"/>
      <c r="J1224" s="119"/>
      <c r="K1224" s="231"/>
      <c r="L1224" s="21"/>
      <c r="M1224" s="21"/>
    </row>
    <row r="1225">
      <c r="A1225" s="230"/>
      <c r="B1225" s="231"/>
      <c r="C1225" s="547"/>
      <c r="D1225" s="546"/>
      <c r="E1225" s="232"/>
      <c r="F1225" s="543"/>
      <c r="G1225" s="330"/>
      <c r="H1225" s="235"/>
      <c r="I1225" s="544"/>
      <c r="J1225" s="119"/>
      <c r="K1225" s="231"/>
      <c r="L1225" s="21"/>
      <c r="M1225" s="21"/>
    </row>
    <row r="1226">
      <c r="A1226" s="230"/>
      <c r="B1226" s="231"/>
      <c r="C1226" s="547"/>
      <c r="D1226" s="546"/>
      <c r="E1226" s="232"/>
      <c r="F1226" s="543"/>
      <c r="G1226" s="330"/>
      <c r="H1226" s="235"/>
      <c r="I1226" s="544"/>
      <c r="J1226" s="119"/>
      <c r="K1226" s="231"/>
      <c r="L1226" s="21"/>
      <c r="M1226" s="21"/>
    </row>
    <row r="1227">
      <c r="A1227" s="230"/>
      <c r="B1227" s="231"/>
      <c r="C1227" s="547"/>
      <c r="D1227" s="546"/>
      <c r="E1227" s="232"/>
      <c r="F1227" s="543"/>
      <c r="G1227" s="330"/>
      <c r="H1227" s="235"/>
      <c r="I1227" s="544"/>
      <c r="J1227" s="119"/>
      <c r="K1227" s="231"/>
      <c r="L1227" s="21"/>
      <c r="M1227" s="21"/>
    </row>
    <row r="1228">
      <c r="A1228" s="230"/>
      <c r="B1228" s="231"/>
      <c r="C1228" s="547"/>
      <c r="D1228" s="546"/>
      <c r="E1228" s="232"/>
      <c r="F1228" s="543"/>
      <c r="G1228" s="330"/>
      <c r="H1228" s="235"/>
      <c r="I1228" s="544"/>
      <c r="J1228" s="119"/>
      <c r="K1228" s="231"/>
      <c r="L1228" s="21"/>
      <c r="M1228" s="21"/>
    </row>
    <row r="1229">
      <c r="A1229" s="230"/>
      <c r="B1229" s="231"/>
      <c r="C1229" s="547"/>
      <c r="D1229" s="546"/>
      <c r="E1229" s="232"/>
      <c r="F1229" s="543"/>
      <c r="G1229" s="330"/>
      <c r="H1229" s="235"/>
      <c r="I1229" s="544"/>
      <c r="J1229" s="119"/>
      <c r="K1229" s="231"/>
      <c r="L1229" s="21"/>
      <c r="M1229" s="21"/>
    </row>
    <row r="1230">
      <c r="A1230" s="230"/>
      <c r="B1230" s="231"/>
      <c r="C1230" s="547"/>
      <c r="D1230" s="546"/>
      <c r="E1230" s="232"/>
      <c r="F1230" s="543"/>
      <c r="G1230" s="330"/>
      <c r="H1230" s="235"/>
      <c r="I1230" s="544"/>
      <c r="J1230" s="119"/>
      <c r="K1230" s="231"/>
      <c r="L1230" s="21"/>
      <c r="M1230" s="21"/>
    </row>
    <row r="1231">
      <c r="A1231" s="230"/>
      <c r="B1231" s="231"/>
      <c r="C1231" s="547"/>
      <c r="D1231" s="546"/>
      <c r="E1231" s="232"/>
      <c r="F1231" s="543"/>
      <c r="G1231" s="330"/>
      <c r="H1231" s="235"/>
      <c r="I1231" s="544"/>
      <c r="J1231" s="119"/>
      <c r="K1231" s="231"/>
      <c r="L1231" s="21"/>
      <c r="M1231" s="21"/>
    </row>
    <row r="1232">
      <c r="A1232" s="230"/>
      <c r="B1232" s="231"/>
      <c r="C1232" s="547"/>
      <c r="D1232" s="546"/>
      <c r="E1232" s="232"/>
      <c r="F1232" s="543"/>
      <c r="G1232" s="330"/>
      <c r="H1232" s="235"/>
      <c r="I1232" s="544"/>
      <c r="J1232" s="119"/>
      <c r="K1232" s="231"/>
      <c r="L1232" s="21"/>
      <c r="M1232" s="21"/>
    </row>
    <row r="1233">
      <c r="A1233" s="230"/>
      <c r="B1233" s="231"/>
      <c r="C1233" s="547"/>
      <c r="D1233" s="546"/>
      <c r="E1233" s="232"/>
      <c r="F1233" s="543"/>
      <c r="G1233" s="330"/>
      <c r="H1233" s="235"/>
      <c r="I1233" s="544"/>
      <c r="J1233" s="119"/>
      <c r="K1233" s="231"/>
      <c r="L1233" s="21"/>
      <c r="M1233" s="21"/>
    </row>
    <row r="1234">
      <c r="A1234" s="230"/>
      <c r="B1234" s="231"/>
      <c r="C1234" s="547"/>
      <c r="D1234" s="546"/>
      <c r="E1234" s="232"/>
      <c r="F1234" s="543"/>
      <c r="G1234" s="330"/>
      <c r="H1234" s="235"/>
      <c r="I1234" s="544"/>
      <c r="J1234" s="119"/>
      <c r="K1234" s="231"/>
      <c r="L1234" s="21"/>
      <c r="M1234" s="21"/>
    </row>
    <row r="1235">
      <c r="A1235" s="230"/>
      <c r="B1235" s="231"/>
      <c r="C1235" s="547"/>
      <c r="D1235" s="546"/>
      <c r="E1235" s="232"/>
      <c r="F1235" s="543"/>
      <c r="G1235" s="330"/>
      <c r="H1235" s="235"/>
      <c r="I1235" s="544"/>
      <c r="J1235" s="119"/>
      <c r="K1235" s="231"/>
      <c r="L1235" s="21"/>
      <c r="M1235" s="21"/>
    </row>
    <row r="1236">
      <c r="A1236" s="230"/>
      <c r="B1236" s="231"/>
      <c r="C1236" s="547"/>
      <c r="D1236" s="546"/>
      <c r="E1236" s="232"/>
      <c r="F1236" s="543"/>
      <c r="G1236" s="330"/>
      <c r="H1236" s="235"/>
      <c r="I1236" s="544"/>
      <c r="J1236" s="119"/>
      <c r="K1236" s="231"/>
      <c r="L1236" s="21"/>
      <c r="M1236" s="21"/>
    </row>
    <row r="1237">
      <c r="A1237" s="230"/>
      <c r="B1237" s="231"/>
      <c r="C1237" s="547"/>
      <c r="D1237" s="546"/>
      <c r="E1237" s="232"/>
      <c r="F1237" s="543"/>
      <c r="G1237" s="330"/>
      <c r="H1237" s="235"/>
      <c r="I1237" s="544"/>
      <c r="J1237" s="119"/>
      <c r="K1237" s="231"/>
      <c r="L1237" s="21"/>
      <c r="M1237" s="21"/>
    </row>
    <row r="1238">
      <c r="A1238" s="230"/>
      <c r="B1238" s="231"/>
      <c r="C1238" s="547"/>
      <c r="D1238" s="546"/>
      <c r="E1238" s="232"/>
      <c r="F1238" s="543"/>
      <c r="G1238" s="330"/>
      <c r="H1238" s="235"/>
      <c r="I1238" s="544"/>
      <c r="J1238" s="119"/>
      <c r="K1238" s="231"/>
      <c r="L1238" s="21"/>
      <c r="M1238" s="21"/>
    </row>
    <row r="1239">
      <c r="A1239" s="230"/>
      <c r="B1239" s="231"/>
      <c r="C1239" s="547"/>
      <c r="D1239" s="546"/>
      <c r="E1239" s="232"/>
      <c r="F1239" s="543"/>
      <c r="G1239" s="330"/>
      <c r="H1239" s="235"/>
      <c r="I1239" s="544"/>
      <c r="J1239" s="119"/>
      <c r="K1239" s="231"/>
      <c r="L1239" s="21"/>
      <c r="M1239" s="21"/>
    </row>
    <row r="1240">
      <c r="A1240" s="230"/>
      <c r="B1240" s="231"/>
      <c r="C1240" s="547"/>
      <c r="D1240" s="546"/>
      <c r="E1240" s="232"/>
      <c r="F1240" s="543"/>
      <c r="G1240" s="330"/>
      <c r="H1240" s="235"/>
      <c r="I1240" s="544"/>
      <c r="J1240" s="119"/>
      <c r="K1240" s="231"/>
      <c r="L1240" s="21"/>
      <c r="M1240" s="21"/>
    </row>
    <row r="1241">
      <c r="A1241" s="230"/>
      <c r="B1241" s="231"/>
      <c r="C1241" s="547"/>
      <c r="D1241" s="546"/>
      <c r="E1241" s="232"/>
      <c r="F1241" s="543"/>
      <c r="G1241" s="330"/>
      <c r="H1241" s="235"/>
      <c r="I1241" s="544"/>
      <c r="J1241" s="119"/>
      <c r="K1241" s="231"/>
      <c r="L1241" s="21"/>
      <c r="M1241" s="21"/>
    </row>
    <row r="1242">
      <c r="A1242" s="230"/>
      <c r="B1242" s="231"/>
      <c r="C1242" s="547"/>
      <c r="D1242" s="546"/>
      <c r="E1242" s="232"/>
      <c r="F1242" s="543"/>
      <c r="G1242" s="330"/>
      <c r="H1242" s="235"/>
      <c r="I1242" s="544"/>
      <c r="J1242" s="119"/>
      <c r="K1242" s="231"/>
      <c r="L1242" s="21"/>
      <c r="M1242" s="21"/>
    </row>
    <row r="1243">
      <c r="A1243" s="230"/>
      <c r="B1243" s="231"/>
      <c r="C1243" s="547"/>
      <c r="D1243" s="546"/>
      <c r="E1243" s="232"/>
      <c r="F1243" s="543"/>
      <c r="G1243" s="330"/>
      <c r="H1243" s="235"/>
      <c r="I1243" s="544"/>
      <c r="J1243" s="119"/>
      <c r="K1243" s="231"/>
      <c r="L1243" s="21"/>
      <c r="M1243" s="21"/>
    </row>
    <row r="1244">
      <c r="A1244" s="230"/>
      <c r="B1244" s="231"/>
      <c r="C1244" s="547"/>
      <c r="D1244" s="546"/>
      <c r="E1244" s="232"/>
      <c r="F1244" s="543"/>
      <c r="G1244" s="330"/>
      <c r="H1244" s="235"/>
      <c r="I1244" s="544"/>
      <c r="J1244" s="119"/>
      <c r="K1244" s="231"/>
      <c r="L1244" s="21"/>
      <c r="M1244" s="21"/>
    </row>
    <row r="1245">
      <c r="A1245" s="230"/>
      <c r="B1245" s="231"/>
      <c r="C1245" s="547"/>
      <c r="D1245" s="546"/>
      <c r="E1245" s="232"/>
      <c r="F1245" s="543"/>
      <c r="G1245" s="330"/>
      <c r="H1245" s="235"/>
      <c r="I1245" s="544"/>
      <c r="J1245" s="119"/>
      <c r="K1245" s="231"/>
      <c r="L1245" s="21"/>
      <c r="M1245" s="21"/>
    </row>
    <row r="1246">
      <c r="A1246" s="230"/>
      <c r="B1246" s="231"/>
      <c r="C1246" s="547"/>
      <c r="D1246" s="546"/>
      <c r="E1246" s="232"/>
      <c r="F1246" s="543"/>
      <c r="G1246" s="330"/>
      <c r="H1246" s="235"/>
      <c r="I1246" s="544"/>
      <c r="J1246" s="119"/>
      <c r="K1246" s="231"/>
      <c r="L1246" s="21"/>
      <c r="M1246" s="21"/>
    </row>
    <row r="1247">
      <c r="A1247" s="230"/>
      <c r="B1247" s="231"/>
      <c r="C1247" s="547"/>
      <c r="D1247" s="546"/>
      <c r="E1247" s="232"/>
      <c r="F1247" s="543"/>
      <c r="G1247" s="330"/>
      <c r="H1247" s="235"/>
      <c r="I1247" s="544"/>
      <c r="J1247" s="119"/>
      <c r="K1247" s="231"/>
      <c r="L1247" s="21"/>
      <c r="M1247" s="21"/>
    </row>
    <row r="1248">
      <c r="A1248" s="230"/>
      <c r="B1248" s="231"/>
      <c r="C1248" s="547"/>
      <c r="D1248" s="546"/>
      <c r="E1248" s="232"/>
      <c r="F1248" s="543"/>
      <c r="G1248" s="330"/>
      <c r="H1248" s="235"/>
      <c r="I1248" s="544"/>
      <c r="J1248" s="119"/>
      <c r="K1248" s="231"/>
      <c r="L1248" s="21"/>
      <c r="M1248" s="21"/>
    </row>
    <row r="1249">
      <c r="A1249" s="230"/>
      <c r="B1249" s="231"/>
      <c r="C1249" s="547"/>
      <c r="D1249" s="546"/>
      <c r="E1249" s="232"/>
      <c r="F1249" s="543"/>
      <c r="G1249" s="330"/>
      <c r="H1249" s="235"/>
      <c r="I1249" s="544"/>
      <c r="J1249" s="119"/>
      <c r="K1249" s="231"/>
      <c r="L1249" s="21"/>
      <c r="M1249" s="21"/>
    </row>
    <row r="1250">
      <c r="A1250" s="230"/>
      <c r="B1250" s="231"/>
      <c r="C1250" s="547"/>
      <c r="D1250" s="546"/>
      <c r="E1250" s="232"/>
      <c r="F1250" s="543"/>
      <c r="G1250" s="330"/>
      <c r="H1250" s="235"/>
      <c r="I1250" s="544"/>
      <c r="J1250" s="119"/>
      <c r="K1250" s="231"/>
      <c r="L1250" s="21"/>
      <c r="M1250" s="21"/>
    </row>
    <row r="1251">
      <c r="A1251" s="230"/>
      <c r="B1251" s="231"/>
      <c r="C1251" s="547"/>
      <c r="D1251" s="546"/>
      <c r="E1251" s="232"/>
      <c r="F1251" s="543"/>
      <c r="G1251" s="330"/>
      <c r="H1251" s="235"/>
      <c r="I1251" s="544"/>
      <c r="J1251" s="119"/>
      <c r="K1251" s="231"/>
      <c r="L1251" s="21"/>
      <c r="M1251" s="21"/>
    </row>
    <row r="1252">
      <c r="A1252" s="230"/>
      <c r="B1252" s="231"/>
      <c r="C1252" s="547"/>
      <c r="D1252" s="546"/>
      <c r="E1252" s="232"/>
      <c r="F1252" s="543"/>
      <c r="G1252" s="330"/>
      <c r="H1252" s="235"/>
      <c r="I1252" s="544"/>
      <c r="J1252" s="119"/>
      <c r="K1252" s="231"/>
      <c r="L1252" s="21"/>
      <c r="M1252" s="21"/>
    </row>
    <row r="1253">
      <c r="A1253" s="230"/>
      <c r="B1253" s="231"/>
      <c r="C1253" s="547"/>
      <c r="D1253" s="546"/>
      <c r="E1253" s="232"/>
      <c r="F1253" s="543"/>
      <c r="G1253" s="330"/>
      <c r="H1253" s="235"/>
      <c r="I1253" s="544"/>
      <c r="J1253" s="119"/>
      <c r="K1253" s="231"/>
      <c r="L1253" s="21"/>
      <c r="M1253" s="21"/>
    </row>
    <row r="1254">
      <c r="A1254" s="230"/>
      <c r="B1254" s="231"/>
      <c r="C1254" s="547"/>
      <c r="D1254" s="546"/>
      <c r="E1254" s="232"/>
      <c r="F1254" s="543"/>
      <c r="G1254" s="330"/>
      <c r="H1254" s="235"/>
      <c r="I1254" s="544"/>
      <c r="J1254" s="119"/>
      <c r="K1254" s="231"/>
      <c r="L1254" s="21"/>
      <c r="M1254" s="21"/>
    </row>
    <row r="1255">
      <c r="A1255" s="230"/>
      <c r="B1255" s="231"/>
      <c r="C1255" s="547"/>
      <c r="D1255" s="546"/>
      <c r="E1255" s="232"/>
      <c r="F1255" s="543"/>
      <c r="G1255" s="330"/>
      <c r="H1255" s="235"/>
      <c r="I1255" s="544"/>
      <c r="J1255" s="119"/>
      <c r="K1255" s="231"/>
      <c r="L1255" s="21"/>
      <c r="M1255" s="21"/>
    </row>
    <row r="1256">
      <c r="A1256" s="230"/>
      <c r="B1256" s="231"/>
      <c r="C1256" s="547"/>
      <c r="D1256" s="546"/>
      <c r="E1256" s="232"/>
      <c r="F1256" s="543"/>
      <c r="G1256" s="330"/>
      <c r="H1256" s="235"/>
      <c r="I1256" s="544"/>
      <c r="J1256" s="119"/>
      <c r="K1256" s="231"/>
      <c r="L1256" s="21"/>
      <c r="M1256" s="21"/>
    </row>
    <row r="1257">
      <c r="A1257" s="230"/>
      <c r="B1257" s="231"/>
      <c r="C1257" s="547"/>
      <c r="D1257" s="546"/>
      <c r="E1257" s="232"/>
      <c r="F1257" s="543"/>
      <c r="G1257" s="330"/>
      <c r="H1257" s="235"/>
      <c r="I1257" s="544"/>
      <c r="J1257" s="119"/>
      <c r="K1257" s="231"/>
      <c r="L1257" s="21"/>
      <c r="M1257" s="21"/>
    </row>
    <row r="1258">
      <c r="A1258" s="230"/>
      <c r="B1258" s="231"/>
      <c r="C1258" s="547"/>
      <c r="D1258" s="546"/>
      <c r="E1258" s="232"/>
      <c r="F1258" s="543"/>
      <c r="G1258" s="330"/>
      <c r="H1258" s="235"/>
      <c r="I1258" s="544"/>
      <c r="J1258" s="119"/>
      <c r="K1258" s="231"/>
      <c r="L1258" s="21"/>
      <c r="M1258" s="21"/>
    </row>
    <row r="1259">
      <c r="A1259" s="230"/>
      <c r="B1259" s="231"/>
      <c r="C1259" s="547"/>
      <c r="D1259" s="546"/>
      <c r="E1259" s="232"/>
      <c r="F1259" s="543"/>
      <c r="G1259" s="330"/>
      <c r="H1259" s="235"/>
      <c r="I1259" s="544"/>
      <c r="J1259" s="119"/>
      <c r="K1259" s="231"/>
      <c r="L1259" s="21"/>
      <c r="M1259" s="21"/>
    </row>
    <row r="1260">
      <c r="A1260" s="230"/>
      <c r="B1260" s="231"/>
      <c r="C1260" s="547"/>
      <c r="D1260" s="546"/>
      <c r="E1260" s="232"/>
      <c r="F1260" s="543"/>
      <c r="G1260" s="330"/>
      <c r="H1260" s="235"/>
      <c r="I1260" s="544"/>
      <c r="J1260" s="119"/>
      <c r="K1260" s="231"/>
      <c r="L1260" s="21"/>
      <c r="M1260" s="21"/>
    </row>
    <row r="1261">
      <c r="A1261" s="230"/>
      <c r="B1261" s="231"/>
      <c r="C1261" s="547"/>
      <c r="D1261" s="546"/>
      <c r="E1261" s="232"/>
      <c r="F1261" s="543"/>
      <c r="G1261" s="330"/>
      <c r="H1261" s="235"/>
      <c r="I1261" s="544"/>
      <c r="J1261" s="119"/>
      <c r="K1261" s="231"/>
      <c r="L1261" s="21"/>
      <c r="M1261" s="21"/>
    </row>
    <row r="1262">
      <c r="A1262" s="230"/>
      <c r="B1262" s="231"/>
      <c r="C1262" s="547"/>
      <c r="D1262" s="546"/>
      <c r="E1262" s="232"/>
      <c r="F1262" s="543"/>
      <c r="G1262" s="330"/>
      <c r="H1262" s="235"/>
      <c r="I1262" s="544"/>
      <c r="J1262" s="119"/>
      <c r="K1262" s="231"/>
      <c r="L1262" s="21"/>
      <c r="M1262" s="21"/>
    </row>
    <row r="1263">
      <c r="A1263" s="230"/>
      <c r="B1263" s="231"/>
      <c r="C1263" s="547"/>
      <c r="D1263" s="546"/>
      <c r="E1263" s="232"/>
      <c r="F1263" s="543"/>
      <c r="G1263" s="330"/>
      <c r="H1263" s="235"/>
      <c r="I1263" s="544"/>
      <c r="J1263" s="119"/>
      <c r="K1263" s="231"/>
      <c r="L1263" s="21"/>
      <c r="M1263" s="21"/>
    </row>
    <row r="1264">
      <c r="A1264" s="230"/>
      <c r="B1264" s="231"/>
      <c r="C1264" s="547"/>
      <c r="D1264" s="546"/>
      <c r="E1264" s="232"/>
      <c r="F1264" s="543"/>
      <c r="G1264" s="330"/>
      <c r="H1264" s="235"/>
      <c r="I1264" s="544"/>
      <c r="J1264" s="119"/>
      <c r="K1264" s="231"/>
      <c r="L1264" s="21"/>
      <c r="M1264" s="21"/>
    </row>
    <row r="1265">
      <c r="A1265" s="230"/>
      <c r="B1265" s="231"/>
      <c r="C1265" s="547"/>
      <c r="D1265" s="546"/>
      <c r="E1265" s="232"/>
      <c r="F1265" s="543"/>
      <c r="G1265" s="330"/>
      <c r="H1265" s="235"/>
      <c r="I1265" s="544"/>
      <c r="J1265" s="119"/>
      <c r="K1265" s="231"/>
      <c r="L1265" s="21"/>
      <c r="M1265" s="21"/>
    </row>
    <row r="1266">
      <c r="A1266" s="230"/>
      <c r="B1266" s="231"/>
      <c r="C1266" s="547"/>
      <c r="D1266" s="546"/>
      <c r="E1266" s="232"/>
      <c r="F1266" s="543"/>
      <c r="G1266" s="330"/>
      <c r="H1266" s="235"/>
      <c r="I1266" s="544"/>
      <c r="J1266" s="119"/>
      <c r="K1266" s="231"/>
      <c r="L1266" s="21"/>
      <c r="M1266" s="21"/>
    </row>
    <row r="1267">
      <c r="A1267" s="230"/>
      <c r="B1267" s="231"/>
      <c r="C1267" s="547"/>
      <c r="D1267" s="546"/>
      <c r="E1267" s="232"/>
      <c r="F1267" s="543"/>
      <c r="G1267" s="330"/>
      <c r="H1267" s="235"/>
      <c r="I1267" s="544"/>
      <c r="J1267" s="119"/>
      <c r="K1267" s="231"/>
      <c r="L1267" s="21"/>
      <c r="M1267" s="21"/>
    </row>
    <row r="1268">
      <c r="A1268" s="230"/>
      <c r="B1268" s="231"/>
      <c r="C1268" s="547"/>
      <c r="D1268" s="546"/>
      <c r="E1268" s="232"/>
      <c r="F1268" s="543"/>
      <c r="G1268" s="330"/>
      <c r="H1268" s="235"/>
      <c r="I1268" s="544"/>
      <c r="J1268" s="119"/>
      <c r="K1268" s="231"/>
      <c r="L1268" s="21"/>
      <c r="M1268" s="21"/>
    </row>
    <row r="1269">
      <c r="A1269" s="230"/>
      <c r="B1269" s="231"/>
      <c r="C1269" s="547"/>
      <c r="D1269" s="546"/>
      <c r="E1269" s="232"/>
      <c r="F1269" s="543"/>
      <c r="G1269" s="330"/>
      <c r="H1269" s="235"/>
      <c r="I1269" s="544"/>
      <c r="J1269" s="119"/>
      <c r="K1269" s="231"/>
      <c r="L1269" s="21"/>
      <c r="M1269" s="21"/>
    </row>
    <row r="1270">
      <c r="A1270" s="230"/>
      <c r="B1270" s="231"/>
      <c r="C1270" s="547"/>
      <c r="D1270" s="546"/>
      <c r="E1270" s="232"/>
      <c r="F1270" s="543"/>
      <c r="G1270" s="330"/>
      <c r="H1270" s="235"/>
      <c r="I1270" s="544"/>
      <c r="J1270" s="119"/>
      <c r="K1270" s="231"/>
      <c r="L1270" s="21"/>
      <c r="M1270" s="21"/>
    </row>
    <row r="1271">
      <c r="A1271" s="230"/>
      <c r="B1271" s="231"/>
      <c r="C1271" s="547"/>
      <c r="D1271" s="546"/>
      <c r="E1271" s="232"/>
      <c r="F1271" s="543"/>
      <c r="G1271" s="330"/>
      <c r="H1271" s="235"/>
      <c r="I1271" s="544"/>
      <c r="J1271" s="119"/>
      <c r="K1271" s="231"/>
      <c r="L1271" s="21"/>
      <c r="M1271" s="21"/>
    </row>
    <row r="1272">
      <c r="A1272" s="230"/>
      <c r="B1272" s="231"/>
      <c r="C1272" s="547"/>
      <c r="D1272" s="546"/>
      <c r="E1272" s="232"/>
      <c r="F1272" s="543"/>
      <c r="G1272" s="330"/>
      <c r="H1272" s="235"/>
      <c r="I1272" s="544"/>
      <c r="J1272" s="119"/>
      <c r="K1272" s="231"/>
      <c r="L1272" s="21"/>
      <c r="M1272" s="21"/>
    </row>
    <row r="1273">
      <c r="A1273" s="230"/>
      <c r="B1273" s="231"/>
      <c r="C1273" s="547"/>
      <c r="D1273" s="546"/>
      <c r="E1273" s="232"/>
      <c r="F1273" s="543"/>
      <c r="G1273" s="330"/>
      <c r="H1273" s="235"/>
      <c r="I1273" s="544"/>
      <c r="J1273" s="119"/>
      <c r="K1273" s="231"/>
      <c r="L1273" s="21"/>
      <c r="M1273" s="21"/>
    </row>
    <row r="1274">
      <c r="A1274" s="230"/>
      <c r="B1274" s="231"/>
      <c r="C1274" s="547"/>
      <c r="D1274" s="546"/>
      <c r="E1274" s="232"/>
      <c r="F1274" s="543"/>
      <c r="G1274" s="330"/>
      <c r="H1274" s="235"/>
      <c r="I1274" s="544"/>
      <c r="J1274" s="119"/>
      <c r="K1274" s="231"/>
      <c r="L1274" s="21"/>
      <c r="M1274" s="21"/>
    </row>
    <row r="1275">
      <c r="A1275" s="230"/>
      <c r="B1275" s="231"/>
      <c r="C1275" s="547"/>
      <c r="D1275" s="546"/>
      <c r="E1275" s="232"/>
      <c r="F1275" s="543"/>
      <c r="G1275" s="330"/>
      <c r="H1275" s="235"/>
      <c r="I1275" s="544"/>
      <c r="J1275" s="119"/>
      <c r="K1275" s="231"/>
      <c r="L1275" s="21"/>
      <c r="M1275" s="21"/>
    </row>
    <row r="1276">
      <c r="A1276" s="230"/>
      <c r="B1276" s="231"/>
      <c r="C1276" s="547"/>
      <c r="D1276" s="546"/>
      <c r="E1276" s="232"/>
      <c r="F1276" s="543"/>
      <c r="G1276" s="330"/>
      <c r="H1276" s="235"/>
      <c r="I1276" s="544"/>
      <c r="J1276" s="119"/>
      <c r="K1276" s="231"/>
      <c r="L1276" s="21"/>
      <c r="M1276" s="21"/>
    </row>
    <row r="1277">
      <c r="A1277" s="230"/>
      <c r="B1277" s="231"/>
      <c r="C1277" s="547"/>
      <c r="D1277" s="546"/>
      <c r="E1277" s="232"/>
      <c r="F1277" s="543"/>
      <c r="G1277" s="330"/>
      <c r="H1277" s="235"/>
      <c r="I1277" s="544"/>
      <c r="J1277" s="119"/>
      <c r="K1277" s="231"/>
      <c r="L1277" s="21"/>
      <c r="M1277" s="21"/>
    </row>
    <row r="1278">
      <c r="A1278" s="230"/>
      <c r="B1278" s="231"/>
      <c r="C1278" s="547"/>
      <c r="D1278" s="546"/>
      <c r="E1278" s="232"/>
      <c r="F1278" s="543"/>
      <c r="G1278" s="330"/>
      <c r="H1278" s="235"/>
      <c r="I1278" s="544"/>
      <c r="J1278" s="119"/>
      <c r="K1278" s="231"/>
      <c r="L1278" s="21"/>
      <c r="M1278" s="21"/>
    </row>
    <row r="1279">
      <c r="A1279" s="230"/>
      <c r="B1279" s="231"/>
      <c r="C1279" s="547"/>
      <c r="D1279" s="546"/>
      <c r="E1279" s="232"/>
      <c r="F1279" s="543"/>
      <c r="G1279" s="330"/>
      <c r="H1279" s="235"/>
      <c r="I1279" s="544"/>
      <c r="J1279" s="119"/>
      <c r="K1279" s="231"/>
      <c r="L1279" s="21"/>
      <c r="M1279" s="21"/>
    </row>
    <row r="1280">
      <c r="A1280" s="230"/>
      <c r="B1280" s="231"/>
      <c r="C1280" s="547"/>
      <c r="D1280" s="546"/>
      <c r="E1280" s="232"/>
      <c r="F1280" s="543"/>
      <c r="G1280" s="330"/>
      <c r="H1280" s="235"/>
      <c r="I1280" s="544"/>
      <c r="J1280" s="119"/>
      <c r="K1280" s="231"/>
      <c r="L1280" s="21"/>
      <c r="M1280" s="21"/>
    </row>
    <row r="1281">
      <c r="A1281" s="230"/>
      <c r="B1281" s="231"/>
      <c r="C1281" s="547"/>
      <c r="D1281" s="546"/>
      <c r="E1281" s="232"/>
      <c r="F1281" s="543"/>
      <c r="G1281" s="330"/>
      <c r="H1281" s="235"/>
      <c r="I1281" s="544"/>
      <c r="J1281" s="119"/>
      <c r="K1281" s="231"/>
      <c r="L1281" s="21"/>
      <c r="M1281" s="21"/>
    </row>
    <row r="1282">
      <c r="A1282" s="230"/>
      <c r="B1282" s="231"/>
      <c r="C1282" s="547"/>
      <c r="D1282" s="546"/>
      <c r="E1282" s="232"/>
      <c r="F1282" s="543"/>
      <c r="G1282" s="330"/>
      <c r="H1282" s="235"/>
      <c r="I1282" s="544"/>
      <c r="J1282" s="119"/>
      <c r="K1282" s="231"/>
      <c r="L1282" s="21"/>
      <c r="M1282" s="21"/>
    </row>
    <row r="1283">
      <c r="A1283" s="230"/>
      <c r="B1283" s="231"/>
      <c r="C1283" s="547"/>
      <c r="D1283" s="546"/>
      <c r="E1283" s="232"/>
      <c r="F1283" s="543"/>
      <c r="G1283" s="330"/>
      <c r="H1283" s="235"/>
      <c r="I1283" s="544"/>
      <c r="J1283" s="119"/>
      <c r="K1283" s="231"/>
      <c r="L1283" s="21"/>
      <c r="M1283" s="21"/>
    </row>
    <row r="1284">
      <c r="A1284" s="230"/>
      <c r="B1284" s="231"/>
      <c r="C1284" s="547"/>
      <c r="D1284" s="546"/>
      <c r="E1284" s="232"/>
      <c r="F1284" s="543"/>
      <c r="G1284" s="330"/>
      <c r="H1284" s="235"/>
      <c r="I1284" s="544"/>
      <c r="J1284" s="119"/>
      <c r="K1284" s="231"/>
      <c r="L1284" s="21"/>
      <c r="M1284" s="21"/>
    </row>
    <row r="1285">
      <c r="A1285" s="230"/>
      <c r="B1285" s="231"/>
      <c r="C1285" s="547"/>
      <c r="D1285" s="546"/>
      <c r="E1285" s="232"/>
      <c r="F1285" s="543"/>
      <c r="G1285" s="330"/>
      <c r="H1285" s="235"/>
      <c r="I1285" s="544"/>
      <c r="J1285" s="119"/>
      <c r="K1285" s="231"/>
      <c r="L1285" s="21"/>
      <c r="M1285" s="21"/>
    </row>
    <row r="1286">
      <c r="A1286" s="230"/>
      <c r="B1286" s="231"/>
      <c r="C1286" s="547"/>
      <c r="D1286" s="546"/>
      <c r="E1286" s="232"/>
      <c r="F1286" s="543"/>
      <c r="G1286" s="330"/>
      <c r="H1286" s="235"/>
      <c r="I1286" s="544"/>
      <c r="J1286" s="119"/>
      <c r="K1286" s="231"/>
      <c r="L1286" s="21"/>
      <c r="M1286" s="21"/>
    </row>
    <row r="1287">
      <c r="A1287" s="230"/>
      <c r="B1287" s="231"/>
      <c r="C1287" s="547"/>
      <c r="D1287" s="546"/>
      <c r="E1287" s="232"/>
      <c r="F1287" s="543"/>
      <c r="G1287" s="330"/>
      <c r="H1287" s="235"/>
      <c r="I1287" s="544"/>
      <c r="J1287" s="119"/>
      <c r="K1287" s="231"/>
      <c r="L1287" s="21"/>
      <c r="M1287" s="21"/>
    </row>
    <row r="1288">
      <c r="A1288" s="230"/>
      <c r="B1288" s="231"/>
      <c r="C1288" s="547"/>
      <c r="D1288" s="546"/>
      <c r="E1288" s="232"/>
      <c r="F1288" s="543"/>
      <c r="G1288" s="330"/>
      <c r="H1288" s="235"/>
      <c r="I1288" s="544"/>
      <c r="J1288" s="119"/>
      <c r="K1288" s="231"/>
      <c r="L1288" s="21"/>
      <c r="M1288" s="21"/>
    </row>
    <row r="1289">
      <c r="A1289" s="230"/>
      <c r="B1289" s="231"/>
      <c r="C1289" s="547"/>
      <c r="D1289" s="546"/>
      <c r="E1289" s="232"/>
      <c r="F1289" s="543"/>
      <c r="G1289" s="330"/>
      <c r="H1289" s="235"/>
      <c r="I1289" s="544"/>
      <c r="J1289" s="119"/>
      <c r="K1289" s="231"/>
      <c r="L1289" s="21"/>
      <c r="M1289" s="21"/>
    </row>
    <row r="1290">
      <c r="A1290" s="230"/>
      <c r="B1290" s="231"/>
      <c r="C1290" s="547"/>
      <c r="D1290" s="546"/>
      <c r="E1290" s="232"/>
      <c r="F1290" s="543"/>
      <c r="G1290" s="330"/>
      <c r="H1290" s="235"/>
      <c r="I1290" s="544"/>
      <c r="J1290" s="119"/>
      <c r="K1290" s="231"/>
      <c r="L1290" s="21"/>
      <c r="M1290" s="21"/>
    </row>
    <row r="1291">
      <c r="A1291" s="230"/>
      <c r="B1291" s="231"/>
      <c r="C1291" s="547"/>
      <c r="D1291" s="546"/>
      <c r="E1291" s="232"/>
      <c r="F1291" s="543"/>
      <c r="G1291" s="330"/>
      <c r="H1291" s="235"/>
      <c r="I1291" s="544"/>
      <c r="J1291" s="119"/>
      <c r="K1291" s="231"/>
      <c r="L1291" s="21"/>
      <c r="M1291" s="21"/>
    </row>
    <row r="1292">
      <c r="A1292" s="230"/>
      <c r="B1292" s="231"/>
      <c r="C1292" s="547"/>
      <c r="D1292" s="546"/>
      <c r="E1292" s="232"/>
      <c r="F1292" s="543"/>
      <c r="G1292" s="330"/>
      <c r="H1292" s="235"/>
      <c r="I1292" s="544"/>
      <c r="J1292" s="119"/>
      <c r="K1292" s="231"/>
      <c r="L1292" s="21"/>
      <c r="M1292" s="21"/>
    </row>
    <row r="1293">
      <c r="A1293" s="230"/>
      <c r="B1293" s="231"/>
      <c r="C1293" s="547"/>
      <c r="D1293" s="546"/>
      <c r="E1293" s="232"/>
      <c r="F1293" s="543"/>
      <c r="G1293" s="330"/>
      <c r="H1293" s="235"/>
      <c r="I1293" s="544"/>
      <c r="J1293" s="119"/>
      <c r="K1293" s="231"/>
      <c r="L1293" s="21"/>
      <c r="M1293" s="21"/>
    </row>
    <row r="1294">
      <c r="A1294" s="230"/>
      <c r="B1294" s="231"/>
      <c r="C1294" s="547"/>
      <c r="D1294" s="546"/>
      <c r="E1294" s="232"/>
      <c r="F1294" s="543"/>
      <c r="G1294" s="330"/>
      <c r="H1294" s="235"/>
      <c r="I1294" s="544"/>
      <c r="J1294" s="119"/>
      <c r="K1294" s="231"/>
      <c r="L1294" s="21"/>
      <c r="M1294" s="21"/>
    </row>
    <row r="1295">
      <c r="A1295" s="230"/>
      <c r="B1295" s="231"/>
      <c r="C1295" s="547"/>
      <c r="D1295" s="546"/>
      <c r="E1295" s="232"/>
      <c r="F1295" s="543"/>
      <c r="G1295" s="330"/>
      <c r="H1295" s="235"/>
      <c r="I1295" s="544"/>
      <c r="J1295" s="119"/>
      <c r="K1295" s="231"/>
      <c r="L1295" s="21"/>
      <c r="M1295" s="21"/>
    </row>
    <row r="1296">
      <c r="A1296" s="230"/>
      <c r="B1296" s="231"/>
      <c r="C1296" s="547"/>
      <c r="D1296" s="546"/>
      <c r="E1296" s="232"/>
      <c r="F1296" s="543"/>
      <c r="G1296" s="330"/>
      <c r="H1296" s="235"/>
      <c r="I1296" s="544"/>
      <c r="J1296" s="119"/>
      <c r="K1296" s="231"/>
      <c r="L1296" s="21"/>
      <c r="M1296" s="21"/>
    </row>
    <row r="1297">
      <c r="A1297" s="230"/>
      <c r="B1297" s="231"/>
      <c r="C1297" s="547"/>
      <c r="D1297" s="546"/>
      <c r="E1297" s="232"/>
      <c r="F1297" s="543"/>
      <c r="G1297" s="330"/>
      <c r="H1297" s="235"/>
      <c r="I1297" s="544"/>
      <c r="J1297" s="119"/>
      <c r="K1297" s="231"/>
      <c r="L1297" s="21"/>
      <c r="M1297" s="21"/>
    </row>
    <row r="1298">
      <c r="A1298" s="230"/>
      <c r="B1298" s="231"/>
      <c r="C1298" s="547"/>
      <c r="D1298" s="546"/>
      <c r="E1298" s="232"/>
      <c r="F1298" s="543"/>
      <c r="G1298" s="330"/>
      <c r="H1298" s="235"/>
      <c r="I1298" s="544"/>
      <c r="J1298" s="119"/>
      <c r="K1298" s="231"/>
      <c r="L1298" s="21"/>
      <c r="M1298" s="21"/>
    </row>
    <row r="1299">
      <c r="A1299" s="230"/>
      <c r="B1299" s="231"/>
      <c r="C1299" s="547"/>
      <c r="D1299" s="546"/>
      <c r="E1299" s="232"/>
      <c r="F1299" s="543"/>
      <c r="G1299" s="330"/>
      <c r="H1299" s="235"/>
      <c r="I1299" s="544"/>
      <c r="J1299" s="119"/>
      <c r="K1299" s="231"/>
      <c r="L1299" s="21"/>
      <c r="M1299" s="21"/>
    </row>
    <row r="1300">
      <c r="A1300" s="230"/>
      <c r="B1300" s="231"/>
      <c r="C1300" s="547"/>
      <c r="D1300" s="546"/>
      <c r="E1300" s="232"/>
      <c r="F1300" s="543"/>
      <c r="G1300" s="330"/>
      <c r="H1300" s="235"/>
      <c r="I1300" s="544"/>
      <c r="J1300" s="119"/>
      <c r="K1300" s="231"/>
      <c r="L1300" s="21"/>
      <c r="M1300" s="21"/>
    </row>
    <row r="1301">
      <c r="A1301" s="230"/>
      <c r="B1301" s="231"/>
      <c r="C1301" s="547"/>
      <c r="D1301" s="546"/>
      <c r="E1301" s="232"/>
      <c r="F1301" s="543"/>
      <c r="G1301" s="330"/>
      <c r="H1301" s="235"/>
      <c r="I1301" s="544"/>
      <c r="J1301" s="119"/>
      <c r="K1301" s="231"/>
      <c r="L1301" s="21"/>
      <c r="M1301" s="21"/>
    </row>
    <row r="1302">
      <c r="A1302" s="230"/>
      <c r="B1302" s="231"/>
      <c r="C1302" s="547"/>
      <c r="D1302" s="546"/>
      <c r="E1302" s="232"/>
      <c r="F1302" s="543"/>
      <c r="G1302" s="330"/>
      <c r="H1302" s="235"/>
      <c r="I1302" s="544"/>
      <c r="J1302" s="119"/>
      <c r="K1302" s="231"/>
      <c r="L1302" s="21"/>
      <c r="M1302" s="21"/>
    </row>
    <row r="1303">
      <c r="A1303" s="230"/>
      <c r="B1303" s="231"/>
      <c r="C1303" s="547"/>
      <c r="D1303" s="546"/>
      <c r="E1303" s="232"/>
      <c r="F1303" s="543"/>
      <c r="G1303" s="330"/>
      <c r="H1303" s="235"/>
      <c r="I1303" s="544"/>
      <c r="J1303" s="119"/>
      <c r="K1303" s="231"/>
      <c r="L1303" s="21"/>
      <c r="M1303" s="21"/>
    </row>
    <row r="1304">
      <c r="A1304" s="230"/>
      <c r="B1304" s="231"/>
      <c r="C1304" s="547"/>
      <c r="D1304" s="546"/>
      <c r="E1304" s="232"/>
      <c r="F1304" s="543"/>
      <c r="G1304" s="330"/>
      <c r="H1304" s="235"/>
      <c r="I1304" s="544"/>
      <c r="J1304" s="119"/>
      <c r="K1304" s="231"/>
      <c r="L1304" s="21"/>
      <c r="M1304" s="21"/>
    </row>
    <row r="1305">
      <c r="A1305" s="230"/>
      <c r="B1305" s="231"/>
      <c r="C1305" s="547"/>
      <c r="D1305" s="546"/>
      <c r="E1305" s="232"/>
      <c r="F1305" s="543"/>
      <c r="G1305" s="330"/>
      <c r="H1305" s="235"/>
      <c r="I1305" s="544"/>
      <c r="J1305" s="119"/>
      <c r="K1305" s="231"/>
      <c r="L1305" s="21"/>
      <c r="M1305" s="21"/>
    </row>
    <row r="1306">
      <c r="A1306" s="230"/>
      <c r="B1306" s="231"/>
      <c r="C1306" s="547"/>
      <c r="D1306" s="546"/>
      <c r="E1306" s="232"/>
      <c r="F1306" s="543"/>
      <c r="G1306" s="330"/>
      <c r="H1306" s="235"/>
      <c r="I1306" s="544"/>
      <c r="J1306" s="119"/>
      <c r="K1306" s="231"/>
      <c r="L1306" s="21"/>
      <c r="M1306" s="21"/>
    </row>
    <row r="1307">
      <c r="A1307" s="230"/>
      <c r="B1307" s="231"/>
      <c r="C1307" s="547"/>
      <c r="D1307" s="546"/>
      <c r="E1307" s="232"/>
      <c r="F1307" s="543"/>
      <c r="G1307" s="330"/>
      <c r="H1307" s="235"/>
      <c r="I1307" s="544"/>
      <c r="J1307" s="119"/>
      <c r="K1307" s="231"/>
      <c r="L1307" s="21"/>
      <c r="M1307" s="21"/>
    </row>
    <row r="1308">
      <c r="A1308" s="230"/>
      <c r="B1308" s="231"/>
      <c r="C1308" s="547"/>
      <c r="D1308" s="546"/>
      <c r="E1308" s="232"/>
      <c r="F1308" s="543"/>
      <c r="G1308" s="330"/>
      <c r="H1308" s="235"/>
      <c r="I1308" s="544"/>
      <c r="J1308" s="119"/>
      <c r="K1308" s="231"/>
      <c r="L1308" s="21"/>
      <c r="M1308" s="21"/>
    </row>
    <row r="1309">
      <c r="A1309" s="230"/>
      <c r="B1309" s="231"/>
      <c r="C1309" s="547"/>
      <c r="D1309" s="546"/>
      <c r="E1309" s="232"/>
      <c r="F1309" s="543"/>
      <c r="G1309" s="330"/>
      <c r="H1309" s="235"/>
      <c r="I1309" s="544"/>
      <c r="J1309" s="119"/>
      <c r="K1309" s="231"/>
      <c r="L1309" s="21"/>
      <c r="M1309" s="21"/>
    </row>
    <row r="1310">
      <c r="A1310" s="230"/>
      <c r="B1310" s="231"/>
      <c r="C1310" s="547"/>
      <c r="D1310" s="546"/>
      <c r="E1310" s="232"/>
      <c r="F1310" s="543"/>
      <c r="G1310" s="330"/>
      <c r="H1310" s="235"/>
      <c r="I1310" s="544"/>
      <c r="J1310" s="119"/>
      <c r="K1310" s="231"/>
      <c r="L1310" s="21"/>
      <c r="M1310" s="21"/>
    </row>
    <row r="1311">
      <c r="A1311" s="230"/>
      <c r="B1311" s="231"/>
      <c r="C1311" s="547"/>
      <c r="D1311" s="546"/>
      <c r="E1311" s="232"/>
      <c r="F1311" s="543"/>
      <c r="G1311" s="330"/>
      <c r="H1311" s="235"/>
      <c r="I1311" s="544"/>
      <c r="J1311" s="119"/>
      <c r="K1311" s="231"/>
      <c r="L1311" s="21"/>
      <c r="M1311" s="21"/>
    </row>
    <row r="1312">
      <c r="A1312" s="230"/>
      <c r="B1312" s="231"/>
      <c r="C1312" s="547"/>
      <c r="D1312" s="546"/>
      <c r="E1312" s="232"/>
      <c r="F1312" s="543"/>
      <c r="G1312" s="330"/>
      <c r="H1312" s="235"/>
      <c r="I1312" s="544"/>
      <c r="J1312" s="119"/>
      <c r="K1312" s="231"/>
      <c r="L1312" s="21"/>
      <c r="M1312" s="21"/>
    </row>
    <row r="1313">
      <c r="A1313" s="230"/>
      <c r="B1313" s="231"/>
      <c r="C1313" s="547"/>
      <c r="D1313" s="546"/>
      <c r="E1313" s="232"/>
      <c r="F1313" s="543"/>
      <c r="G1313" s="330"/>
      <c r="H1313" s="235"/>
      <c r="I1313" s="544"/>
      <c r="J1313" s="119"/>
      <c r="K1313" s="231"/>
      <c r="L1313" s="21"/>
      <c r="M1313" s="21"/>
    </row>
    <row r="1314">
      <c r="A1314" s="230"/>
      <c r="B1314" s="231"/>
      <c r="C1314" s="547"/>
      <c r="D1314" s="546"/>
      <c r="E1314" s="232"/>
      <c r="F1314" s="543"/>
      <c r="G1314" s="330"/>
      <c r="H1314" s="235"/>
      <c r="I1314" s="544"/>
      <c r="J1314" s="119"/>
      <c r="K1314" s="231"/>
      <c r="L1314" s="21"/>
      <c r="M1314" s="21"/>
    </row>
    <row r="1315">
      <c r="A1315" s="230"/>
      <c r="B1315" s="231"/>
      <c r="C1315" s="547"/>
      <c r="D1315" s="546"/>
      <c r="E1315" s="232"/>
      <c r="F1315" s="543"/>
      <c r="G1315" s="330"/>
      <c r="H1315" s="235"/>
      <c r="I1315" s="544"/>
      <c r="J1315" s="119"/>
      <c r="K1315" s="231"/>
      <c r="L1315" s="21"/>
      <c r="M1315" s="21"/>
    </row>
    <row r="1316">
      <c r="A1316" s="230"/>
      <c r="B1316" s="231"/>
      <c r="C1316" s="547"/>
      <c r="D1316" s="546"/>
      <c r="E1316" s="232"/>
      <c r="F1316" s="543"/>
      <c r="G1316" s="330"/>
      <c r="H1316" s="235"/>
      <c r="I1316" s="544"/>
      <c r="J1316" s="119"/>
      <c r="K1316" s="231"/>
      <c r="L1316" s="21"/>
      <c r="M1316" s="21"/>
    </row>
    <row r="1317">
      <c r="A1317" s="230"/>
      <c r="B1317" s="231"/>
      <c r="C1317" s="547"/>
      <c r="D1317" s="546"/>
      <c r="E1317" s="232"/>
      <c r="F1317" s="543"/>
      <c r="G1317" s="330"/>
      <c r="H1317" s="235"/>
      <c r="I1317" s="544"/>
      <c r="J1317" s="119"/>
      <c r="K1317" s="231"/>
      <c r="L1317" s="21"/>
      <c r="M1317" s="21"/>
    </row>
    <row r="1318">
      <c r="A1318" s="230"/>
      <c r="B1318" s="231"/>
      <c r="C1318" s="547"/>
      <c r="D1318" s="546"/>
      <c r="E1318" s="232"/>
      <c r="F1318" s="543"/>
      <c r="G1318" s="330"/>
      <c r="H1318" s="235"/>
      <c r="I1318" s="544"/>
      <c r="J1318" s="119"/>
      <c r="K1318" s="231"/>
      <c r="L1318" s="21"/>
      <c r="M1318" s="21"/>
    </row>
    <row r="1319">
      <c r="A1319" s="230"/>
      <c r="B1319" s="231"/>
      <c r="C1319" s="547"/>
      <c r="D1319" s="546"/>
      <c r="E1319" s="232"/>
      <c r="F1319" s="543"/>
      <c r="G1319" s="330"/>
      <c r="H1319" s="235"/>
      <c r="I1319" s="544"/>
      <c r="J1319" s="119"/>
      <c r="K1319" s="231"/>
      <c r="L1319" s="21"/>
      <c r="M1319" s="21"/>
    </row>
    <row r="1320">
      <c r="A1320" s="230"/>
      <c r="B1320" s="231"/>
      <c r="C1320" s="547"/>
      <c r="D1320" s="546"/>
      <c r="E1320" s="232"/>
      <c r="F1320" s="543"/>
      <c r="G1320" s="330"/>
      <c r="H1320" s="235"/>
      <c r="I1320" s="544"/>
      <c r="J1320" s="119"/>
      <c r="K1320" s="231"/>
      <c r="L1320" s="21"/>
      <c r="M1320" s="21"/>
    </row>
    <row r="1321">
      <c r="A1321" s="230"/>
      <c r="B1321" s="231"/>
      <c r="C1321" s="547"/>
      <c r="D1321" s="546"/>
      <c r="E1321" s="232"/>
      <c r="F1321" s="543"/>
      <c r="G1321" s="330"/>
      <c r="H1321" s="235"/>
      <c r="I1321" s="544"/>
      <c r="J1321" s="119"/>
      <c r="K1321" s="231"/>
      <c r="L1321" s="21"/>
      <c r="M1321" s="21"/>
    </row>
    <row r="1322">
      <c r="A1322" s="230"/>
      <c r="B1322" s="231"/>
      <c r="C1322" s="547"/>
      <c r="D1322" s="546"/>
      <c r="E1322" s="232"/>
      <c r="F1322" s="543"/>
      <c r="G1322" s="330"/>
      <c r="H1322" s="235"/>
      <c r="I1322" s="544"/>
      <c r="J1322" s="119"/>
      <c r="K1322" s="231"/>
      <c r="L1322" s="21"/>
      <c r="M1322" s="21"/>
    </row>
    <row r="1323">
      <c r="A1323" s="230"/>
      <c r="B1323" s="231"/>
      <c r="C1323" s="547"/>
      <c r="D1323" s="546"/>
      <c r="E1323" s="232"/>
      <c r="F1323" s="543"/>
      <c r="G1323" s="330"/>
      <c r="H1323" s="235"/>
      <c r="I1323" s="544"/>
      <c r="J1323" s="119"/>
      <c r="K1323" s="231"/>
      <c r="L1323" s="21"/>
      <c r="M1323" s="21"/>
    </row>
    <row r="1324">
      <c r="A1324" s="230"/>
      <c r="B1324" s="231"/>
      <c r="C1324" s="547"/>
      <c r="D1324" s="546"/>
      <c r="E1324" s="232"/>
      <c r="F1324" s="543"/>
      <c r="G1324" s="330"/>
      <c r="H1324" s="235"/>
      <c r="I1324" s="544"/>
      <c r="J1324" s="119"/>
      <c r="K1324" s="231"/>
      <c r="L1324" s="21"/>
      <c r="M1324" s="21"/>
    </row>
    <row r="1325">
      <c r="A1325" s="230"/>
      <c r="B1325" s="231"/>
      <c r="C1325" s="547"/>
      <c r="D1325" s="546"/>
      <c r="E1325" s="232"/>
      <c r="F1325" s="543"/>
      <c r="G1325" s="330"/>
      <c r="H1325" s="235"/>
      <c r="I1325" s="544"/>
      <c r="J1325" s="119"/>
      <c r="K1325" s="231"/>
      <c r="L1325" s="21"/>
      <c r="M1325" s="21"/>
    </row>
    <row r="1326">
      <c r="A1326" s="230"/>
      <c r="B1326" s="231"/>
      <c r="C1326" s="547"/>
      <c r="D1326" s="546"/>
      <c r="E1326" s="232"/>
      <c r="F1326" s="543"/>
      <c r="G1326" s="330"/>
      <c r="H1326" s="235"/>
      <c r="I1326" s="544"/>
      <c r="J1326" s="119"/>
      <c r="K1326" s="231"/>
      <c r="L1326" s="21"/>
      <c r="M1326" s="21"/>
    </row>
    <row r="1327">
      <c r="A1327" s="230"/>
      <c r="B1327" s="231"/>
      <c r="C1327" s="547"/>
      <c r="D1327" s="546"/>
      <c r="E1327" s="232"/>
      <c r="F1327" s="543"/>
      <c r="G1327" s="330"/>
      <c r="H1327" s="235"/>
      <c r="I1327" s="544"/>
      <c r="J1327" s="119"/>
      <c r="K1327" s="231"/>
      <c r="L1327" s="21"/>
      <c r="M1327" s="21"/>
    </row>
    <row r="1328">
      <c r="A1328" s="230"/>
      <c r="B1328" s="231"/>
      <c r="C1328" s="547"/>
      <c r="D1328" s="546"/>
      <c r="E1328" s="232"/>
      <c r="F1328" s="543"/>
      <c r="G1328" s="330"/>
      <c r="H1328" s="235"/>
      <c r="I1328" s="544"/>
      <c r="J1328" s="119"/>
      <c r="K1328" s="231"/>
      <c r="L1328" s="21"/>
      <c r="M1328" s="21"/>
    </row>
    <row r="1329">
      <c r="A1329" s="230"/>
      <c r="B1329" s="231"/>
      <c r="C1329" s="547"/>
      <c r="D1329" s="546"/>
      <c r="E1329" s="232"/>
      <c r="F1329" s="543"/>
      <c r="G1329" s="330"/>
      <c r="H1329" s="235"/>
      <c r="I1329" s="544"/>
      <c r="J1329" s="119"/>
      <c r="K1329" s="231"/>
      <c r="L1329" s="21"/>
      <c r="M1329" s="21"/>
    </row>
    <row r="1330">
      <c r="A1330" s="230"/>
      <c r="B1330" s="231"/>
      <c r="C1330" s="547"/>
      <c r="D1330" s="546"/>
      <c r="E1330" s="232"/>
      <c r="F1330" s="543"/>
      <c r="G1330" s="330"/>
      <c r="H1330" s="235"/>
      <c r="I1330" s="544"/>
      <c r="J1330" s="119"/>
      <c r="K1330" s="231"/>
      <c r="L1330" s="21"/>
      <c r="M1330" s="21"/>
    </row>
    <row r="1331">
      <c r="A1331" s="230"/>
      <c r="B1331" s="231"/>
      <c r="C1331" s="547"/>
      <c r="D1331" s="546"/>
      <c r="E1331" s="232"/>
      <c r="F1331" s="543"/>
      <c r="G1331" s="330"/>
      <c r="H1331" s="235"/>
      <c r="I1331" s="544"/>
      <c r="J1331" s="119"/>
      <c r="K1331" s="231"/>
      <c r="L1331" s="21"/>
      <c r="M1331" s="21"/>
    </row>
    <row r="1332">
      <c r="A1332" s="230"/>
      <c r="B1332" s="231"/>
      <c r="C1332" s="547"/>
      <c r="D1332" s="546"/>
      <c r="E1332" s="232"/>
      <c r="F1332" s="543"/>
      <c r="G1332" s="330"/>
      <c r="H1332" s="235"/>
      <c r="I1332" s="544"/>
      <c r="J1332" s="119"/>
      <c r="K1332" s="231"/>
      <c r="L1332" s="21"/>
      <c r="M1332" s="21"/>
    </row>
    <row r="1333">
      <c r="A1333" s="230"/>
      <c r="B1333" s="231"/>
      <c r="C1333" s="547"/>
      <c r="D1333" s="546"/>
      <c r="E1333" s="232"/>
      <c r="F1333" s="543"/>
      <c r="G1333" s="330"/>
      <c r="H1333" s="235"/>
      <c r="I1333" s="544"/>
      <c r="J1333" s="119"/>
      <c r="K1333" s="231"/>
      <c r="L1333" s="21"/>
      <c r="M1333" s="21"/>
    </row>
    <row r="1334">
      <c r="A1334" s="230"/>
      <c r="B1334" s="231"/>
      <c r="C1334" s="547"/>
      <c r="D1334" s="546"/>
      <c r="E1334" s="232"/>
      <c r="F1334" s="543"/>
      <c r="G1334" s="330"/>
      <c r="H1334" s="235"/>
      <c r="I1334" s="544"/>
      <c r="J1334" s="119"/>
      <c r="K1334" s="231"/>
      <c r="L1334" s="21"/>
      <c r="M1334" s="21"/>
    </row>
    <row r="1335">
      <c r="A1335" s="230"/>
      <c r="B1335" s="231"/>
      <c r="C1335" s="547"/>
      <c r="D1335" s="546"/>
      <c r="E1335" s="232"/>
      <c r="F1335" s="543"/>
      <c r="G1335" s="330"/>
      <c r="H1335" s="235"/>
      <c r="I1335" s="544"/>
      <c r="J1335" s="119"/>
      <c r="K1335" s="231"/>
      <c r="L1335" s="21"/>
      <c r="M1335" s="21"/>
    </row>
    <row r="1336">
      <c r="A1336" s="230"/>
      <c r="B1336" s="231"/>
      <c r="C1336" s="547"/>
      <c r="D1336" s="546"/>
      <c r="E1336" s="232"/>
      <c r="F1336" s="543"/>
      <c r="G1336" s="330"/>
      <c r="H1336" s="235"/>
      <c r="I1336" s="544"/>
      <c r="J1336" s="119"/>
      <c r="K1336" s="231"/>
      <c r="L1336" s="21"/>
      <c r="M1336" s="21"/>
    </row>
    <row r="1337">
      <c r="A1337" s="230"/>
      <c r="B1337" s="231"/>
      <c r="C1337" s="547"/>
      <c r="D1337" s="546"/>
      <c r="E1337" s="232"/>
      <c r="F1337" s="543"/>
      <c r="G1337" s="330"/>
      <c r="H1337" s="235"/>
      <c r="I1337" s="544"/>
      <c r="J1337" s="119"/>
      <c r="K1337" s="231"/>
      <c r="L1337" s="21"/>
      <c r="M1337" s="21"/>
    </row>
    <row r="1338">
      <c r="A1338" s="230"/>
      <c r="B1338" s="231"/>
      <c r="C1338" s="547"/>
      <c r="D1338" s="546"/>
      <c r="E1338" s="232"/>
      <c r="F1338" s="543"/>
      <c r="G1338" s="330"/>
      <c r="H1338" s="235"/>
      <c r="I1338" s="544"/>
      <c r="J1338" s="119"/>
      <c r="K1338" s="231"/>
      <c r="L1338" s="21"/>
      <c r="M1338" s="21"/>
    </row>
    <row r="1339">
      <c r="A1339" s="230"/>
      <c r="B1339" s="231"/>
      <c r="C1339" s="547"/>
      <c r="D1339" s="546"/>
      <c r="E1339" s="232"/>
      <c r="F1339" s="543"/>
      <c r="G1339" s="330"/>
      <c r="H1339" s="235"/>
      <c r="I1339" s="544"/>
      <c r="J1339" s="119"/>
      <c r="K1339" s="231"/>
      <c r="L1339" s="21"/>
      <c r="M1339" s="21"/>
    </row>
    <row r="1340">
      <c r="A1340" s="230"/>
      <c r="B1340" s="231"/>
      <c r="C1340" s="547"/>
      <c r="D1340" s="546"/>
      <c r="E1340" s="232"/>
      <c r="F1340" s="543"/>
      <c r="G1340" s="330"/>
      <c r="H1340" s="235"/>
      <c r="I1340" s="544"/>
      <c r="J1340" s="119"/>
      <c r="K1340" s="231"/>
      <c r="L1340" s="21"/>
      <c r="M1340" s="21"/>
    </row>
    <row r="1341">
      <c r="A1341" s="230"/>
      <c r="B1341" s="231"/>
      <c r="C1341" s="547"/>
      <c r="D1341" s="546"/>
      <c r="E1341" s="232"/>
      <c r="F1341" s="543"/>
      <c r="G1341" s="330"/>
      <c r="H1341" s="235"/>
      <c r="I1341" s="544"/>
      <c r="J1341" s="119"/>
      <c r="K1341" s="231"/>
      <c r="L1341" s="21"/>
      <c r="M1341" s="21"/>
    </row>
    <row r="1342">
      <c r="A1342" s="230"/>
      <c r="B1342" s="231"/>
      <c r="C1342" s="547"/>
      <c r="D1342" s="546"/>
      <c r="E1342" s="232"/>
      <c r="F1342" s="543"/>
      <c r="G1342" s="330"/>
      <c r="H1342" s="235"/>
      <c r="I1342" s="544"/>
      <c r="J1342" s="119"/>
      <c r="K1342" s="231"/>
      <c r="L1342" s="21"/>
      <c r="M1342" s="21"/>
    </row>
    <row r="1343">
      <c r="A1343" s="230"/>
      <c r="B1343" s="231"/>
      <c r="C1343" s="547"/>
      <c r="D1343" s="546"/>
      <c r="E1343" s="232"/>
      <c r="F1343" s="543"/>
      <c r="G1343" s="330"/>
      <c r="H1343" s="235"/>
      <c r="I1343" s="544"/>
      <c r="J1343" s="119"/>
      <c r="K1343" s="231"/>
      <c r="L1343" s="21"/>
      <c r="M1343" s="21"/>
    </row>
    <row r="1344">
      <c r="A1344" s="230"/>
      <c r="B1344" s="231"/>
      <c r="C1344" s="547"/>
      <c r="D1344" s="546"/>
      <c r="E1344" s="232"/>
      <c r="F1344" s="543"/>
      <c r="G1344" s="330"/>
      <c r="H1344" s="235"/>
      <c r="I1344" s="544"/>
      <c r="J1344" s="119"/>
      <c r="K1344" s="231"/>
      <c r="L1344" s="21"/>
      <c r="M1344" s="21"/>
    </row>
    <row r="1345">
      <c r="A1345" s="230"/>
      <c r="B1345" s="231"/>
      <c r="C1345" s="547"/>
      <c r="D1345" s="546"/>
      <c r="E1345" s="232"/>
      <c r="F1345" s="543"/>
      <c r="G1345" s="330"/>
      <c r="H1345" s="235"/>
      <c r="I1345" s="544"/>
      <c r="J1345" s="119"/>
      <c r="K1345" s="231"/>
      <c r="L1345" s="21"/>
      <c r="M1345" s="21"/>
    </row>
    <row r="1346">
      <c r="A1346" s="230"/>
      <c r="B1346" s="231"/>
      <c r="C1346" s="547"/>
      <c r="D1346" s="546"/>
      <c r="E1346" s="232"/>
      <c r="F1346" s="543"/>
      <c r="G1346" s="330"/>
      <c r="H1346" s="235"/>
      <c r="I1346" s="544"/>
      <c r="J1346" s="119"/>
      <c r="K1346" s="231"/>
      <c r="L1346" s="21"/>
      <c r="M1346" s="21"/>
    </row>
    <row r="1347">
      <c r="A1347" s="230"/>
      <c r="B1347" s="231"/>
      <c r="C1347" s="547"/>
      <c r="D1347" s="546"/>
      <c r="E1347" s="232"/>
      <c r="F1347" s="543"/>
      <c r="G1347" s="330"/>
      <c r="H1347" s="235"/>
      <c r="I1347" s="544"/>
      <c r="J1347" s="119"/>
      <c r="K1347" s="231"/>
      <c r="L1347" s="21"/>
      <c r="M1347" s="21"/>
    </row>
    <row r="1348">
      <c r="A1348" s="230"/>
      <c r="B1348" s="231"/>
      <c r="C1348" s="547"/>
      <c r="D1348" s="546"/>
      <c r="E1348" s="232"/>
      <c r="F1348" s="543"/>
      <c r="G1348" s="330"/>
      <c r="H1348" s="235"/>
      <c r="I1348" s="544"/>
      <c r="J1348" s="119"/>
      <c r="K1348" s="231"/>
      <c r="L1348" s="21"/>
      <c r="M1348" s="21"/>
    </row>
    <row r="1349">
      <c r="A1349" s="230"/>
      <c r="B1349" s="231"/>
      <c r="C1349" s="547"/>
      <c r="D1349" s="546"/>
      <c r="E1349" s="232"/>
      <c r="F1349" s="543"/>
      <c r="G1349" s="330"/>
      <c r="H1349" s="235"/>
      <c r="I1349" s="544"/>
      <c r="J1349" s="119"/>
      <c r="K1349" s="231"/>
      <c r="L1349" s="21"/>
      <c r="M1349" s="21"/>
    </row>
    <row r="1350">
      <c r="A1350" s="230"/>
      <c r="B1350" s="231"/>
      <c r="C1350" s="547"/>
      <c r="D1350" s="546"/>
      <c r="E1350" s="232"/>
      <c r="F1350" s="543"/>
      <c r="G1350" s="330"/>
      <c r="H1350" s="235"/>
      <c r="I1350" s="544"/>
      <c r="J1350" s="119"/>
      <c r="K1350" s="231"/>
      <c r="L1350" s="21"/>
      <c r="M1350" s="21"/>
    </row>
    <row r="1351">
      <c r="A1351" s="230"/>
      <c r="B1351" s="231"/>
      <c r="C1351" s="547"/>
      <c r="D1351" s="546"/>
      <c r="E1351" s="232"/>
      <c r="F1351" s="543"/>
      <c r="G1351" s="330"/>
      <c r="H1351" s="235"/>
      <c r="I1351" s="544"/>
      <c r="J1351" s="119"/>
      <c r="K1351" s="231"/>
      <c r="L1351" s="21"/>
      <c r="M1351" s="21"/>
    </row>
    <row r="1352">
      <c r="A1352" s="230"/>
      <c r="B1352" s="231"/>
      <c r="C1352" s="547"/>
      <c r="D1352" s="546"/>
      <c r="E1352" s="232"/>
      <c r="F1352" s="543"/>
      <c r="G1352" s="330"/>
      <c r="H1352" s="235"/>
      <c r="I1352" s="544"/>
      <c r="J1352" s="119"/>
      <c r="K1352" s="231"/>
      <c r="L1352" s="21"/>
      <c r="M1352" s="21"/>
    </row>
    <row r="1353">
      <c r="A1353" s="230"/>
      <c r="B1353" s="231"/>
      <c r="C1353" s="547"/>
      <c r="D1353" s="546"/>
      <c r="E1353" s="232"/>
      <c r="F1353" s="543"/>
      <c r="G1353" s="330"/>
      <c r="H1353" s="235"/>
      <c r="I1353" s="544"/>
      <c r="J1353" s="119"/>
      <c r="K1353" s="231"/>
      <c r="L1353" s="21"/>
      <c r="M1353" s="21"/>
    </row>
    <row r="1354">
      <c r="A1354" s="230"/>
      <c r="B1354" s="231"/>
      <c r="C1354" s="547"/>
      <c r="D1354" s="546"/>
      <c r="E1354" s="232"/>
      <c r="F1354" s="543"/>
      <c r="G1354" s="330"/>
      <c r="H1354" s="235"/>
      <c r="I1354" s="544"/>
      <c r="J1354" s="119"/>
      <c r="K1354" s="231"/>
      <c r="L1354" s="21"/>
      <c r="M1354" s="21"/>
    </row>
    <row r="1355">
      <c r="A1355" s="230"/>
      <c r="B1355" s="231"/>
      <c r="C1355" s="547"/>
      <c r="D1355" s="546"/>
      <c r="E1355" s="232"/>
      <c r="F1355" s="543"/>
      <c r="G1355" s="330"/>
      <c r="H1355" s="235"/>
      <c r="I1355" s="544"/>
      <c r="J1355" s="119"/>
      <c r="K1355" s="231"/>
      <c r="L1355" s="21"/>
      <c r="M1355" s="21"/>
    </row>
    <row r="1356">
      <c r="A1356" s="230"/>
      <c r="B1356" s="231"/>
      <c r="C1356" s="547"/>
      <c r="D1356" s="546"/>
      <c r="E1356" s="232"/>
      <c r="F1356" s="543"/>
      <c r="G1356" s="330"/>
      <c r="H1356" s="235"/>
      <c r="I1356" s="544"/>
      <c r="J1356" s="119"/>
      <c r="K1356" s="231"/>
      <c r="L1356" s="21"/>
      <c r="M1356" s="21"/>
    </row>
    <row r="1357">
      <c r="A1357" s="230"/>
      <c r="B1357" s="231"/>
      <c r="C1357" s="547"/>
      <c r="D1357" s="546"/>
      <c r="E1357" s="232"/>
      <c r="F1357" s="543"/>
      <c r="G1357" s="330"/>
      <c r="H1357" s="235"/>
      <c r="I1357" s="544"/>
      <c r="J1357" s="119"/>
      <c r="K1357" s="231"/>
      <c r="L1357" s="21"/>
      <c r="M1357" s="21"/>
    </row>
    <row r="1358">
      <c r="A1358" s="230"/>
      <c r="B1358" s="231"/>
      <c r="C1358" s="547"/>
      <c r="D1358" s="546"/>
      <c r="E1358" s="232"/>
      <c r="F1358" s="543"/>
      <c r="G1358" s="330"/>
      <c r="H1358" s="235"/>
      <c r="I1358" s="544"/>
      <c r="J1358" s="119"/>
      <c r="K1358" s="231"/>
      <c r="L1358" s="21"/>
      <c r="M1358" s="21"/>
    </row>
    <row r="1359">
      <c r="A1359" s="230"/>
      <c r="B1359" s="231"/>
      <c r="C1359" s="547"/>
      <c r="D1359" s="546"/>
      <c r="E1359" s="232"/>
      <c r="F1359" s="543"/>
      <c r="G1359" s="330"/>
      <c r="H1359" s="235"/>
      <c r="I1359" s="544"/>
      <c r="J1359" s="119"/>
      <c r="K1359" s="231"/>
      <c r="L1359" s="21"/>
      <c r="M1359" s="21"/>
    </row>
    <row r="1360">
      <c r="A1360" s="230"/>
      <c r="B1360" s="231"/>
      <c r="C1360" s="547"/>
      <c r="D1360" s="546"/>
      <c r="E1360" s="232"/>
      <c r="F1360" s="543"/>
      <c r="G1360" s="330"/>
      <c r="H1360" s="235"/>
      <c r="I1360" s="544"/>
      <c r="J1360" s="119"/>
      <c r="K1360" s="231"/>
      <c r="L1360" s="21"/>
      <c r="M1360" s="21"/>
    </row>
    <row r="1361">
      <c r="A1361" s="230"/>
      <c r="B1361" s="231"/>
      <c r="C1361" s="547"/>
      <c r="D1361" s="546"/>
      <c r="E1361" s="232"/>
      <c r="F1361" s="543"/>
      <c r="G1361" s="330"/>
      <c r="H1361" s="235"/>
      <c r="I1361" s="544"/>
      <c r="J1361" s="119"/>
      <c r="K1361" s="231"/>
      <c r="L1361" s="21"/>
      <c r="M1361" s="21"/>
    </row>
    <row r="1362">
      <c r="A1362" s="230"/>
      <c r="B1362" s="231"/>
      <c r="C1362" s="547"/>
      <c r="D1362" s="546"/>
      <c r="E1362" s="232"/>
      <c r="F1362" s="543"/>
      <c r="G1362" s="330"/>
      <c r="H1362" s="235"/>
      <c r="I1362" s="544"/>
      <c r="J1362" s="119"/>
      <c r="K1362" s="231"/>
      <c r="L1362" s="21"/>
      <c r="M1362" s="21"/>
    </row>
    <row r="1363">
      <c r="A1363" s="230"/>
      <c r="B1363" s="231"/>
      <c r="C1363" s="547"/>
      <c r="D1363" s="546"/>
      <c r="E1363" s="232"/>
      <c r="F1363" s="543"/>
      <c r="G1363" s="330"/>
      <c r="H1363" s="235"/>
      <c r="I1363" s="544"/>
      <c r="J1363" s="119"/>
      <c r="K1363" s="231"/>
      <c r="L1363" s="21"/>
      <c r="M1363" s="21"/>
    </row>
    <row r="1364">
      <c r="A1364" s="230"/>
      <c r="B1364" s="231"/>
      <c r="C1364" s="547"/>
      <c r="D1364" s="546"/>
      <c r="E1364" s="232"/>
      <c r="F1364" s="543"/>
      <c r="G1364" s="330"/>
      <c r="H1364" s="235"/>
      <c r="I1364" s="544"/>
      <c r="J1364" s="119"/>
      <c r="K1364" s="231"/>
      <c r="L1364" s="21"/>
      <c r="M1364" s="21"/>
    </row>
    <row r="1365">
      <c r="A1365" s="230"/>
      <c r="B1365" s="231"/>
      <c r="C1365" s="547"/>
      <c r="D1365" s="546"/>
      <c r="E1365" s="232"/>
      <c r="F1365" s="543"/>
      <c r="G1365" s="330"/>
      <c r="H1365" s="235"/>
      <c r="I1365" s="544"/>
      <c r="J1365" s="119"/>
      <c r="K1365" s="231"/>
      <c r="L1365" s="21"/>
      <c r="M1365" s="21"/>
    </row>
    <row r="1366">
      <c r="A1366" s="230"/>
      <c r="B1366" s="231"/>
      <c r="C1366" s="547"/>
      <c r="D1366" s="546"/>
      <c r="E1366" s="232"/>
      <c r="F1366" s="543"/>
      <c r="G1366" s="330"/>
      <c r="H1366" s="235"/>
      <c r="I1366" s="544"/>
      <c r="J1366" s="119"/>
      <c r="K1366" s="231"/>
      <c r="L1366" s="21"/>
      <c r="M1366" s="21"/>
    </row>
    <row r="1367">
      <c r="A1367" s="230"/>
      <c r="B1367" s="231"/>
      <c r="C1367" s="547"/>
      <c r="D1367" s="546"/>
      <c r="E1367" s="232"/>
      <c r="F1367" s="543"/>
      <c r="G1367" s="330"/>
      <c r="H1367" s="235"/>
      <c r="I1367" s="544"/>
      <c r="J1367" s="119"/>
      <c r="K1367" s="231"/>
      <c r="L1367" s="21"/>
      <c r="M1367" s="21"/>
    </row>
    <row r="1368">
      <c r="A1368" s="230"/>
      <c r="B1368" s="231"/>
      <c r="C1368" s="547"/>
      <c r="D1368" s="546"/>
      <c r="E1368" s="232"/>
      <c r="F1368" s="543"/>
      <c r="G1368" s="330"/>
      <c r="H1368" s="235"/>
      <c r="I1368" s="544"/>
      <c r="J1368" s="119"/>
      <c r="K1368" s="231"/>
      <c r="L1368" s="21"/>
      <c r="M1368" s="21"/>
    </row>
    <row r="1369">
      <c r="A1369" s="230"/>
      <c r="B1369" s="231"/>
      <c r="C1369" s="547"/>
      <c r="D1369" s="546"/>
      <c r="E1369" s="232"/>
      <c r="F1369" s="543"/>
      <c r="G1369" s="330"/>
      <c r="H1369" s="235"/>
      <c r="I1369" s="544"/>
      <c r="J1369" s="119"/>
      <c r="K1369" s="231"/>
      <c r="L1369" s="21"/>
      <c r="M1369" s="21"/>
    </row>
    <row r="1370">
      <c r="A1370" s="230"/>
      <c r="B1370" s="231"/>
      <c r="C1370" s="547"/>
      <c r="D1370" s="546"/>
      <c r="E1370" s="232"/>
      <c r="F1370" s="543"/>
      <c r="G1370" s="330"/>
      <c r="H1370" s="235"/>
      <c r="I1370" s="544"/>
      <c r="J1370" s="119"/>
      <c r="K1370" s="231"/>
      <c r="L1370" s="21"/>
      <c r="M1370" s="21"/>
    </row>
    <row r="1371">
      <c r="A1371" s="230"/>
      <c r="B1371" s="231"/>
      <c r="C1371" s="547"/>
      <c r="D1371" s="546"/>
      <c r="E1371" s="232"/>
      <c r="F1371" s="543"/>
      <c r="G1371" s="330"/>
      <c r="H1371" s="235"/>
      <c r="I1371" s="544"/>
      <c r="J1371" s="119"/>
      <c r="K1371" s="231"/>
      <c r="L1371" s="21"/>
      <c r="M1371" s="21"/>
    </row>
    <row r="1372">
      <c r="A1372" s="230"/>
      <c r="B1372" s="231"/>
      <c r="C1372" s="547"/>
      <c r="D1372" s="546"/>
      <c r="E1372" s="232"/>
      <c r="F1372" s="543"/>
      <c r="G1372" s="330"/>
      <c r="H1372" s="235"/>
      <c r="I1372" s="544"/>
      <c r="J1372" s="119"/>
      <c r="K1372" s="231"/>
      <c r="L1372" s="21"/>
      <c r="M1372" s="21"/>
    </row>
    <row r="1373">
      <c r="A1373" s="230"/>
      <c r="B1373" s="231"/>
      <c r="C1373" s="547"/>
      <c r="D1373" s="546"/>
      <c r="E1373" s="232"/>
      <c r="F1373" s="543"/>
      <c r="G1373" s="330"/>
      <c r="H1373" s="235"/>
      <c r="I1373" s="544"/>
      <c r="J1373" s="119"/>
      <c r="K1373" s="231"/>
      <c r="L1373" s="21"/>
      <c r="M1373" s="21"/>
    </row>
    <row r="1374">
      <c r="A1374" s="230"/>
      <c r="B1374" s="231"/>
      <c r="C1374" s="547"/>
      <c r="D1374" s="546"/>
      <c r="E1374" s="232"/>
      <c r="F1374" s="543"/>
      <c r="G1374" s="330"/>
      <c r="H1374" s="235"/>
      <c r="I1374" s="544"/>
      <c r="J1374" s="119"/>
      <c r="K1374" s="231"/>
      <c r="L1374" s="21"/>
      <c r="M1374" s="21"/>
    </row>
    <row r="1375">
      <c r="A1375" s="230"/>
      <c r="B1375" s="231"/>
      <c r="C1375" s="547"/>
      <c r="D1375" s="546"/>
      <c r="E1375" s="232"/>
      <c r="F1375" s="543"/>
      <c r="G1375" s="330"/>
      <c r="H1375" s="235"/>
      <c r="I1375" s="544"/>
      <c r="J1375" s="119"/>
      <c r="K1375" s="231"/>
      <c r="L1375" s="21"/>
      <c r="M1375" s="21"/>
    </row>
    <row r="1376">
      <c r="A1376" s="230"/>
      <c r="B1376" s="231"/>
      <c r="C1376" s="547"/>
      <c r="D1376" s="546"/>
      <c r="E1376" s="232"/>
      <c r="F1376" s="543"/>
      <c r="G1376" s="330"/>
      <c r="H1376" s="235"/>
      <c r="I1376" s="544"/>
      <c r="J1376" s="119"/>
      <c r="K1376" s="231"/>
      <c r="L1376" s="21"/>
      <c r="M1376" s="21"/>
    </row>
    <row r="1377">
      <c r="A1377" s="230"/>
      <c r="B1377" s="231"/>
      <c r="C1377" s="547"/>
      <c r="D1377" s="546"/>
      <c r="E1377" s="232"/>
      <c r="F1377" s="543"/>
      <c r="G1377" s="330"/>
      <c r="H1377" s="235"/>
      <c r="I1377" s="544"/>
      <c r="J1377" s="119"/>
      <c r="K1377" s="231"/>
      <c r="L1377" s="21"/>
      <c r="M1377" s="21"/>
    </row>
    <row r="1378">
      <c r="A1378" s="230"/>
      <c r="B1378" s="231"/>
      <c r="C1378" s="547"/>
      <c r="D1378" s="546"/>
      <c r="E1378" s="232"/>
      <c r="F1378" s="543"/>
      <c r="G1378" s="330"/>
      <c r="H1378" s="235"/>
      <c r="I1378" s="544"/>
      <c r="J1378" s="119"/>
      <c r="K1378" s="231"/>
      <c r="L1378" s="21"/>
      <c r="M1378" s="21"/>
    </row>
    <row r="1379">
      <c r="A1379" s="230"/>
      <c r="B1379" s="231"/>
      <c r="C1379" s="547"/>
      <c r="D1379" s="546"/>
      <c r="E1379" s="232"/>
      <c r="F1379" s="543"/>
      <c r="G1379" s="330"/>
      <c r="H1379" s="235"/>
      <c r="I1379" s="544"/>
      <c r="J1379" s="119"/>
      <c r="K1379" s="231"/>
      <c r="L1379" s="21"/>
      <c r="M1379" s="21"/>
    </row>
    <row r="1380">
      <c r="A1380" s="230"/>
      <c r="B1380" s="231"/>
      <c r="C1380" s="547"/>
      <c r="D1380" s="546"/>
      <c r="E1380" s="232"/>
      <c r="F1380" s="543"/>
      <c r="G1380" s="330"/>
      <c r="H1380" s="235"/>
      <c r="I1380" s="544"/>
      <c r="J1380" s="119"/>
      <c r="K1380" s="231"/>
      <c r="L1380" s="21"/>
      <c r="M1380" s="21"/>
    </row>
    <row r="1381">
      <c r="A1381" s="230"/>
      <c r="B1381" s="231"/>
      <c r="C1381" s="547"/>
      <c r="D1381" s="546"/>
      <c r="E1381" s="232"/>
      <c r="F1381" s="543"/>
      <c r="G1381" s="330"/>
      <c r="H1381" s="235"/>
      <c r="I1381" s="544"/>
      <c r="J1381" s="119"/>
      <c r="K1381" s="231"/>
      <c r="L1381" s="21"/>
      <c r="M1381" s="21"/>
    </row>
    <row r="1382">
      <c r="A1382" s="230"/>
      <c r="B1382" s="231"/>
      <c r="C1382" s="547"/>
      <c r="D1382" s="546"/>
      <c r="E1382" s="232"/>
      <c r="F1382" s="543"/>
      <c r="G1382" s="330"/>
      <c r="H1382" s="235"/>
      <c r="I1382" s="544"/>
      <c r="J1382" s="119"/>
      <c r="K1382" s="231"/>
      <c r="L1382" s="21"/>
      <c r="M1382" s="21"/>
    </row>
    <row r="1383">
      <c r="A1383" s="230"/>
      <c r="B1383" s="231"/>
      <c r="C1383" s="547"/>
      <c r="D1383" s="546"/>
      <c r="E1383" s="232"/>
      <c r="F1383" s="543"/>
      <c r="G1383" s="330"/>
      <c r="H1383" s="235"/>
      <c r="I1383" s="544"/>
      <c r="J1383" s="119"/>
      <c r="K1383" s="231"/>
      <c r="L1383" s="21"/>
      <c r="M1383" s="21"/>
    </row>
    <row r="1384">
      <c r="A1384" s="230"/>
      <c r="B1384" s="231"/>
      <c r="C1384" s="547"/>
      <c r="D1384" s="546"/>
      <c r="E1384" s="232"/>
      <c r="F1384" s="543"/>
      <c r="G1384" s="330"/>
      <c r="H1384" s="235"/>
      <c r="I1384" s="544"/>
      <c r="J1384" s="119"/>
      <c r="K1384" s="231"/>
      <c r="L1384" s="21"/>
      <c r="M1384" s="21"/>
    </row>
    <row r="1385">
      <c r="A1385" s="230"/>
      <c r="B1385" s="231"/>
      <c r="C1385" s="547"/>
      <c r="D1385" s="546"/>
      <c r="E1385" s="232"/>
      <c r="F1385" s="543"/>
      <c r="G1385" s="330"/>
      <c r="H1385" s="235"/>
      <c r="I1385" s="544"/>
      <c r="J1385" s="119"/>
      <c r="K1385" s="231"/>
      <c r="L1385" s="21"/>
      <c r="M1385" s="21"/>
    </row>
    <row r="1386">
      <c r="A1386" s="230"/>
      <c r="B1386" s="231"/>
      <c r="C1386" s="547"/>
      <c r="D1386" s="546"/>
      <c r="E1386" s="232"/>
      <c r="F1386" s="543"/>
      <c r="G1386" s="330"/>
      <c r="H1386" s="235"/>
      <c r="I1386" s="544"/>
      <c r="J1386" s="119"/>
      <c r="K1386" s="231"/>
      <c r="L1386" s="21"/>
      <c r="M1386" s="21"/>
    </row>
    <row r="1387">
      <c r="A1387" s="230"/>
      <c r="B1387" s="231"/>
      <c r="C1387" s="547"/>
      <c r="D1387" s="546"/>
      <c r="E1387" s="232"/>
      <c r="F1387" s="543"/>
      <c r="G1387" s="330"/>
      <c r="H1387" s="235"/>
      <c r="I1387" s="544"/>
      <c r="J1387" s="119"/>
      <c r="K1387" s="231"/>
      <c r="L1387" s="21"/>
      <c r="M1387" s="21"/>
    </row>
    <row r="1388">
      <c r="A1388" s="230"/>
      <c r="B1388" s="231"/>
      <c r="C1388" s="547"/>
      <c r="D1388" s="546"/>
      <c r="E1388" s="232"/>
      <c r="F1388" s="543"/>
      <c r="G1388" s="330"/>
      <c r="H1388" s="235"/>
      <c r="I1388" s="544"/>
      <c r="J1388" s="119"/>
      <c r="K1388" s="231"/>
      <c r="L1388" s="21"/>
      <c r="M1388" s="21"/>
    </row>
    <row r="1389">
      <c r="A1389" s="230"/>
      <c r="B1389" s="231"/>
      <c r="C1389" s="547"/>
      <c r="D1389" s="546"/>
      <c r="E1389" s="232"/>
      <c r="F1389" s="543"/>
      <c r="G1389" s="330"/>
      <c r="H1389" s="235"/>
      <c r="I1389" s="544"/>
      <c r="J1389" s="119"/>
      <c r="K1389" s="231"/>
      <c r="L1389" s="21"/>
      <c r="M1389" s="21"/>
    </row>
    <row r="1390">
      <c r="A1390" s="230"/>
      <c r="B1390" s="231"/>
      <c r="C1390" s="547"/>
      <c r="D1390" s="546"/>
      <c r="E1390" s="232"/>
      <c r="F1390" s="543"/>
      <c r="G1390" s="330"/>
      <c r="H1390" s="235"/>
      <c r="I1390" s="544"/>
      <c r="J1390" s="119"/>
      <c r="K1390" s="231"/>
      <c r="L1390" s="21"/>
      <c r="M1390" s="21"/>
    </row>
    <row r="1391">
      <c r="A1391" s="230"/>
      <c r="B1391" s="231"/>
      <c r="C1391" s="547"/>
      <c r="D1391" s="546"/>
      <c r="E1391" s="232"/>
      <c r="F1391" s="543"/>
      <c r="G1391" s="330"/>
      <c r="H1391" s="235"/>
      <c r="I1391" s="544"/>
      <c r="J1391" s="119"/>
      <c r="K1391" s="231"/>
      <c r="L1391" s="21"/>
      <c r="M1391" s="21"/>
    </row>
    <row r="1392">
      <c r="A1392" s="230"/>
      <c r="B1392" s="231"/>
      <c r="C1392" s="547"/>
      <c r="D1392" s="546"/>
      <c r="E1392" s="232"/>
      <c r="F1392" s="543"/>
      <c r="G1392" s="330"/>
      <c r="H1392" s="235"/>
      <c r="I1392" s="544"/>
      <c r="J1392" s="119"/>
      <c r="K1392" s="231"/>
      <c r="L1392" s="21"/>
      <c r="M1392" s="21"/>
    </row>
    <row r="1393">
      <c r="A1393" s="230"/>
      <c r="B1393" s="231"/>
      <c r="C1393" s="547"/>
      <c r="D1393" s="546"/>
      <c r="E1393" s="232"/>
      <c r="F1393" s="543"/>
      <c r="G1393" s="330"/>
      <c r="H1393" s="235"/>
      <c r="I1393" s="544"/>
      <c r="J1393" s="119"/>
      <c r="K1393" s="231"/>
      <c r="L1393" s="21"/>
      <c r="M1393" s="21"/>
    </row>
    <row r="1394">
      <c r="A1394" s="230"/>
      <c r="B1394" s="231"/>
      <c r="C1394" s="547"/>
      <c r="D1394" s="546"/>
      <c r="E1394" s="232"/>
      <c r="F1394" s="543"/>
      <c r="G1394" s="330"/>
      <c r="H1394" s="235"/>
      <c r="I1394" s="544"/>
      <c r="J1394" s="119"/>
      <c r="K1394" s="231"/>
      <c r="L1394" s="21"/>
      <c r="M1394" s="21"/>
    </row>
    <row r="1395">
      <c r="A1395" s="230"/>
      <c r="B1395" s="231"/>
      <c r="C1395" s="547"/>
      <c r="D1395" s="546"/>
      <c r="E1395" s="232"/>
      <c r="F1395" s="543"/>
      <c r="G1395" s="330"/>
      <c r="H1395" s="235"/>
      <c r="I1395" s="544"/>
      <c r="J1395" s="119"/>
      <c r="K1395" s="231"/>
      <c r="L1395" s="21"/>
      <c r="M1395" s="21"/>
    </row>
    <row r="1396">
      <c r="A1396" s="230"/>
      <c r="B1396" s="231"/>
      <c r="C1396" s="547"/>
      <c r="D1396" s="546"/>
      <c r="E1396" s="232"/>
      <c r="F1396" s="543"/>
      <c r="G1396" s="330"/>
      <c r="H1396" s="235"/>
      <c r="I1396" s="544"/>
      <c r="J1396" s="119"/>
      <c r="K1396" s="231"/>
      <c r="L1396" s="21"/>
      <c r="M1396" s="21"/>
    </row>
    <row r="1397">
      <c r="A1397" s="230"/>
      <c r="B1397" s="231"/>
      <c r="C1397" s="547"/>
      <c r="D1397" s="546"/>
      <c r="E1397" s="232"/>
      <c r="F1397" s="543"/>
      <c r="G1397" s="330"/>
      <c r="H1397" s="235"/>
      <c r="I1397" s="544"/>
      <c r="J1397" s="119"/>
      <c r="K1397" s="231"/>
      <c r="L1397" s="21"/>
      <c r="M1397" s="21"/>
    </row>
    <row r="1398">
      <c r="A1398" s="230"/>
      <c r="B1398" s="231"/>
      <c r="C1398" s="547"/>
      <c r="D1398" s="546"/>
      <c r="E1398" s="232"/>
      <c r="F1398" s="543"/>
      <c r="G1398" s="330"/>
      <c r="H1398" s="235"/>
      <c r="I1398" s="544"/>
      <c r="J1398" s="119"/>
      <c r="K1398" s="231"/>
      <c r="L1398" s="21"/>
      <c r="M1398" s="21"/>
    </row>
    <row r="1399">
      <c r="A1399" s="230"/>
      <c r="B1399" s="231"/>
      <c r="C1399" s="547"/>
      <c r="D1399" s="546"/>
      <c r="E1399" s="232"/>
      <c r="F1399" s="543"/>
      <c r="G1399" s="330"/>
      <c r="H1399" s="235"/>
      <c r="I1399" s="544"/>
      <c r="J1399" s="119"/>
      <c r="K1399" s="231"/>
      <c r="L1399" s="21"/>
      <c r="M1399" s="21"/>
    </row>
    <row r="1400">
      <c r="A1400" s="230"/>
      <c r="B1400" s="231"/>
      <c r="C1400" s="547"/>
      <c r="D1400" s="546"/>
      <c r="E1400" s="232"/>
      <c r="F1400" s="543"/>
      <c r="G1400" s="330"/>
      <c r="H1400" s="235"/>
      <c r="I1400" s="544"/>
      <c r="J1400" s="119"/>
      <c r="K1400" s="231"/>
      <c r="L1400" s="21"/>
      <c r="M1400" s="21"/>
    </row>
    <row r="1401">
      <c r="A1401" s="230"/>
      <c r="B1401" s="231"/>
      <c r="C1401" s="547"/>
      <c r="D1401" s="546"/>
      <c r="E1401" s="232"/>
      <c r="F1401" s="543"/>
      <c r="G1401" s="330"/>
      <c r="H1401" s="235"/>
      <c r="I1401" s="544"/>
      <c r="J1401" s="119"/>
      <c r="K1401" s="231"/>
      <c r="L1401" s="21"/>
      <c r="M1401" s="21"/>
    </row>
    <row r="1402">
      <c r="A1402" s="230"/>
      <c r="B1402" s="231"/>
      <c r="C1402" s="547"/>
      <c r="D1402" s="546"/>
      <c r="E1402" s="232"/>
      <c r="F1402" s="543"/>
      <c r="G1402" s="330"/>
      <c r="H1402" s="235"/>
      <c r="I1402" s="544"/>
      <c r="J1402" s="119"/>
      <c r="K1402" s="231"/>
      <c r="L1402" s="21"/>
      <c r="M1402" s="21"/>
    </row>
    <row r="1403">
      <c r="A1403" s="230"/>
      <c r="B1403" s="231"/>
      <c r="C1403" s="547"/>
      <c r="D1403" s="546"/>
      <c r="E1403" s="232"/>
      <c r="F1403" s="543"/>
      <c r="G1403" s="330"/>
      <c r="H1403" s="235"/>
      <c r="I1403" s="544"/>
      <c r="J1403" s="119"/>
      <c r="K1403" s="231"/>
      <c r="L1403" s="21"/>
      <c r="M1403" s="21"/>
    </row>
    <row r="1404">
      <c r="A1404" s="230"/>
      <c r="B1404" s="231"/>
      <c r="C1404" s="547"/>
      <c r="D1404" s="546"/>
      <c r="E1404" s="232"/>
      <c r="F1404" s="543"/>
      <c r="G1404" s="330"/>
      <c r="H1404" s="235"/>
      <c r="I1404" s="544"/>
      <c r="J1404" s="119"/>
      <c r="K1404" s="231"/>
      <c r="L1404" s="21"/>
      <c r="M1404" s="21"/>
    </row>
    <row r="1405">
      <c r="A1405" s="230"/>
      <c r="B1405" s="231"/>
      <c r="C1405" s="547"/>
      <c r="D1405" s="546"/>
      <c r="E1405" s="232"/>
      <c r="F1405" s="543"/>
      <c r="G1405" s="330"/>
      <c r="H1405" s="235"/>
      <c r="I1405" s="544"/>
      <c r="J1405" s="119"/>
      <c r="K1405" s="231"/>
      <c r="L1405" s="21"/>
      <c r="M1405" s="21"/>
    </row>
    <row r="1406">
      <c r="A1406" s="230"/>
      <c r="B1406" s="231"/>
      <c r="C1406" s="547"/>
      <c r="D1406" s="546"/>
      <c r="E1406" s="232"/>
      <c r="F1406" s="543"/>
      <c r="G1406" s="330"/>
      <c r="H1406" s="235"/>
      <c r="I1406" s="544"/>
      <c r="J1406" s="119"/>
      <c r="K1406" s="231"/>
      <c r="L1406" s="21"/>
      <c r="M1406" s="21"/>
    </row>
    <row r="1407">
      <c r="A1407" s="230"/>
      <c r="B1407" s="231"/>
      <c r="C1407" s="547"/>
      <c r="D1407" s="546"/>
      <c r="E1407" s="232"/>
      <c r="F1407" s="543"/>
      <c r="G1407" s="330"/>
      <c r="H1407" s="235"/>
      <c r="I1407" s="544"/>
      <c r="J1407" s="119"/>
      <c r="K1407" s="231"/>
      <c r="L1407" s="21"/>
      <c r="M1407" s="21"/>
    </row>
    <row r="1408">
      <c r="A1408" s="230"/>
      <c r="B1408" s="231"/>
      <c r="C1408" s="547"/>
      <c r="D1408" s="546"/>
      <c r="E1408" s="232"/>
      <c r="F1408" s="543"/>
      <c r="G1408" s="330"/>
      <c r="H1408" s="235"/>
      <c r="I1408" s="544"/>
      <c r="J1408" s="119"/>
      <c r="K1408" s="231"/>
      <c r="L1408" s="21"/>
      <c r="M1408" s="21"/>
    </row>
    <row r="1409">
      <c r="A1409" s="230"/>
      <c r="B1409" s="231"/>
      <c r="C1409" s="547"/>
      <c r="D1409" s="546"/>
      <c r="E1409" s="232"/>
      <c r="F1409" s="543"/>
      <c r="G1409" s="330"/>
      <c r="H1409" s="235"/>
      <c r="I1409" s="544"/>
      <c r="J1409" s="119"/>
      <c r="K1409" s="231"/>
      <c r="L1409" s="21"/>
      <c r="M1409" s="21"/>
    </row>
    <row r="1410">
      <c r="A1410" s="230"/>
      <c r="B1410" s="231"/>
      <c r="C1410" s="547"/>
      <c r="D1410" s="546"/>
      <c r="E1410" s="232"/>
      <c r="F1410" s="543"/>
      <c r="G1410" s="330"/>
      <c r="H1410" s="235"/>
      <c r="I1410" s="544"/>
      <c r="J1410" s="119"/>
      <c r="K1410" s="231"/>
      <c r="L1410" s="21"/>
      <c r="M1410" s="21"/>
    </row>
    <row r="1411">
      <c r="A1411" s="230"/>
      <c r="B1411" s="231"/>
      <c r="C1411" s="547"/>
      <c r="D1411" s="546"/>
      <c r="E1411" s="232"/>
      <c r="F1411" s="543"/>
      <c r="G1411" s="330"/>
      <c r="H1411" s="235"/>
      <c r="I1411" s="544"/>
      <c r="J1411" s="119"/>
      <c r="K1411" s="231"/>
      <c r="L1411" s="21"/>
      <c r="M1411" s="21"/>
    </row>
    <row r="1412">
      <c r="A1412" s="230"/>
      <c r="B1412" s="231"/>
      <c r="C1412" s="547"/>
      <c r="D1412" s="546"/>
      <c r="E1412" s="232"/>
      <c r="F1412" s="543"/>
      <c r="G1412" s="330"/>
      <c r="H1412" s="235"/>
      <c r="I1412" s="544"/>
      <c r="J1412" s="119"/>
      <c r="K1412" s="231"/>
      <c r="L1412" s="21"/>
      <c r="M1412" s="21"/>
    </row>
    <row r="1413">
      <c r="A1413" s="230"/>
      <c r="B1413" s="231"/>
      <c r="C1413" s="547"/>
      <c r="D1413" s="546"/>
      <c r="E1413" s="232"/>
      <c r="F1413" s="543"/>
      <c r="G1413" s="330"/>
      <c r="H1413" s="235"/>
      <c r="I1413" s="544"/>
      <c r="J1413" s="119"/>
      <c r="K1413" s="231"/>
      <c r="L1413" s="21"/>
      <c r="M1413" s="21"/>
    </row>
    <row r="1414">
      <c r="A1414" s="230"/>
      <c r="B1414" s="231"/>
      <c r="C1414" s="547"/>
      <c r="D1414" s="546"/>
      <c r="E1414" s="232"/>
      <c r="F1414" s="543"/>
      <c r="G1414" s="330"/>
      <c r="H1414" s="235"/>
      <c r="I1414" s="544"/>
      <c r="J1414" s="119"/>
      <c r="K1414" s="231"/>
      <c r="L1414" s="21"/>
      <c r="M1414" s="21"/>
    </row>
    <row r="1415">
      <c r="A1415" s="230"/>
      <c r="B1415" s="231"/>
      <c r="C1415" s="547"/>
      <c r="D1415" s="546"/>
      <c r="E1415" s="232"/>
      <c r="F1415" s="543"/>
      <c r="G1415" s="330"/>
      <c r="H1415" s="235"/>
      <c r="I1415" s="544"/>
      <c r="J1415" s="119"/>
      <c r="K1415" s="231"/>
      <c r="L1415" s="21"/>
      <c r="M1415" s="21"/>
    </row>
    <row r="1416">
      <c r="A1416" s="230"/>
      <c r="B1416" s="231"/>
      <c r="C1416" s="547"/>
      <c r="D1416" s="546"/>
      <c r="E1416" s="232"/>
      <c r="F1416" s="543"/>
      <c r="G1416" s="330"/>
      <c r="H1416" s="235"/>
      <c r="I1416" s="544"/>
      <c r="J1416" s="119"/>
      <c r="K1416" s="231"/>
      <c r="L1416" s="21"/>
      <c r="M1416" s="21"/>
    </row>
    <row r="1417">
      <c r="A1417" s="230"/>
      <c r="B1417" s="231"/>
      <c r="C1417" s="547"/>
      <c r="D1417" s="546"/>
      <c r="E1417" s="232"/>
      <c r="F1417" s="543"/>
      <c r="G1417" s="330"/>
      <c r="H1417" s="235"/>
      <c r="I1417" s="544"/>
      <c r="J1417" s="119"/>
      <c r="K1417" s="231"/>
      <c r="L1417" s="21"/>
      <c r="M1417" s="21"/>
    </row>
    <row r="1418">
      <c r="A1418" s="230"/>
      <c r="B1418" s="231"/>
      <c r="C1418" s="547"/>
      <c r="D1418" s="546"/>
      <c r="E1418" s="232"/>
      <c r="F1418" s="543"/>
      <c r="G1418" s="330"/>
      <c r="H1418" s="235"/>
      <c r="I1418" s="544"/>
      <c r="J1418" s="119"/>
      <c r="K1418" s="231"/>
      <c r="L1418" s="21"/>
      <c r="M1418" s="21"/>
    </row>
    <row r="1419">
      <c r="A1419" s="230"/>
      <c r="B1419" s="231"/>
      <c r="C1419" s="547"/>
      <c r="D1419" s="546"/>
      <c r="E1419" s="232"/>
      <c r="F1419" s="543"/>
      <c r="G1419" s="330"/>
      <c r="H1419" s="235"/>
      <c r="I1419" s="544"/>
      <c r="J1419" s="119"/>
      <c r="K1419" s="231"/>
      <c r="L1419" s="21"/>
      <c r="M1419" s="21"/>
    </row>
    <row r="1420">
      <c r="A1420" s="230"/>
      <c r="B1420" s="231"/>
      <c r="C1420" s="547"/>
      <c r="D1420" s="546"/>
      <c r="E1420" s="232"/>
      <c r="F1420" s="543"/>
      <c r="G1420" s="330"/>
      <c r="H1420" s="235"/>
      <c r="I1420" s="544"/>
      <c r="J1420" s="119"/>
      <c r="K1420" s="231"/>
      <c r="L1420" s="21"/>
      <c r="M1420" s="21"/>
    </row>
    <row r="1421">
      <c r="A1421" s="230"/>
      <c r="B1421" s="231"/>
      <c r="C1421" s="547"/>
      <c r="D1421" s="546"/>
      <c r="E1421" s="232"/>
      <c r="F1421" s="543"/>
      <c r="G1421" s="330"/>
      <c r="H1421" s="235"/>
      <c r="I1421" s="544"/>
      <c r="J1421" s="119"/>
      <c r="K1421" s="231"/>
      <c r="L1421" s="21"/>
      <c r="M1421" s="21"/>
    </row>
    <row r="1422">
      <c r="A1422" s="230"/>
      <c r="B1422" s="231"/>
      <c r="C1422" s="547"/>
      <c r="D1422" s="546"/>
      <c r="E1422" s="232"/>
      <c r="F1422" s="543"/>
      <c r="G1422" s="330"/>
      <c r="H1422" s="235"/>
      <c r="I1422" s="544"/>
      <c r="J1422" s="119"/>
      <c r="K1422" s="231"/>
      <c r="L1422" s="21"/>
      <c r="M1422" s="21"/>
    </row>
    <row r="1423">
      <c r="A1423" s="230"/>
      <c r="B1423" s="231"/>
      <c r="C1423" s="547"/>
      <c r="D1423" s="546"/>
      <c r="E1423" s="232"/>
      <c r="F1423" s="543"/>
      <c r="G1423" s="330"/>
      <c r="H1423" s="235"/>
      <c r="I1423" s="544"/>
      <c r="J1423" s="119"/>
      <c r="K1423" s="231"/>
      <c r="L1423" s="21"/>
      <c r="M1423" s="21"/>
    </row>
    <row r="1424">
      <c r="A1424" s="230"/>
      <c r="B1424" s="231"/>
      <c r="C1424" s="547"/>
      <c r="D1424" s="546"/>
      <c r="E1424" s="232"/>
      <c r="F1424" s="543"/>
      <c r="G1424" s="330"/>
      <c r="H1424" s="235"/>
      <c r="I1424" s="544"/>
      <c r="J1424" s="119"/>
      <c r="K1424" s="231"/>
      <c r="L1424" s="21"/>
      <c r="M1424" s="21"/>
    </row>
    <row r="1425">
      <c r="A1425" s="230"/>
      <c r="B1425" s="231"/>
      <c r="C1425" s="547"/>
      <c r="D1425" s="546"/>
      <c r="E1425" s="232"/>
      <c r="F1425" s="543"/>
      <c r="G1425" s="330"/>
      <c r="H1425" s="235"/>
      <c r="I1425" s="544"/>
      <c r="J1425" s="119"/>
      <c r="K1425" s="231"/>
      <c r="L1425" s="21"/>
      <c r="M1425" s="21"/>
    </row>
    <row r="1426">
      <c r="A1426" s="230"/>
      <c r="B1426" s="231"/>
      <c r="C1426" s="547"/>
      <c r="D1426" s="546"/>
      <c r="E1426" s="232"/>
      <c r="F1426" s="543"/>
      <c r="G1426" s="330"/>
      <c r="H1426" s="235"/>
      <c r="I1426" s="544"/>
      <c r="J1426" s="119"/>
      <c r="K1426" s="231"/>
      <c r="L1426" s="21"/>
      <c r="M1426" s="21"/>
    </row>
    <row r="1427">
      <c r="A1427" s="230"/>
      <c r="B1427" s="231"/>
      <c r="C1427" s="547"/>
      <c r="D1427" s="546"/>
      <c r="E1427" s="232"/>
      <c r="F1427" s="543"/>
      <c r="G1427" s="330"/>
      <c r="H1427" s="235"/>
      <c r="I1427" s="544"/>
      <c r="J1427" s="119"/>
      <c r="K1427" s="231"/>
      <c r="L1427" s="21"/>
      <c r="M1427" s="21"/>
    </row>
    <row r="1428">
      <c r="A1428" s="230"/>
      <c r="B1428" s="231"/>
      <c r="C1428" s="547"/>
      <c r="D1428" s="546"/>
      <c r="E1428" s="232"/>
      <c r="F1428" s="543"/>
      <c r="G1428" s="330"/>
      <c r="H1428" s="235"/>
      <c r="I1428" s="544"/>
      <c r="J1428" s="119"/>
      <c r="K1428" s="231"/>
      <c r="L1428" s="21"/>
      <c r="M1428" s="21"/>
    </row>
    <row r="1429">
      <c r="A1429" s="230"/>
      <c r="B1429" s="231"/>
      <c r="C1429" s="547"/>
      <c r="D1429" s="546"/>
      <c r="E1429" s="232"/>
      <c r="F1429" s="543"/>
      <c r="G1429" s="330"/>
      <c r="H1429" s="235"/>
      <c r="I1429" s="544"/>
      <c r="J1429" s="119"/>
      <c r="K1429" s="231"/>
      <c r="L1429" s="21"/>
      <c r="M1429" s="21"/>
    </row>
    <row r="1430">
      <c r="A1430" s="230"/>
      <c r="B1430" s="231"/>
      <c r="C1430" s="547"/>
      <c r="D1430" s="546"/>
      <c r="E1430" s="232"/>
      <c r="F1430" s="543"/>
      <c r="G1430" s="330"/>
      <c r="H1430" s="235"/>
      <c r="I1430" s="544"/>
      <c r="J1430" s="119"/>
      <c r="K1430" s="231"/>
      <c r="L1430" s="21"/>
      <c r="M1430" s="21"/>
    </row>
    <row r="1431">
      <c r="A1431" s="230"/>
      <c r="B1431" s="231"/>
      <c r="C1431" s="547"/>
      <c r="D1431" s="546"/>
      <c r="E1431" s="232"/>
      <c r="F1431" s="543"/>
      <c r="G1431" s="330"/>
      <c r="H1431" s="235"/>
      <c r="I1431" s="544"/>
      <c r="J1431" s="119"/>
      <c r="K1431" s="231"/>
      <c r="L1431" s="21"/>
      <c r="M1431" s="21"/>
    </row>
    <row r="1432">
      <c r="A1432" s="230"/>
      <c r="B1432" s="231"/>
      <c r="C1432" s="547"/>
      <c r="D1432" s="546"/>
      <c r="E1432" s="232"/>
      <c r="F1432" s="543"/>
      <c r="G1432" s="330"/>
      <c r="H1432" s="235"/>
      <c r="I1432" s="544"/>
      <c r="J1432" s="119"/>
      <c r="K1432" s="231"/>
      <c r="L1432" s="21"/>
      <c r="M1432" s="21"/>
    </row>
    <row r="1433">
      <c r="A1433" s="230"/>
      <c r="B1433" s="231"/>
      <c r="C1433" s="547"/>
      <c r="D1433" s="546"/>
      <c r="E1433" s="232"/>
      <c r="F1433" s="543"/>
      <c r="G1433" s="330"/>
      <c r="H1433" s="235"/>
      <c r="I1433" s="544"/>
      <c r="J1433" s="119"/>
      <c r="K1433" s="231"/>
      <c r="L1433" s="21"/>
      <c r="M1433" s="21"/>
    </row>
    <row r="1434">
      <c r="A1434" s="230"/>
      <c r="B1434" s="231"/>
      <c r="C1434" s="547"/>
      <c r="D1434" s="546"/>
      <c r="E1434" s="232"/>
      <c r="F1434" s="543"/>
      <c r="G1434" s="330"/>
      <c r="H1434" s="235"/>
      <c r="I1434" s="544"/>
      <c r="J1434" s="119"/>
      <c r="K1434" s="231"/>
      <c r="L1434" s="21"/>
      <c r="M1434" s="21"/>
    </row>
    <row r="1435">
      <c r="A1435" s="230"/>
      <c r="B1435" s="231"/>
      <c r="C1435" s="547"/>
      <c r="D1435" s="546"/>
      <c r="E1435" s="232"/>
      <c r="F1435" s="543"/>
      <c r="G1435" s="330"/>
      <c r="H1435" s="235"/>
      <c r="I1435" s="544"/>
      <c r="J1435" s="119"/>
      <c r="K1435" s="231"/>
      <c r="L1435" s="21"/>
      <c r="M1435" s="21"/>
    </row>
    <row r="1436">
      <c r="A1436" s="230"/>
      <c r="B1436" s="231"/>
      <c r="C1436" s="547"/>
      <c r="D1436" s="546"/>
      <c r="E1436" s="232"/>
      <c r="F1436" s="543"/>
      <c r="G1436" s="330"/>
      <c r="H1436" s="235"/>
      <c r="I1436" s="544"/>
      <c r="J1436" s="119"/>
      <c r="K1436" s="231"/>
      <c r="L1436" s="21"/>
      <c r="M1436" s="21"/>
    </row>
    <row r="1437">
      <c r="A1437" s="230"/>
      <c r="B1437" s="231"/>
      <c r="C1437" s="547"/>
      <c r="D1437" s="546"/>
      <c r="E1437" s="232"/>
      <c r="F1437" s="543"/>
      <c r="G1437" s="330"/>
      <c r="H1437" s="235"/>
      <c r="I1437" s="544"/>
      <c r="J1437" s="119"/>
      <c r="K1437" s="231"/>
      <c r="L1437" s="21"/>
      <c r="M1437" s="21"/>
    </row>
    <row r="1438">
      <c r="A1438" s="230"/>
      <c r="B1438" s="231"/>
      <c r="C1438" s="547"/>
      <c r="D1438" s="546"/>
      <c r="E1438" s="232"/>
      <c r="F1438" s="543"/>
      <c r="G1438" s="330"/>
      <c r="H1438" s="235"/>
      <c r="I1438" s="544"/>
      <c r="J1438" s="119"/>
      <c r="K1438" s="231"/>
      <c r="L1438" s="21"/>
      <c r="M1438" s="21"/>
    </row>
    <row r="1439">
      <c r="A1439" s="230"/>
      <c r="B1439" s="231"/>
      <c r="C1439" s="547"/>
      <c r="D1439" s="546"/>
      <c r="E1439" s="232"/>
      <c r="F1439" s="543"/>
      <c r="G1439" s="330"/>
      <c r="H1439" s="235"/>
      <c r="I1439" s="544"/>
      <c r="J1439" s="119"/>
      <c r="K1439" s="231"/>
      <c r="L1439" s="21"/>
      <c r="M1439" s="21"/>
    </row>
    <row r="1440">
      <c r="A1440" s="230"/>
      <c r="B1440" s="231"/>
      <c r="C1440" s="547"/>
      <c r="D1440" s="546"/>
      <c r="E1440" s="232"/>
      <c r="F1440" s="543"/>
      <c r="G1440" s="330"/>
      <c r="H1440" s="235"/>
      <c r="I1440" s="544"/>
      <c r="J1440" s="119"/>
      <c r="K1440" s="231"/>
      <c r="L1440" s="21"/>
      <c r="M1440" s="21"/>
    </row>
    <row r="1441">
      <c r="A1441" s="230"/>
      <c r="B1441" s="231"/>
      <c r="C1441" s="547"/>
      <c r="D1441" s="546"/>
      <c r="E1441" s="232"/>
      <c r="F1441" s="543"/>
      <c r="G1441" s="330"/>
      <c r="H1441" s="235"/>
      <c r="I1441" s="544"/>
      <c r="J1441" s="119"/>
      <c r="K1441" s="231"/>
      <c r="L1441" s="21"/>
      <c r="M1441" s="21"/>
    </row>
    <row r="1442">
      <c r="A1442" s="230"/>
      <c r="B1442" s="231"/>
      <c r="C1442" s="547"/>
      <c r="D1442" s="546"/>
      <c r="E1442" s="232"/>
      <c r="F1442" s="543"/>
      <c r="G1442" s="330"/>
      <c r="H1442" s="235"/>
      <c r="I1442" s="544"/>
      <c r="J1442" s="119"/>
      <c r="K1442" s="231"/>
      <c r="L1442" s="21"/>
      <c r="M1442" s="21"/>
    </row>
    <row r="1443">
      <c r="A1443" s="230"/>
      <c r="B1443" s="231"/>
      <c r="C1443" s="547"/>
      <c r="D1443" s="546"/>
      <c r="E1443" s="232"/>
      <c r="F1443" s="543"/>
      <c r="G1443" s="330"/>
      <c r="H1443" s="235"/>
      <c r="I1443" s="544"/>
      <c r="J1443" s="119"/>
      <c r="K1443" s="231"/>
      <c r="L1443" s="21"/>
      <c r="M1443" s="21"/>
    </row>
    <row r="1444">
      <c r="A1444" s="230"/>
      <c r="B1444" s="231"/>
      <c r="C1444" s="547"/>
      <c r="D1444" s="546"/>
      <c r="E1444" s="232"/>
      <c r="F1444" s="543"/>
      <c r="G1444" s="330"/>
      <c r="H1444" s="235"/>
      <c r="I1444" s="544"/>
      <c r="J1444" s="119"/>
      <c r="K1444" s="231"/>
      <c r="L1444" s="21"/>
      <c r="M1444" s="21"/>
    </row>
    <row r="1445">
      <c r="A1445" s="230"/>
      <c r="B1445" s="231"/>
      <c r="C1445" s="547"/>
      <c r="D1445" s="546"/>
      <c r="E1445" s="232"/>
      <c r="F1445" s="543"/>
      <c r="G1445" s="330"/>
      <c r="H1445" s="235"/>
      <c r="I1445" s="544"/>
      <c r="J1445" s="119"/>
      <c r="K1445" s="231"/>
      <c r="L1445" s="21"/>
      <c r="M1445" s="21"/>
    </row>
    <row r="1446">
      <c r="A1446" s="230"/>
      <c r="B1446" s="231"/>
      <c r="C1446" s="547"/>
      <c r="D1446" s="546"/>
      <c r="E1446" s="232"/>
      <c r="F1446" s="543"/>
      <c r="G1446" s="330"/>
      <c r="H1446" s="235"/>
      <c r="I1446" s="544"/>
      <c r="J1446" s="119"/>
      <c r="K1446" s="231"/>
      <c r="L1446" s="21"/>
      <c r="M1446" s="21"/>
    </row>
    <row r="1447">
      <c r="A1447" s="230"/>
      <c r="B1447" s="231"/>
      <c r="C1447" s="547"/>
      <c r="D1447" s="546"/>
      <c r="E1447" s="232"/>
      <c r="F1447" s="543"/>
      <c r="G1447" s="330"/>
      <c r="H1447" s="235"/>
      <c r="I1447" s="544"/>
      <c r="J1447" s="119"/>
      <c r="K1447" s="231"/>
      <c r="L1447" s="21"/>
      <c r="M1447" s="21"/>
    </row>
    <row r="1448">
      <c r="A1448" s="230"/>
      <c r="B1448" s="231"/>
      <c r="C1448" s="547"/>
      <c r="D1448" s="546"/>
      <c r="E1448" s="232"/>
      <c r="F1448" s="543"/>
      <c r="G1448" s="330"/>
      <c r="H1448" s="235"/>
      <c r="I1448" s="544"/>
      <c r="J1448" s="119"/>
      <c r="K1448" s="231"/>
      <c r="L1448" s="21"/>
      <c r="M1448" s="21"/>
    </row>
    <row r="1449">
      <c r="A1449" s="230"/>
      <c r="B1449" s="231"/>
      <c r="C1449" s="547"/>
      <c r="D1449" s="546"/>
      <c r="E1449" s="232"/>
      <c r="F1449" s="543"/>
      <c r="G1449" s="330"/>
      <c r="H1449" s="235"/>
      <c r="I1449" s="544"/>
      <c r="J1449" s="119"/>
      <c r="K1449" s="231"/>
      <c r="L1449" s="21"/>
      <c r="M1449" s="21"/>
    </row>
    <row r="1450">
      <c r="A1450" s="230"/>
      <c r="B1450" s="231"/>
      <c r="C1450" s="547"/>
      <c r="D1450" s="546"/>
      <c r="E1450" s="232"/>
      <c r="F1450" s="543"/>
      <c r="G1450" s="330"/>
      <c r="H1450" s="235"/>
      <c r="I1450" s="544"/>
      <c r="J1450" s="119"/>
      <c r="K1450" s="231"/>
      <c r="L1450" s="21"/>
      <c r="M1450" s="21"/>
    </row>
    <row r="1451">
      <c r="A1451" s="230"/>
      <c r="B1451" s="231"/>
      <c r="C1451" s="547"/>
      <c r="D1451" s="546"/>
      <c r="E1451" s="232"/>
      <c r="F1451" s="543"/>
      <c r="G1451" s="330"/>
      <c r="H1451" s="235"/>
      <c r="I1451" s="544"/>
      <c r="J1451" s="119"/>
      <c r="K1451" s="231"/>
      <c r="L1451" s="21"/>
      <c r="M1451" s="21"/>
    </row>
    <row r="1452">
      <c r="A1452" s="230"/>
      <c r="B1452" s="231"/>
      <c r="C1452" s="547"/>
      <c r="D1452" s="546"/>
      <c r="E1452" s="232"/>
      <c r="F1452" s="543"/>
      <c r="G1452" s="330"/>
      <c r="H1452" s="235"/>
      <c r="I1452" s="544"/>
      <c r="J1452" s="119"/>
      <c r="K1452" s="231"/>
      <c r="L1452" s="21"/>
      <c r="M1452" s="21"/>
    </row>
    <row r="1453">
      <c r="A1453" s="230"/>
      <c r="B1453" s="231"/>
      <c r="C1453" s="547"/>
      <c r="D1453" s="546"/>
      <c r="E1453" s="232"/>
      <c r="F1453" s="543"/>
      <c r="G1453" s="330"/>
      <c r="H1453" s="235"/>
      <c r="I1453" s="544"/>
      <c r="J1453" s="119"/>
      <c r="K1453" s="231"/>
      <c r="L1453" s="21"/>
      <c r="M1453" s="21"/>
    </row>
    <row r="1454">
      <c r="A1454" s="230"/>
      <c r="B1454" s="231"/>
      <c r="C1454" s="547"/>
      <c r="D1454" s="546"/>
      <c r="E1454" s="232"/>
      <c r="F1454" s="543"/>
      <c r="G1454" s="330"/>
      <c r="H1454" s="235"/>
      <c r="I1454" s="544"/>
      <c r="J1454" s="119"/>
      <c r="K1454" s="231"/>
      <c r="L1454" s="21"/>
      <c r="M1454" s="21"/>
    </row>
    <row r="1455">
      <c r="A1455" s="230"/>
      <c r="B1455" s="231"/>
      <c r="C1455" s="547"/>
      <c r="D1455" s="546"/>
      <c r="E1455" s="232"/>
      <c r="F1455" s="543"/>
      <c r="G1455" s="330"/>
      <c r="H1455" s="235"/>
      <c r="I1455" s="544"/>
      <c r="J1455" s="119"/>
      <c r="K1455" s="231"/>
      <c r="L1455" s="21"/>
      <c r="M1455" s="21"/>
    </row>
    <row r="1456">
      <c r="A1456" s="230"/>
      <c r="B1456" s="231"/>
      <c r="C1456" s="547"/>
      <c r="D1456" s="546"/>
      <c r="E1456" s="232"/>
      <c r="F1456" s="543"/>
      <c r="G1456" s="330"/>
      <c r="H1456" s="235"/>
      <c r="I1456" s="544"/>
      <c r="J1456" s="119"/>
      <c r="K1456" s="231"/>
      <c r="L1456" s="21"/>
      <c r="M1456" s="21"/>
    </row>
    <row r="1457">
      <c r="A1457" s="230"/>
      <c r="B1457" s="231"/>
      <c r="C1457" s="547"/>
      <c r="D1457" s="546"/>
      <c r="E1457" s="232"/>
      <c r="F1457" s="543"/>
      <c r="G1457" s="330"/>
      <c r="H1457" s="235"/>
      <c r="I1457" s="544"/>
      <c r="J1457" s="119"/>
      <c r="K1457" s="231"/>
      <c r="L1457" s="21"/>
      <c r="M1457" s="21"/>
    </row>
    <row r="1458">
      <c r="A1458" s="230"/>
      <c r="B1458" s="231"/>
      <c r="C1458" s="547"/>
      <c r="D1458" s="546"/>
      <c r="E1458" s="232"/>
      <c r="F1458" s="543"/>
      <c r="G1458" s="330"/>
      <c r="H1458" s="235"/>
      <c r="I1458" s="544"/>
      <c r="J1458" s="119"/>
      <c r="K1458" s="231"/>
      <c r="L1458" s="21"/>
      <c r="M1458" s="21"/>
    </row>
    <row r="1459">
      <c r="A1459" s="230"/>
      <c r="B1459" s="231"/>
      <c r="C1459" s="547"/>
      <c r="D1459" s="546"/>
      <c r="E1459" s="232"/>
      <c r="F1459" s="543"/>
      <c r="G1459" s="330"/>
      <c r="H1459" s="235"/>
      <c r="I1459" s="544"/>
      <c r="J1459" s="119"/>
      <c r="K1459" s="231"/>
      <c r="L1459" s="21"/>
      <c r="M1459" s="21"/>
    </row>
    <row r="1460">
      <c r="A1460" s="230"/>
      <c r="B1460" s="231"/>
      <c r="C1460" s="547"/>
      <c r="D1460" s="546"/>
      <c r="E1460" s="232"/>
      <c r="F1460" s="543"/>
      <c r="G1460" s="330"/>
      <c r="H1460" s="235"/>
      <c r="I1460" s="544"/>
      <c r="J1460" s="119"/>
      <c r="K1460" s="231"/>
      <c r="L1460" s="21"/>
      <c r="M1460" s="21"/>
    </row>
    <row r="1461">
      <c r="A1461" s="230"/>
      <c r="B1461" s="231"/>
      <c r="C1461" s="547"/>
      <c r="D1461" s="546"/>
      <c r="E1461" s="232"/>
      <c r="F1461" s="543"/>
      <c r="G1461" s="330"/>
      <c r="H1461" s="235"/>
      <c r="I1461" s="544"/>
      <c r="J1461" s="119"/>
      <c r="K1461" s="231"/>
      <c r="L1461" s="21"/>
      <c r="M1461" s="21"/>
    </row>
    <row r="1462">
      <c r="A1462" s="230"/>
      <c r="B1462" s="231"/>
      <c r="C1462" s="547"/>
      <c r="D1462" s="546"/>
      <c r="E1462" s="232"/>
      <c r="F1462" s="543"/>
      <c r="G1462" s="330"/>
      <c r="H1462" s="235"/>
      <c r="I1462" s="544"/>
      <c r="J1462" s="119"/>
      <c r="K1462" s="231"/>
      <c r="L1462" s="21"/>
      <c r="M1462" s="21"/>
    </row>
    <row r="1463">
      <c r="A1463" s="230"/>
      <c r="B1463" s="231"/>
      <c r="C1463" s="547"/>
      <c r="D1463" s="546"/>
      <c r="E1463" s="232"/>
      <c r="F1463" s="543"/>
      <c r="G1463" s="330"/>
      <c r="H1463" s="235"/>
      <c r="I1463" s="544"/>
      <c r="J1463" s="119"/>
      <c r="K1463" s="231"/>
      <c r="L1463" s="21"/>
      <c r="M1463" s="21"/>
    </row>
    <row r="1464">
      <c r="A1464" s="230"/>
      <c r="B1464" s="231"/>
      <c r="C1464" s="547"/>
      <c r="D1464" s="546"/>
      <c r="E1464" s="232"/>
      <c r="F1464" s="543"/>
      <c r="G1464" s="330"/>
      <c r="H1464" s="235"/>
      <c r="I1464" s="544"/>
      <c r="J1464" s="119"/>
      <c r="K1464" s="231"/>
      <c r="L1464" s="21"/>
      <c r="M1464" s="21"/>
    </row>
    <row r="1465">
      <c r="A1465" s="230"/>
      <c r="B1465" s="231"/>
      <c r="C1465" s="547"/>
      <c r="D1465" s="546"/>
      <c r="E1465" s="232"/>
      <c r="F1465" s="543"/>
      <c r="G1465" s="330"/>
      <c r="H1465" s="235"/>
      <c r="I1465" s="544"/>
      <c r="J1465" s="119"/>
      <c r="K1465" s="231"/>
      <c r="L1465" s="21"/>
      <c r="M1465" s="21"/>
    </row>
    <row r="1466">
      <c r="A1466" s="230"/>
      <c r="B1466" s="231"/>
      <c r="C1466" s="547"/>
      <c r="D1466" s="546"/>
      <c r="E1466" s="232"/>
      <c r="F1466" s="543"/>
      <c r="G1466" s="330"/>
      <c r="H1466" s="235"/>
      <c r="I1466" s="544"/>
      <c r="J1466" s="119"/>
      <c r="K1466" s="231"/>
      <c r="L1466" s="21"/>
      <c r="M1466" s="21"/>
    </row>
    <row r="1467">
      <c r="A1467" s="230"/>
      <c r="B1467" s="231"/>
      <c r="C1467" s="547"/>
      <c r="D1467" s="546"/>
      <c r="E1467" s="232"/>
      <c r="F1467" s="543"/>
      <c r="G1467" s="330"/>
      <c r="H1467" s="235"/>
      <c r="I1467" s="544"/>
      <c r="J1467" s="119"/>
      <c r="K1467" s="231"/>
      <c r="L1467" s="21"/>
      <c r="M1467" s="21"/>
    </row>
    <row r="1468">
      <c r="A1468" s="230"/>
      <c r="B1468" s="231"/>
      <c r="C1468" s="547"/>
      <c r="D1468" s="546"/>
      <c r="E1468" s="232"/>
      <c r="F1468" s="543"/>
      <c r="G1468" s="330"/>
      <c r="H1468" s="235"/>
      <c r="I1468" s="544"/>
      <c r="J1468" s="119"/>
      <c r="K1468" s="231"/>
      <c r="L1468" s="21"/>
      <c r="M1468" s="21"/>
    </row>
    <row r="1469">
      <c r="A1469" s="230"/>
      <c r="B1469" s="231"/>
      <c r="C1469" s="547"/>
      <c r="D1469" s="546"/>
      <c r="E1469" s="232"/>
      <c r="F1469" s="543"/>
      <c r="G1469" s="330"/>
      <c r="H1469" s="235"/>
      <c r="I1469" s="544"/>
      <c r="J1469" s="119"/>
      <c r="K1469" s="231"/>
      <c r="L1469" s="21"/>
      <c r="M1469" s="21"/>
    </row>
    <row r="1470">
      <c r="A1470" s="230"/>
      <c r="B1470" s="231"/>
      <c r="C1470" s="547"/>
      <c r="D1470" s="546"/>
      <c r="E1470" s="232"/>
      <c r="F1470" s="543"/>
      <c r="G1470" s="330"/>
      <c r="H1470" s="235"/>
      <c r="I1470" s="544"/>
      <c r="J1470" s="119"/>
      <c r="K1470" s="231"/>
      <c r="L1470" s="21"/>
      <c r="M1470" s="21"/>
    </row>
    <row r="1471">
      <c r="A1471" s="230"/>
      <c r="B1471" s="231"/>
      <c r="C1471" s="547"/>
      <c r="D1471" s="546"/>
      <c r="E1471" s="232"/>
      <c r="F1471" s="543"/>
      <c r="G1471" s="330"/>
      <c r="H1471" s="235"/>
      <c r="I1471" s="544"/>
      <c r="J1471" s="119"/>
      <c r="K1471" s="231"/>
      <c r="L1471" s="21"/>
      <c r="M1471" s="21"/>
    </row>
    <row r="1472">
      <c r="A1472" s="230"/>
      <c r="B1472" s="231"/>
      <c r="C1472" s="547"/>
      <c r="D1472" s="546"/>
      <c r="E1472" s="232"/>
      <c r="F1472" s="543"/>
      <c r="G1472" s="330"/>
      <c r="H1472" s="235"/>
      <c r="I1472" s="544"/>
      <c r="J1472" s="119"/>
      <c r="K1472" s="231"/>
      <c r="L1472" s="21"/>
      <c r="M1472" s="21"/>
    </row>
    <row r="1473">
      <c r="A1473" s="230"/>
      <c r="B1473" s="231"/>
      <c r="C1473" s="547"/>
      <c r="D1473" s="546"/>
      <c r="E1473" s="232"/>
      <c r="F1473" s="543"/>
      <c r="G1473" s="330"/>
      <c r="H1473" s="235"/>
      <c r="I1473" s="544"/>
      <c r="J1473" s="119"/>
      <c r="K1473" s="231"/>
      <c r="L1473" s="21"/>
      <c r="M1473" s="21"/>
    </row>
    <row r="1474">
      <c r="A1474" s="230"/>
      <c r="B1474" s="231"/>
      <c r="C1474" s="547"/>
      <c r="D1474" s="546"/>
      <c r="E1474" s="232"/>
      <c r="F1474" s="543"/>
      <c r="G1474" s="330"/>
      <c r="H1474" s="235"/>
      <c r="I1474" s="544"/>
      <c r="J1474" s="119"/>
      <c r="K1474" s="231"/>
      <c r="L1474" s="21"/>
      <c r="M1474" s="21"/>
    </row>
    <row r="1475">
      <c r="A1475" s="230"/>
      <c r="B1475" s="231"/>
      <c r="C1475" s="547"/>
      <c r="D1475" s="546"/>
      <c r="E1475" s="232"/>
      <c r="F1475" s="543"/>
      <c r="G1475" s="330"/>
      <c r="H1475" s="235"/>
      <c r="I1475" s="544"/>
      <c r="J1475" s="119"/>
      <c r="K1475" s="231"/>
      <c r="L1475" s="21"/>
      <c r="M1475" s="21"/>
    </row>
    <row r="1476">
      <c r="A1476" s="230"/>
      <c r="B1476" s="231"/>
      <c r="C1476" s="547"/>
      <c r="D1476" s="546"/>
      <c r="E1476" s="232"/>
      <c r="F1476" s="543"/>
      <c r="G1476" s="330"/>
      <c r="H1476" s="235"/>
      <c r="I1476" s="544"/>
      <c r="J1476" s="119"/>
      <c r="K1476" s="231"/>
      <c r="L1476" s="21"/>
      <c r="M1476" s="21"/>
    </row>
    <row r="1477">
      <c r="A1477" s="230"/>
      <c r="B1477" s="231"/>
      <c r="C1477" s="547"/>
      <c r="D1477" s="546"/>
      <c r="E1477" s="232"/>
      <c r="F1477" s="543"/>
      <c r="G1477" s="330"/>
      <c r="H1477" s="235"/>
      <c r="I1477" s="544"/>
      <c r="J1477" s="119"/>
      <c r="K1477" s="231"/>
      <c r="L1477" s="21"/>
      <c r="M1477" s="21"/>
    </row>
    <row r="1478">
      <c r="A1478" s="230"/>
      <c r="B1478" s="231"/>
      <c r="C1478" s="547"/>
      <c r="D1478" s="546"/>
      <c r="E1478" s="232"/>
      <c r="F1478" s="543"/>
      <c r="G1478" s="330"/>
      <c r="H1478" s="235"/>
      <c r="I1478" s="544"/>
      <c r="J1478" s="119"/>
      <c r="K1478" s="231"/>
      <c r="L1478" s="21"/>
      <c r="M1478" s="21"/>
    </row>
    <row r="1479">
      <c r="A1479" s="230"/>
      <c r="B1479" s="231"/>
      <c r="C1479" s="547"/>
      <c r="D1479" s="546"/>
      <c r="E1479" s="232"/>
      <c r="F1479" s="543"/>
      <c r="G1479" s="330"/>
      <c r="H1479" s="235"/>
      <c r="I1479" s="544"/>
      <c r="J1479" s="119"/>
      <c r="K1479" s="231"/>
      <c r="L1479" s="21"/>
      <c r="M1479" s="21"/>
    </row>
    <row r="1480">
      <c r="A1480" s="230"/>
      <c r="B1480" s="231"/>
      <c r="C1480" s="547"/>
      <c r="D1480" s="546"/>
      <c r="E1480" s="232"/>
      <c r="F1480" s="543"/>
      <c r="G1480" s="330"/>
      <c r="H1480" s="235"/>
      <c r="I1480" s="544"/>
      <c r="J1480" s="119"/>
      <c r="K1480" s="231"/>
      <c r="L1480" s="21"/>
      <c r="M1480" s="21"/>
    </row>
    <row r="1481">
      <c r="A1481" s="230"/>
      <c r="B1481" s="231"/>
      <c r="C1481" s="547"/>
      <c r="D1481" s="546"/>
      <c r="E1481" s="232"/>
      <c r="F1481" s="543"/>
      <c r="G1481" s="330"/>
      <c r="H1481" s="235"/>
      <c r="I1481" s="544"/>
      <c r="J1481" s="119"/>
      <c r="K1481" s="231"/>
      <c r="L1481" s="21"/>
      <c r="M1481" s="21"/>
    </row>
    <row r="1482">
      <c r="A1482" s="230"/>
      <c r="B1482" s="231"/>
      <c r="C1482" s="547"/>
      <c r="D1482" s="546"/>
      <c r="E1482" s="232"/>
      <c r="F1482" s="543"/>
      <c r="G1482" s="330"/>
      <c r="H1482" s="235"/>
      <c r="I1482" s="544"/>
      <c r="J1482" s="119"/>
      <c r="K1482" s="231"/>
      <c r="L1482" s="21"/>
      <c r="M1482" s="21"/>
    </row>
    <row r="1483">
      <c r="A1483" s="230"/>
      <c r="B1483" s="231"/>
      <c r="C1483" s="547"/>
      <c r="D1483" s="546"/>
      <c r="E1483" s="232"/>
      <c r="F1483" s="543"/>
      <c r="G1483" s="330"/>
      <c r="H1483" s="235"/>
      <c r="I1483" s="544"/>
      <c r="J1483" s="119"/>
      <c r="K1483" s="231"/>
      <c r="L1483" s="21"/>
      <c r="M1483" s="21"/>
    </row>
    <row r="1484">
      <c r="A1484" s="230"/>
      <c r="B1484" s="231"/>
      <c r="C1484" s="547"/>
      <c r="D1484" s="546"/>
      <c r="E1484" s="232"/>
      <c r="F1484" s="543"/>
      <c r="G1484" s="330"/>
      <c r="H1484" s="235"/>
      <c r="I1484" s="544"/>
      <c r="J1484" s="119"/>
      <c r="K1484" s="231"/>
      <c r="L1484" s="21"/>
      <c r="M1484" s="21"/>
    </row>
    <row r="1485">
      <c r="A1485" s="230"/>
      <c r="B1485" s="231"/>
      <c r="C1485" s="547"/>
      <c r="D1485" s="546"/>
      <c r="E1485" s="232"/>
      <c r="F1485" s="543"/>
      <c r="G1485" s="330"/>
      <c r="H1485" s="235"/>
      <c r="I1485" s="544"/>
      <c r="J1485" s="119"/>
      <c r="K1485" s="231"/>
      <c r="L1485" s="21"/>
      <c r="M1485" s="21"/>
    </row>
    <row r="1486">
      <c r="A1486" s="230"/>
      <c r="B1486" s="231"/>
      <c r="C1486" s="547"/>
      <c r="D1486" s="546"/>
      <c r="E1486" s="232"/>
      <c r="F1486" s="543"/>
      <c r="G1486" s="330"/>
      <c r="H1486" s="235"/>
      <c r="I1486" s="544"/>
      <c r="J1486" s="119"/>
      <c r="K1486" s="231"/>
      <c r="L1486" s="21"/>
      <c r="M1486" s="21"/>
    </row>
    <row r="1487">
      <c r="A1487" s="230"/>
      <c r="B1487" s="231"/>
      <c r="C1487" s="547"/>
      <c r="D1487" s="546"/>
      <c r="E1487" s="232"/>
      <c r="F1487" s="543"/>
      <c r="G1487" s="330"/>
      <c r="H1487" s="235"/>
      <c r="I1487" s="544"/>
      <c r="J1487" s="119"/>
      <c r="K1487" s="231"/>
      <c r="L1487" s="21"/>
      <c r="M1487" s="21"/>
    </row>
    <row r="1488">
      <c r="A1488" s="230"/>
      <c r="B1488" s="231"/>
      <c r="C1488" s="547"/>
      <c r="D1488" s="546"/>
      <c r="E1488" s="232"/>
      <c r="F1488" s="543"/>
      <c r="G1488" s="330"/>
      <c r="H1488" s="235"/>
      <c r="I1488" s="544"/>
      <c r="J1488" s="119"/>
      <c r="K1488" s="231"/>
      <c r="L1488" s="21"/>
      <c r="M1488" s="21"/>
    </row>
    <row r="1489">
      <c r="A1489" s="230"/>
      <c r="B1489" s="231"/>
      <c r="C1489" s="547"/>
      <c r="D1489" s="546"/>
      <c r="E1489" s="232"/>
      <c r="F1489" s="543"/>
      <c r="G1489" s="330"/>
      <c r="H1489" s="235"/>
      <c r="I1489" s="544"/>
      <c r="J1489" s="119"/>
      <c r="K1489" s="231"/>
      <c r="L1489" s="21"/>
      <c r="M1489" s="21"/>
    </row>
    <row r="1490">
      <c r="A1490" s="230"/>
      <c r="B1490" s="231"/>
      <c r="C1490" s="547"/>
      <c r="D1490" s="546"/>
      <c r="E1490" s="232"/>
      <c r="F1490" s="543"/>
      <c r="G1490" s="330"/>
      <c r="H1490" s="235"/>
      <c r="I1490" s="544"/>
      <c r="J1490" s="119"/>
      <c r="K1490" s="231"/>
      <c r="L1490" s="21"/>
      <c r="M1490" s="21"/>
    </row>
    <row r="1491">
      <c r="A1491" s="230"/>
      <c r="B1491" s="231"/>
      <c r="C1491" s="547"/>
      <c r="D1491" s="546"/>
      <c r="E1491" s="232"/>
      <c r="F1491" s="543"/>
      <c r="G1491" s="330"/>
      <c r="H1491" s="235"/>
      <c r="I1491" s="544"/>
      <c r="J1491" s="119"/>
      <c r="K1491" s="231"/>
      <c r="L1491" s="21"/>
      <c r="M1491" s="21"/>
    </row>
    <row r="1492">
      <c r="A1492" s="230"/>
      <c r="B1492" s="231"/>
      <c r="C1492" s="547"/>
      <c r="D1492" s="546"/>
      <c r="E1492" s="232"/>
      <c r="F1492" s="543"/>
      <c r="G1492" s="330"/>
      <c r="H1492" s="235"/>
      <c r="I1492" s="544"/>
      <c r="J1492" s="119"/>
      <c r="K1492" s="231"/>
      <c r="L1492" s="21"/>
      <c r="M1492" s="21"/>
    </row>
    <row r="1493">
      <c r="A1493" s="230"/>
      <c r="B1493" s="231"/>
      <c r="C1493" s="547"/>
      <c r="D1493" s="546"/>
      <c r="E1493" s="232"/>
      <c r="F1493" s="543"/>
      <c r="G1493" s="330"/>
      <c r="H1493" s="235"/>
      <c r="I1493" s="544"/>
      <c r="J1493" s="119"/>
      <c r="K1493" s="231"/>
      <c r="L1493" s="21"/>
      <c r="M1493" s="21"/>
    </row>
    <row r="1494">
      <c r="A1494" s="230"/>
      <c r="B1494" s="231"/>
      <c r="C1494" s="547"/>
      <c r="D1494" s="546"/>
      <c r="E1494" s="232"/>
      <c r="F1494" s="543"/>
      <c r="G1494" s="330"/>
      <c r="H1494" s="235"/>
      <c r="I1494" s="544"/>
      <c r="J1494" s="119"/>
      <c r="K1494" s="231"/>
      <c r="L1494" s="21"/>
      <c r="M1494" s="21"/>
    </row>
    <row r="1495">
      <c r="A1495" s="230"/>
      <c r="B1495" s="231"/>
      <c r="C1495" s="547"/>
      <c r="D1495" s="546"/>
      <c r="E1495" s="232"/>
      <c r="F1495" s="543"/>
      <c r="G1495" s="330"/>
      <c r="H1495" s="235"/>
      <c r="I1495" s="544"/>
      <c r="J1495" s="119"/>
      <c r="K1495" s="231"/>
      <c r="L1495" s="21"/>
      <c r="M1495" s="21"/>
    </row>
    <row r="1496">
      <c r="A1496" s="230"/>
      <c r="B1496" s="231"/>
      <c r="C1496" s="547"/>
      <c r="D1496" s="546"/>
      <c r="E1496" s="232"/>
      <c r="F1496" s="543"/>
      <c r="G1496" s="330"/>
      <c r="H1496" s="235"/>
      <c r="I1496" s="544"/>
      <c r="J1496" s="119"/>
      <c r="K1496" s="231"/>
      <c r="L1496" s="21"/>
      <c r="M1496" s="21"/>
    </row>
    <row r="1497">
      <c r="A1497" s="230"/>
      <c r="B1497" s="231"/>
      <c r="C1497" s="547"/>
      <c r="D1497" s="546"/>
      <c r="E1497" s="232"/>
      <c r="F1497" s="543"/>
      <c r="G1497" s="330"/>
      <c r="H1497" s="235"/>
      <c r="I1497" s="544"/>
      <c r="J1497" s="119"/>
      <c r="K1497" s="231"/>
      <c r="L1497" s="21"/>
      <c r="M1497" s="21"/>
    </row>
    <row r="1498">
      <c r="A1498" s="230"/>
      <c r="B1498" s="231"/>
      <c r="C1498" s="547"/>
      <c r="D1498" s="546"/>
      <c r="E1498" s="232"/>
      <c r="F1498" s="543"/>
      <c r="G1498" s="330"/>
      <c r="H1498" s="235"/>
      <c r="I1498" s="544"/>
      <c r="J1498" s="119"/>
      <c r="K1498" s="231"/>
      <c r="L1498" s="21"/>
      <c r="M1498" s="21"/>
    </row>
    <row r="1499">
      <c r="A1499" s="230"/>
      <c r="B1499" s="231"/>
      <c r="C1499" s="547"/>
      <c r="D1499" s="546"/>
      <c r="E1499" s="232"/>
      <c r="F1499" s="543"/>
      <c r="G1499" s="330"/>
      <c r="H1499" s="235"/>
      <c r="I1499" s="544"/>
      <c r="J1499" s="119"/>
      <c r="K1499" s="231"/>
      <c r="L1499" s="21"/>
      <c r="M1499" s="21"/>
    </row>
    <row r="1500">
      <c r="A1500" s="230"/>
      <c r="B1500" s="231"/>
      <c r="C1500" s="547"/>
      <c r="D1500" s="546"/>
      <c r="E1500" s="232"/>
      <c r="F1500" s="543"/>
      <c r="G1500" s="330"/>
      <c r="H1500" s="235"/>
      <c r="I1500" s="544"/>
      <c r="J1500" s="119"/>
      <c r="K1500" s="231"/>
      <c r="L1500" s="21"/>
      <c r="M1500" s="21"/>
    </row>
    <row r="1501">
      <c r="A1501" s="230"/>
      <c r="B1501" s="231"/>
      <c r="C1501" s="547"/>
      <c r="D1501" s="546"/>
      <c r="E1501" s="232"/>
      <c r="F1501" s="543"/>
      <c r="G1501" s="330"/>
      <c r="H1501" s="235"/>
      <c r="I1501" s="544"/>
      <c r="J1501" s="119"/>
      <c r="K1501" s="231"/>
      <c r="L1501" s="21"/>
      <c r="M1501" s="21"/>
    </row>
    <row r="1502">
      <c r="A1502" s="230"/>
      <c r="B1502" s="231"/>
      <c r="C1502" s="547"/>
      <c r="D1502" s="546"/>
      <c r="E1502" s="232"/>
      <c r="F1502" s="543"/>
      <c r="G1502" s="330"/>
      <c r="H1502" s="235"/>
      <c r="I1502" s="544"/>
      <c r="J1502" s="119"/>
      <c r="K1502" s="231"/>
      <c r="L1502" s="21"/>
      <c r="M1502" s="21"/>
    </row>
    <row r="1503">
      <c r="A1503" s="230"/>
      <c r="B1503" s="231"/>
      <c r="C1503" s="547"/>
      <c r="D1503" s="546"/>
      <c r="E1503" s="232"/>
      <c r="F1503" s="543"/>
      <c r="G1503" s="330"/>
      <c r="H1503" s="235"/>
      <c r="I1503" s="544"/>
      <c r="J1503" s="119"/>
      <c r="K1503" s="231"/>
      <c r="L1503" s="21"/>
      <c r="M1503" s="21"/>
    </row>
    <row r="1504">
      <c r="A1504" s="230"/>
      <c r="B1504" s="231"/>
      <c r="C1504" s="547"/>
      <c r="D1504" s="546"/>
      <c r="E1504" s="232"/>
      <c r="F1504" s="543"/>
      <c r="G1504" s="330"/>
      <c r="H1504" s="235"/>
      <c r="I1504" s="544"/>
      <c r="J1504" s="119"/>
      <c r="K1504" s="231"/>
      <c r="L1504" s="21"/>
      <c r="M1504" s="21"/>
    </row>
    <row r="1505">
      <c r="A1505" s="230"/>
      <c r="B1505" s="231"/>
      <c r="C1505" s="547"/>
      <c r="D1505" s="546"/>
      <c r="E1505" s="232"/>
      <c r="F1505" s="543"/>
      <c r="G1505" s="330"/>
      <c r="H1505" s="235"/>
      <c r="I1505" s="544"/>
      <c r="J1505" s="119"/>
      <c r="K1505" s="231"/>
      <c r="L1505" s="21"/>
      <c r="M1505" s="21"/>
    </row>
    <row r="1506">
      <c r="A1506" s="230"/>
      <c r="B1506" s="231"/>
      <c r="C1506" s="547"/>
      <c r="D1506" s="546"/>
      <c r="E1506" s="232"/>
      <c r="F1506" s="543"/>
      <c r="G1506" s="330"/>
      <c r="H1506" s="235"/>
      <c r="I1506" s="544"/>
      <c r="J1506" s="119"/>
      <c r="K1506" s="231"/>
      <c r="L1506" s="21"/>
      <c r="M1506" s="21"/>
    </row>
    <row r="1507">
      <c r="A1507" s="230"/>
      <c r="B1507" s="231"/>
      <c r="C1507" s="547"/>
      <c r="D1507" s="546"/>
      <c r="E1507" s="232"/>
      <c r="F1507" s="543"/>
      <c r="G1507" s="330"/>
      <c r="H1507" s="235"/>
      <c r="I1507" s="544"/>
      <c r="J1507" s="119"/>
      <c r="K1507" s="231"/>
      <c r="L1507" s="21"/>
      <c r="M1507" s="21"/>
    </row>
    <row r="1508">
      <c r="A1508" s="230"/>
      <c r="B1508" s="231"/>
      <c r="C1508" s="547"/>
      <c r="D1508" s="546"/>
      <c r="E1508" s="232"/>
      <c r="F1508" s="543"/>
      <c r="G1508" s="330"/>
      <c r="H1508" s="235"/>
      <c r="I1508" s="544"/>
      <c r="J1508" s="119"/>
      <c r="K1508" s="231"/>
      <c r="L1508" s="21"/>
      <c r="M1508" s="21"/>
    </row>
    <row r="1509">
      <c r="A1509" s="230"/>
      <c r="B1509" s="231"/>
      <c r="C1509" s="547"/>
      <c r="D1509" s="546"/>
      <c r="E1509" s="232"/>
      <c r="F1509" s="543"/>
      <c r="G1509" s="330"/>
      <c r="H1509" s="235"/>
      <c r="I1509" s="544"/>
      <c r="J1509" s="119"/>
      <c r="K1509" s="231"/>
      <c r="L1509" s="21"/>
      <c r="M1509" s="21"/>
    </row>
    <row r="1510">
      <c r="A1510" s="230"/>
      <c r="B1510" s="231"/>
      <c r="C1510" s="547"/>
      <c r="D1510" s="546"/>
      <c r="E1510" s="232"/>
      <c r="F1510" s="543"/>
      <c r="G1510" s="330"/>
      <c r="H1510" s="235"/>
      <c r="I1510" s="544"/>
      <c r="J1510" s="119"/>
      <c r="K1510" s="231"/>
      <c r="L1510" s="21"/>
      <c r="M1510" s="21"/>
    </row>
    <row r="1511">
      <c r="A1511" s="230"/>
      <c r="B1511" s="231"/>
      <c r="C1511" s="547"/>
      <c r="D1511" s="546"/>
      <c r="E1511" s="232"/>
      <c r="F1511" s="543"/>
      <c r="G1511" s="330"/>
      <c r="H1511" s="235"/>
      <c r="I1511" s="544"/>
      <c r="J1511" s="119"/>
      <c r="K1511" s="231"/>
      <c r="L1511" s="21"/>
      <c r="M1511" s="21"/>
    </row>
    <row r="1512">
      <c r="A1512" s="230"/>
      <c r="B1512" s="231"/>
      <c r="C1512" s="547"/>
      <c r="D1512" s="546"/>
      <c r="E1512" s="232"/>
      <c r="F1512" s="543"/>
      <c r="G1512" s="330"/>
      <c r="H1512" s="235"/>
      <c r="I1512" s="544"/>
      <c r="J1512" s="119"/>
      <c r="K1512" s="231"/>
      <c r="L1512" s="21"/>
      <c r="M1512" s="21"/>
    </row>
    <row r="1513">
      <c r="A1513" s="230"/>
      <c r="B1513" s="231"/>
      <c r="C1513" s="547"/>
      <c r="D1513" s="546"/>
      <c r="E1513" s="232"/>
      <c r="F1513" s="543"/>
      <c r="G1513" s="330"/>
      <c r="H1513" s="235"/>
      <c r="I1513" s="544"/>
      <c r="J1513" s="119"/>
      <c r="K1513" s="231"/>
      <c r="L1513" s="21"/>
      <c r="M1513" s="21"/>
    </row>
    <row r="1514">
      <c r="A1514" s="230"/>
      <c r="B1514" s="231"/>
      <c r="C1514" s="547"/>
      <c r="D1514" s="546"/>
      <c r="E1514" s="232"/>
      <c r="F1514" s="543"/>
      <c r="G1514" s="330"/>
      <c r="H1514" s="235"/>
      <c r="I1514" s="544"/>
      <c r="J1514" s="119"/>
      <c r="K1514" s="231"/>
      <c r="L1514" s="21"/>
      <c r="M1514" s="21"/>
    </row>
    <row r="1515">
      <c r="A1515" s="230"/>
      <c r="B1515" s="231"/>
      <c r="C1515" s="547"/>
      <c r="D1515" s="546"/>
      <c r="E1515" s="232"/>
      <c r="F1515" s="543"/>
      <c r="G1515" s="330"/>
      <c r="H1515" s="235"/>
      <c r="I1515" s="544"/>
      <c r="J1515" s="119"/>
      <c r="K1515" s="231"/>
      <c r="L1515" s="21"/>
      <c r="M1515" s="21"/>
    </row>
    <row r="1516">
      <c r="A1516" s="230"/>
      <c r="B1516" s="231"/>
      <c r="C1516" s="547"/>
      <c r="D1516" s="546"/>
      <c r="E1516" s="232"/>
      <c r="F1516" s="543"/>
      <c r="G1516" s="330"/>
      <c r="H1516" s="235"/>
      <c r="I1516" s="544"/>
      <c r="J1516" s="119"/>
      <c r="K1516" s="231"/>
      <c r="L1516" s="21"/>
      <c r="M1516" s="21"/>
    </row>
    <row r="1517">
      <c r="A1517" s="230"/>
      <c r="B1517" s="231"/>
      <c r="C1517" s="547"/>
      <c r="D1517" s="546"/>
      <c r="E1517" s="232"/>
      <c r="F1517" s="543"/>
      <c r="G1517" s="330"/>
      <c r="H1517" s="235"/>
      <c r="I1517" s="544"/>
      <c r="J1517" s="119"/>
      <c r="K1517" s="231"/>
      <c r="L1517" s="21"/>
      <c r="M1517" s="21"/>
    </row>
    <row r="1518">
      <c r="A1518" s="230"/>
      <c r="B1518" s="231"/>
      <c r="C1518" s="547"/>
      <c r="D1518" s="546"/>
      <c r="E1518" s="232"/>
      <c r="F1518" s="543"/>
      <c r="G1518" s="330"/>
      <c r="H1518" s="235"/>
      <c r="I1518" s="544"/>
      <c r="J1518" s="119"/>
      <c r="K1518" s="231"/>
      <c r="L1518" s="21"/>
      <c r="M1518" s="21"/>
    </row>
    <row r="1519">
      <c r="A1519" s="230"/>
      <c r="B1519" s="231"/>
      <c r="C1519" s="547"/>
      <c r="D1519" s="546"/>
      <c r="E1519" s="232"/>
      <c r="F1519" s="543"/>
      <c r="G1519" s="330"/>
      <c r="H1519" s="235"/>
      <c r="I1519" s="544"/>
      <c r="J1519" s="119"/>
      <c r="K1519" s="231"/>
      <c r="L1519" s="21"/>
      <c r="M1519" s="21"/>
    </row>
    <row r="1520">
      <c r="A1520" s="230"/>
      <c r="B1520" s="231"/>
      <c r="C1520" s="547"/>
      <c r="D1520" s="546"/>
      <c r="E1520" s="232"/>
      <c r="F1520" s="543"/>
      <c r="G1520" s="330"/>
      <c r="H1520" s="235"/>
      <c r="I1520" s="544"/>
      <c r="J1520" s="119"/>
      <c r="K1520" s="231"/>
      <c r="L1520" s="21"/>
      <c r="M1520" s="21"/>
    </row>
    <row r="1521">
      <c r="A1521" s="230"/>
      <c r="B1521" s="231"/>
      <c r="C1521" s="547"/>
      <c r="D1521" s="546"/>
      <c r="E1521" s="232"/>
      <c r="F1521" s="543"/>
      <c r="G1521" s="330"/>
      <c r="H1521" s="235"/>
      <c r="I1521" s="544"/>
      <c r="J1521" s="119"/>
      <c r="K1521" s="231"/>
      <c r="L1521" s="21"/>
      <c r="M1521" s="21"/>
    </row>
    <row r="1522">
      <c r="A1522" s="230"/>
      <c r="B1522" s="231"/>
      <c r="C1522" s="547"/>
      <c r="D1522" s="546"/>
      <c r="E1522" s="232"/>
      <c r="F1522" s="543"/>
      <c r="G1522" s="330"/>
      <c r="H1522" s="235"/>
      <c r="I1522" s="544"/>
      <c r="J1522" s="119"/>
      <c r="K1522" s="231"/>
      <c r="L1522" s="21"/>
      <c r="M1522" s="21"/>
    </row>
    <row r="1523">
      <c r="A1523" s="230"/>
      <c r="B1523" s="231"/>
      <c r="C1523" s="547"/>
      <c r="D1523" s="546"/>
      <c r="E1523" s="232"/>
      <c r="F1523" s="543"/>
      <c r="G1523" s="330"/>
      <c r="H1523" s="235"/>
      <c r="I1523" s="544"/>
      <c r="J1523" s="119"/>
      <c r="K1523" s="231"/>
      <c r="L1523" s="21"/>
      <c r="M1523" s="21"/>
    </row>
    <row r="1524">
      <c r="A1524" s="230"/>
      <c r="B1524" s="231"/>
      <c r="C1524" s="547"/>
      <c r="D1524" s="546"/>
      <c r="E1524" s="232"/>
      <c r="F1524" s="543"/>
      <c r="G1524" s="330"/>
      <c r="H1524" s="235"/>
      <c r="I1524" s="544"/>
      <c r="J1524" s="119"/>
      <c r="K1524" s="231"/>
      <c r="L1524" s="21"/>
      <c r="M1524" s="21"/>
    </row>
    <row r="1525">
      <c r="A1525" s="230"/>
      <c r="B1525" s="231"/>
      <c r="C1525" s="547"/>
      <c r="D1525" s="546"/>
      <c r="E1525" s="232"/>
      <c r="F1525" s="543"/>
      <c r="G1525" s="330"/>
      <c r="H1525" s="235"/>
      <c r="I1525" s="544"/>
      <c r="J1525" s="119"/>
      <c r="K1525" s="231"/>
      <c r="L1525" s="21"/>
      <c r="M1525" s="21"/>
    </row>
    <row r="1526">
      <c r="A1526" s="230"/>
      <c r="B1526" s="231"/>
      <c r="C1526" s="547"/>
      <c r="D1526" s="546"/>
      <c r="E1526" s="232"/>
      <c r="F1526" s="543"/>
      <c r="G1526" s="330"/>
      <c r="H1526" s="235"/>
      <c r="I1526" s="544"/>
      <c r="J1526" s="119"/>
      <c r="K1526" s="231"/>
      <c r="L1526" s="21"/>
      <c r="M1526" s="21"/>
    </row>
    <row r="1527">
      <c r="A1527" s="230"/>
      <c r="B1527" s="231"/>
      <c r="C1527" s="547"/>
      <c r="D1527" s="546"/>
      <c r="E1527" s="232"/>
      <c r="F1527" s="543"/>
      <c r="G1527" s="330"/>
      <c r="H1527" s="235"/>
      <c r="I1527" s="544"/>
      <c r="J1527" s="119"/>
      <c r="K1527" s="231"/>
      <c r="L1527" s="21"/>
      <c r="M1527" s="21"/>
    </row>
    <row r="1528">
      <c r="A1528" s="230"/>
      <c r="B1528" s="231"/>
      <c r="C1528" s="547"/>
      <c r="D1528" s="546"/>
      <c r="E1528" s="232"/>
      <c r="F1528" s="543"/>
      <c r="G1528" s="330"/>
      <c r="H1528" s="235"/>
      <c r="I1528" s="544"/>
      <c r="J1528" s="119"/>
      <c r="K1528" s="231"/>
      <c r="L1528" s="21"/>
      <c r="M1528" s="21"/>
    </row>
    <row r="1529">
      <c r="A1529" s="230"/>
      <c r="B1529" s="231"/>
      <c r="C1529" s="547"/>
      <c r="D1529" s="546"/>
      <c r="E1529" s="232"/>
      <c r="F1529" s="543"/>
      <c r="G1529" s="330"/>
      <c r="H1529" s="235"/>
      <c r="I1529" s="544"/>
      <c r="J1529" s="119"/>
      <c r="K1529" s="231"/>
      <c r="L1529" s="21"/>
      <c r="M1529" s="21"/>
    </row>
    <row r="1530">
      <c r="A1530" s="230"/>
      <c r="B1530" s="231"/>
      <c r="C1530" s="547"/>
      <c r="D1530" s="546"/>
      <c r="E1530" s="232"/>
      <c r="F1530" s="543"/>
      <c r="G1530" s="330"/>
      <c r="H1530" s="235"/>
      <c r="I1530" s="544"/>
      <c r="J1530" s="119"/>
      <c r="K1530" s="231"/>
      <c r="L1530" s="21"/>
      <c r="M1530" s="21"/>
    </row>
    <row r="1531">
      <c r="A1531" s="230"/>
      <c r="B1531" s="231"/>
      <c r="C1531" s="547"/>
      <c r="D1531" s="546"/>
      <c r="E1531" s="232"/>
      <c r="F1531" s="543"/>
      <c r="G1531" s="330"/>
      <c r="H1531" s="235"/>
      <c r="I1531" s="544"/>
      <c r="J1531" s="119"/>
      <c r="K1531" s="231"/>
      <c r="L1531" s="21"/>
      <c r="M1531" s="21"/>
    </row>
    <row r="1532">
      <c r="A1532" s="230"/>
      <c r="B1532" s="231"/>
      <c r="C1532" s="547"/>
      <c r="D1532" s="546"/>
      <c r="E1532" s="232"/>
      <c r="F1532" s="543"/>
      <c r="G1532" s="330"/>
      <c r="H1532" s="235"/>
      <c r="I1532" s="544"/>
      <c r="J1532" s="119"/>
      <c r="K1532" s="231"/>
      <c r="L1532" s="21"/>
      <c r="M1532" s="21"/>
    </row>
    <row r="1533">
      <c r="A1533" s="230"/>
      <c r="B1533" s="231"/>
      <c r="C1533" s="547"/>
      <c r="D1533" s="546"/>
      <c r="E1533" s="232"/>
      <c r="F1533" s="543"/>
      <c r="G1533" s="330"/>
      <c r="H1533" s="235"/>
      <c r="I1533" s="544"/>
      <c r="J1533" s="119"/>
      <c r="K1533" s="231"/>
      <c r="L1533" s="21"/>
      <c r="M1533" s="21"/>
    </row>
    <row r="1534">
      <c r="A1534" s="230"/>
      <c r="B1534" s="231"/>
      <c r="C1534" s="547"/>
      <c r="D1534" s="546"/>
      <c r="E1534" s="232"/>
      <c r="F1534" s="543"/>
      <c r="G1534" s="330"/>
      <c r="H1534" s="235"/>
      <c r="I1534" s="544"/>
      <c r="J1534" s="119"/>
      <c r="K1534" s="231"/>
      <c r="L1534" s="21"/>
      <c r="M1534" s="21"/>
    </row>
    <row r="1535">
      <c r="A1535" s="230"/>
      <c r="B1535" s="231"/>
      <c r="C1535" s="547"/>
      <c r="D1535" s="546"/>
      <c r="E1535" s="232"/>
      <c r="F1535" s="543"/>
      <c r="G1535" s="330"/>
      <c r="H1535" s="235"/>
      <c r="I1535" s="544"/>
      <c r="J1535" s="119"/>
      <c r="K1535" s="231"/>
      <c r="L1535" s="21"/>
      <c r="M1535" s="21"/>
    </row>
    <row r="1536">
      <c r="A1536" s="230"/>
      <c r="B1536" s="231"/>
      <c r="C1536" s="547"/>
      <c r="D1536" s="546"/>
      <c r="E1536" s="232"/>
      <c r="F1536" s="543"/>
      <c r="G1536" s="330"/>
      <c r="H1536" s="235"/>
      <c r="I1536" s="544"/>
      <c r="J1536" s="119"/>
      <c r="K1536" s="231"/>
      <c r="L1536" s="21"/>
      <c r="M1536" s="21"/>
    </row>
    <row r="1537">
      <c r="A1537" s="230"/>
      <c r="B1537" s="231"/>
      <c r="C1537" s="547"/>
      <c r="D1537" s="546"/>
      <c r="E1537" s="232"/>
      <c r="F1537" s="543"/>
      <c r="G1537" s="330"/>
      <c r="H1537" s="235"/>
      <c r="I1537" s="544"/>
      <c r="J1537" s="119"/>
      <c r="K1537" s="231"/>
      <c r="L1537" s="21"/>
      <c r="M1537" s="21"/>
    </row>
    <row r="1538">
      <c r="A1538" s="230"/>
      <c r="B1538" s="231"/>
      <c r="C1538" s="547"/>
      <c r="D1538" s="546"/>
      <c r="E1538" s="232"/>
      <c r="F1538" s="543"/>
      <c r="G1538" s="330"/>
      <c r="H1538" s="235"/>
      <c r="I1538" s="544"/>
      <c r="J1538" s="119"/>
      <c r="K1538" s="231"/>
      <c r="L1538" s="21"/>
      <c r="M1538" s="21"/>
    </row>
    <row r="1539">
      <c r="A1539" s="230"/>
      <c r="B1539" s="231"/>
      <c r="C1539" s="547"/>
      <c r="D1539" s="546"/>
      <c r="E1539" s="232"/>
      <c r="F1539" s="543"/>
      <c r="G1539" s="330"/>
      <c r="H1539" s="235"/>
      <c r="I1539" s="544"/>
      <c r="J1539" s="119"/>
      <c r="K1539" s="231"/>
      <c r="L1539" s="21"/>
      <c r="M1539" s="21"/>
    </row>
    <row r="1540">
      <c r="A1540" s="230"/>
      <c r="B1540" s="231"/>
      <c r="C1540" s="547"/>
      <c r="D1540" s="546"/>
      <c r="E1540" s="232"/>
      <c r="F1540" s="543"/>
      <c r="G1540" s="330"/>
      <c r="H1540" s="235"/>
      <c r="I1540" s="544"/>
      <c r="J1540" s="119"/>
      <c r="K1540" s="231"/>
      <c r="L1540" s="21"/>
      <c r="M1540" s="21"/>
    </row>
    <row r="1541">
      <c r="A1541" s="230"/>
      <c r="B1541" s="231"/>
      <c r="C1541" s="547"/>
      <c r="D1541" s="546"/>
      <c r="E1541" s="232"/>
      <c r="F1541" s="543"/>
      <c r="G1541" s="330"/>
      <c r="H1541" s="235"/>
      <c r="I1541" s="544"/>
      <c r="J1541" s="119"/>
      <c r="K1541" s="231"/>
      <c r="L1541" s="21"/>
      <c r="M1541" s="21"/>
    </row>
    <row r="1542">
      <c r="A1542" s="230"/>
      <c r="B1542" s="231"/>
      <c r="C1542" s="547"/>
      <c r="D1542" s="546"/>
      <c r="E1542" s="232"/>
      <c r="F1542" s="543"/>
      <c r="G1542" s="330"/>
      <c r="H1542" s="235"/>
      <c r="I1542" s="544"/>
      <c r="J1542" s="119"/>
      <c r="K1542" s="231"/>
      <c r="L1542" s="21"/>
      <c r="M1542" s="21"/>
    </row>
    <row r="1543">
      <c r="A1543" s="230"/>
      <c r="B1543" s="231"/>
      <c r="C1543" s="547"/>
      <c r="D1543" s="546"/>
      <c r="E1543" s="232"/>
      <c r="F1543" s="543"/>
      <c r="G1543" s="330"/>
      <c r="H1543" s="235"/>
      <c r="I1543" s="544"/>
      <c r="J1543" s="119"/>
      <c r="K1543" s="231"/>
      <c r="L1543" s="21"/>
      <c r="M1543" s="21"/>
    </row>
    <row r="1544">
      <c r="A1544" s="230"/>
      <c r="B1544" s="231"/>
      <c r="C1544" s="547"/>
      <c r="D1544" s="546"/>
      <c r="E1544" s="232"/>
      <c r="F1544" s="543"/>
      <c r="G1544" s="330"/>
      <c r="H1544" s="235"/>
      <c r="I1544" s="544"/>
      <c r="J1544" s="119"/>
      <c r="K1544" s="231"/>
      <c r="L1544" s="21"/>
      <c r="M1544" s="21"/>
    </row>
    <row r="1545">
      <c r="A1545" s="230"/>
      <c r="B1545" s="231"/>
      <c r="C1545" s="547"/>
      <c r="D1545" s="546"/>
      <c r="E1545" s="232"/>
      <c r="F1545" s="543"/>
      <c r="G1545" s="330"/>
      <c r="H1545" s="235"/>
      <c r="I1545" s="544"/>
      <c r="J1545" s="119"/>
      <c r="K1545" s="231"/>
      <c r="L1545" s="21"/>
      <c r="M1545" s="21"/>
    </row>
    <row r="1546">
      <c r="A1546" s="230"/>
      <c r="B1546" s="231"/>
      <c r="C1546" s="547"/>
      <c r="D1546" s="546"/>
      <c r="E1546" s="232"/>
      <c r="F1546" s="543"/>
      <c r="G1546" s="330"/>
      <c r="H1546" s="235"/>
      <c r="I1546" s="544"/>
      <c r="J1546" s="119"/>
      <c r="K1546" s="231"/>
      <c r="L1546" s="21"/>
      <c r="M1546" s="21"/>
    </row>
    <row r="1547">
      <c r="A1547" s="230"/>
      <c r="B1547" s="231"/>
      <c r="C1547" s="547"/>
      <c r="D1547" s="546"/>
      <c r="E1547" s="232"/>
      <c r="F1547" s="543"/>
      <c r="G1547" s="330"/>
      <c r="H1547" s="235"/>
      <c r="I1547" s="544"/>
      <c r="J1547" s="119"/>
      <c r="K1547" s="231"/>
      <c r="L1547" s="21"/>
      <c r="M1547" s="21"/>
    </row>
    <row r="1548">
      <c r="A1548" s="230"/>
      <c r="B1548" s="231"/>
      <c r="C1548" s="547"/>
      <c r="D1548" s="546"/>
      <c r="E1548" s="232"/>
      <c r="F1548" s="543"/>
      <c r="G1548" s="330"/>
      <c r="H1548" s="235"/>
      <c r="I1548" s="544"/>
      <c r="J1548" s="119"/>
      <c r="K1548" s="231"/>
      <c r="L1548" s="21"/>
      <c r="M1548" s="21"/>
    </row>
    <row r="1549">
      <c r="A1549" s="230"/>
      <c r="B1549" s="231"/>
      <c r="C1549" s="547"/>
      <c r="D1549" s="546"/>
      <c r="E1549" s="232"/>
      <c r="F1549" s="543"/>
      <c r="G1549" s="330"/>
      <c r="H1549" s="235"/>
      <c r="I1549" s="544"/>
      <c r="J1549" s="119"/>
      <c r="K1549" s="231"/>
      <c r="L1549" s="21"/>
      <c r="M1549" s="21"/>
    </row>
    <row r="1550">
      <c r="A1550" s="230"/>
      <c r="B1550" s="231"/>
      <c r="C1550" s="547"/>
      <c r="D1550" s="546"/>
      <c r="E1550" s="232"/>
      <c r="F1550" s="543"/>
      <c r="G1550" s="330"/>
      <c r="H1550" s="235"/>
      <c r="I1550" s="544"/>
      <c r="J1550" s="119"/>
      <c r="K1550" s="231"/>
      <c r="L1550" s="21"/>
      <c r="M1550" s="21"/>
    </row>
    <row r="1551">
      <c r="A1551" s="230"/>
      <c r="B1551" s="231"/>
      <c r="C1551" s="547"/>
      <c r="D1551" s="546"/>
      <c r="E1551" s="232"/>
      <c r="F1551" s="543"/>
      <c r="G1551" s="330"/>
      <c r="H1551" s="235"/>
      <c r="I1551" s="544"/>
      <c r="J1551" s="119"/>
      <c r="K1551" s="231"/>
      <c r="L1551" s="21"/>
      <c r="M1551" s="21"/>
    </row>
    <row r="1552">
      <c r="A1552" s="230"/>
      <c r="B1552" s="231"/>
      <c r="C1552" s="547"/>
      <c r="D1552" s="546"/>
      <c r="E1552" s="232"/>
      <c r="F1552" s="543"/>
      <c r="G1552" s="330"/>
      <c r="H1552" s="235"/>
      <c r="I1552" s="544"/>
      <c r="J1552" s="119"/>
      <c r="K1552" s="231"/>
      <c r="L1552" s="21"/>
      <c r="M1552" s="21"/>
    </row>
    <row r="1553">
      <c r="A1553" s="230"/>
      <c r="B1553" s="231"/>
      <c r="C1553" s="547"/>
      <c r="D1553" s="546"/>
      <c r="E1553" s="232"/>
      <c r="F1553" s="543"/>
      <c r="G1553" s="330"/>
      <c r="H1553" s="235"/>
      <c r="I1553" s="544"/>
      <c r="J1553" s="119"/>
      <c r="K1553" s="231"/>
      <c r="L1553" s="21"/>
      <c r="M1553" s="21"/>
    </row>
    <row r="1554">
      <c r="A1554" s="230"/>
      <c r="B1554" s="231"/>
      <c r="C1554" s="547"/>
      <c r="D1554" s="546"/>
      <c r="E1554" s="232"/>
      <c r="F1554" s="543"/>
      <c r="G1554" s="330"/>
      <c r="H1554" s="235"/>
      <c r="I1554" s="544"/>
      <c r="J1554" s="119"/>
      <c r="K1554" s="231"/>
      <c r="L1554" s="21"/>
      <c r="M1554" s="21"/>
    </row>
    <row r="1555">
      <c r="A1555" s="230"/>
      <c r="B1555" s="231"/>
      <c r="C1555" s="547"/>
      <c r="D1555" s="546"/>
      <c r="E1555" s="232"/>
      <c r="F1555" s="543"/>
      <c r="G1555" s="330"/>
      <c r="H1555" s="235"/>
      <c r="I1555" s="544"/>
      <c r="J1555" s="119"/>
      <c r="K1555" s="231"/>
      <c r="L1555" s="21"/>
      <c r="M1555" s="21"/>
    </row>
    <row r="1556">
      <c r="A1556" s="230"/>
      <c r="B1556" s="231"/>
      <c r="C1556" s="547"/>
      <c r="D1556" s="546"/>
      <c r="E1556" s="232"/>
      <c r="F1556" s="543"/>
      <c r="G1556" s="330"/>
      <c r="H1556" s="235"/>
      <c r="I1556" s="544"/>
      <c r="J1556" s="119"/>
      <c r="K1556" s="231"/>
      <c r="L1556" s="21"/>
      <c r="M1556" s="21"/>
    </row>
    <row r="1557">
      <c r="A1557" s="230"/>
      <c r="B1557" s="231"/>
      <c r="C1557" s="547"/>
      <c r="D1557" s="546"/>
      <c r="E1557" s="232"/>
      <c r="F1557" s="543"/>
      <c r="G1557" s="330"/>
      <c r="H1557" s="235"/>
      <c r="I1557" s="544"/>
      <c r="J1557" s="119"/>
      <c r="K1557" s="231"/>
      <c r="L1557" s="21"/>
      <c r="M1557" s="21"/>
    </row>
    <row r="1558">
      <c r="A1558" s="230"/>
      <c r="B1558" s="231"/>
      <c r="C1558" s="547"/>
      <c r="D1558" s="546"/>
      <c r="E1558" s="232"/>
      <c r="F1558" s="543"/>
      <c r="G1558" s="330"/>
      <c r="H1558" s="235"/>
      <c r="I1558" s="544"/>
      <c r="J1558" s="119"/>
      <c r="K1558" s="231"/>
      <c r="L1558" s="21"/>
      <c r="M1558" s="21"/>
    </row>
    <row r="1559">
      <c r="A1559" s="230"/>
      <c r="B1559" s="231"/>
      <c r="C1559" s="547"/>
      <c r="D1559" s="546"/>
      <c r="E1559" s="232"/>
      <c r="F1559" s="543"/>
      <c r="G1559" s="330"/>
      <c r="H1559" s="235"/>
      <c r="I1559" s="544"/>
      <c r="J1559" s="119"/>
      <c r="K1559" s="231"/>
      <c r="L1559" s="21"/>
      <c r="M1559" s="21"/>
    </row>
    <row r="1560">
      <c r="A1560" s="230"/>
      <c r="B1560" s="231"/>
      <c r="C1560" s="547"/>
      <c r="D1560" s="546"/>
      <c r="E1560" s="232"/>
      <c r="F1560" s="543"/>
      <c r="G1560" s="330"/>
      <c r="H1560" s="235"/>
      <c r="I1560" s="544"/>
      <c r="J1560" s="119"/>
      <c r="K1560" s="231"/>
      <c r="L1560" s="21"/>
      <c r="M1560" s="21"/>
    </row>
    <row r="1561">
      <c r="A1561" s="230"/>
      <c r="B1561" s="231"/>
      <c r="C1561" s="547"/>
      <c r="D1561" s="546"/>
      <c r="E1561" s="232"/>
      <c r="F1561" s="543"/>
      <c r="G1561" s="330"/>
      <c r="H1561" s="235"/>
      <c r="I1561" s="544"/>
      <c r="J1561" s="119"/>
      <c r="K1561" s="231"/>
      <c r="L1561" s="21"/>
      <c r="M1561" s="21"/>
    </row>
    <row r="1562">
      <c r="A1562" s="230"/>
      <c r="B1562" s="231"/>
      <c r="C1562" s="547"/>
      <c r="D1562" s="546"/>
      <c r="E1562" s="232"/>
      <c r="F1562" s="543"/>
      <c r="G1562" s="330"/>
      <c r="H1562" s="235"/>
      <c r="I1562" s="544"/>
      <c r="J1562" s="119"/>
      <c r="K1562" s="231"/>
      <c r="L1562" s="21"/>
      <c r="M1562" s="21"/>
    </row>
    <row r="1563">
      <c r="A1563" s="230"/>
      <c r="B1563" s="231"/>
      <c r="C1563" s="547"/>
      <c r="D1563" s="546"/>
      <c r="E1563" s="232"/>
      <c r="F1563" s="543"/>
      <c r="G1563" s="330"/>
      <c r="H1563" s="235"/>
      <c r="I1563" s="544"/>
      <c r="J1563" s="119"/>
      <c r="K1563" s="231"/>
      <c r="L1563" s="21"/>
      <c r="M1563" s="21"/>
    </row>
    <row r="1564">
      <c r="A1564" s="230"/>
      <c r="B1564" s="231"/>
      <c r="C1564" s="547"/>
      <c r="D1564" s="546"/>
      <c r="E1564" s="232"/>
      <c r="F1564" s="543"/>
      <c r="G1564" s="330"/>
      <c r="H1564" s="235"/>
      <c r="I1564" s="544"/>
      <c r="J1564" s="119"/>
      <c r="K1564" s="231"/>
      <c r="L1564" s="21"/>
      <c r="M1564" s="21"/>
    </row>
    <row r="1565">
      <c r="A1565" s="230"/>
      <c r="B1565" s="231"/>
      <c r="C1565" s="547"/>
      <c r="D1565" s="546"/>
      <c r="E1565" s="232"/>
      <c r="F1565" s="543"/>
      <c r="G1565" s="330"/>
      <c r="H1565" s="235"/>
      <c r="I1565" s="544"/>
      <c r="J1565" s="119"/>
      <c r="K1565" s="231"/>
      <c r="L1565" s="21"/>
      <c r="M1565" s="21"/>
    </row>
    <row r="1566">
      <c r="A1566" s="230"/>
      <c r="B1566" s="231"/>
      <c r="C1566" s="547"/>
      <c r="D1566" s="546"/>
      <c r="E1566" s="232"/>
      <c r="F1566" s="543"/>
      <c r="G1566" s="330"/>
      <c r="H1566" s="235"/>
      <c r="I1566" s="544"/>
      <c r="J1566" s="119"/>
      <c r="K1566" s="231"/>
      <c r="L1566" s="21"/>
      <c r="M1566" s="21"/>
    </row>
    <row r="1567">
      <c r="A1567" s="230"/>
      <c r="B1567" s="231"/>
      <c r="C1567" s="547"/>
      <c r="D1567" s="546"/>
      <c r="E1567" s="232"/>
      <c r="F1567" s="543"/>
      <c r="G1567" s="330"/>
      <c r="H1567" s="235"/>
      <c r="I1567" s="544"/>
      <c r="J1567" s="119"/>
      <c r="K1567" s="231"/>
      <c r="L1567" s="21"/>
      <c r="M1567" s="21"/>
    </row>
    <row r="1568">
      <c r="A1568" s="230"/>
      <c r="B1568" s="231"/>
      <c r="C1568" s="547"/>
      <c r="D1568" s="546"/>
      <c r="E1568" s="232"/>
      <c r="F1568" s="543"/>
      <c r="G1568" s="330"/>
      <c r="H1568" s="235"/>
      <c r="I1568" s="544"/>
      <c r="J1568" s="119"/>
      <c r="K1568" s="231"/>
      <c r="L1568" s="21"/>
      <c r="M1568" s="21"/>
    </row>
    <row r="1569">
      <c r="A1569" s="230"/>
      <c r="B1569" s="231"/>
      <c r="C1569" s="547"/>
      <c r="D1569" s="546"/>
      <c r="E1569" s="232"/>
      <c r="F1569" s="543"/>
      <c r="G1569" s="330"/>
      <c r="H1569" s="235"/>
      <c r="I1569" s="544"/>
      <c r="J1569" s="119"/>
      <c r="K1569" s="231"/>
      <c r="L1569" s="21"/>
      <c r="M1569" s="21"/>
    </row>
    <row r="1570">
      <c r="A1570" s="230"/>
      <c r="B1570" s="231"/>
      <c r="C1570" s="547"/>
      <c r="D1570" s="546"/>
      <c r="E1570" s="232"/>
      <c r="F1570" s="543"/>
      <c r="G1570" s="330"/>
      <c r="H1570" s="235"/>
      <c r="I1570" s="544"/>
      <c r="J1570" s="119"/>
      <c r="K1570" s="231"/>
      <c r="L1570" s="21"/>
      <c r="M1570" s="21"/>
    </row>
    <row r="1571">
      <c r="A1571" s="230"/>
      <c r="B1571" s="231"/>
      <c r="C1571" s="547"/>
      <c r="D1571" s="546"/>
      <c r="E1571" s="232"/>
      <c r="F1571" s="543"/>
      <c r="G1571" s="330"/>
      <c r="H1571" s="235"/>
      <c r="I1571" s="544"/>
      <c r="J1571" s="119"/>
      <c r="K1571" s="231"/>
      <c r="L1571" s="21"/>
      <c r="M1571" s="21"/>
    </row>
    <row r="1572">
      <c r="A1572" s="230"/>
      <c r="B1572" s="231"/>
      <c r="C1572" s="547"/>
      <c r="D1572" s="546"/>
      <c r="E1572" s="232"/>
      <c r="F1572" s="543"/>
      <c r="G1572" s="330"/>
      <c r="H1572" s="235"/>
      <c r="I1572" s="544"/>
      <c r="J1572" s="119"/>
      <c r="K1572" s="231"/>
      <c r="L1572" s="21"/>
      <c r="M1572" s="21"/>
    </row>
    <row r="1573">
      <c r="A1573" s="230"/>
      <c r="B1573" s="231"/>
      <c r="C1573" s="547"/>
      <c r="D1573" s="546"/>
      <c r="E1573" s="232"/>
      <c r="F1573" s="543"/>
      <c r="G1573" s="330"/>
      <c r="H1573" s="235"/>
      <c r="I1573" s="544"/>
      <c r="J1573" s="119"/>
      <c r="K1573" s="231"/>
      <c r="L1573" s="21"/>
      <c r="M1573" s="21"/>
    </row>
    <row r="1574">
      <c r="A1574" s="230"/>
      <c r="B1574" s="231"/>
      <c r="C1574" s="547"/>
      <c r="D1574" s="546"/>
      <c r="E1574" s="232"/>
      <c r="F1574" s="543"/>
      <c r="G1574" s="330"/>
      <c r="H1574" s="235"/>
      <c r="I1574" s="544"/>
      <c r="J1574" s="119"/>
      <c r="K1574" s="231"/>
      <c r="L1574" s="21"/>
      <c r="M1574" s="21"/>
    </row>
    <row r="1575">
      <c r="A1575" s="230"/>
      <c r="B1575" s="231"/>
      <c r="C1575" s="547"/>
      <c r="D1575" s="546"/>
      <c r="E1575" s="232"/>
      <c r="F1575" s="543"/>
      <c r="G1575" s="330"/>
      <c r="H1575" s="235"/>
      <c r="I1575" s="544"/>
      <c r="J1575" s="119"/>
      <c r="K1575" s="231"/>
      <c r="L1575" s="21"/>
      <c r="M1575" s="21"/>
    </row>
    <row r="1576">
      <c r="A1576" s="230"/>
      <c r="B1576" s="231"/>
      <c r="C1576" s="547"/>
      <c r="D1576" s="546"/>
      <c r="E1576" s="232"/>
      <c r="F1576" s="543"/>
      <c r="G1576" s="330"/>
      <c r="H1576" s="235"/>
      <c r="I1576" s="544"/>
      <c r="J1576" s="119"/>
      <c r="K1576" s="231"/>
      <c r="L1576" s="21"/>
      <c r="M1576" s="21"/>
    </row>
    <row r="1577">
      <c r="A1577" s="230"/>
      <c r="B1577" s="231"/>
      <c r="C1577" s="547"/>
      <c r="D1577" s="546"/>
      <c r="E1577" s="232"/>
      <c r="F1577" s="543"/>
      <c r="G1577" s="330"/>
      <c r="H1577" s="235"/>
      <c r="I1577" s="544"/>
      <c r="J1577" s="119"/>
      <c r="K1577" s="231"/>
      <c r="L1577" s="21"/>
      <c r="M1577" s="21"/>
    </row>
    <row r="1578">
      <c r="A1578" s="230"/>
      <c r="B1578" s="231"/>
      <c r="C1578" s="547"/>
      <c r="D1578" s="546"/>
      <c r="E1578" s="232"/>
      <c r="F1578" s="543"/>
      <c r="G1578" s="330"/>
      <c r="H1578" s="235"/>
      <c r="I1578" s="544"/>
      <c r="J1578" s="119"/>
      <c r="K1578" s="231"/>
      <c r="L1578" s="21"/>
      <c r="M1578" s="21"/>
    </row>
    <row r="1579">
      <c r="A1579" s="230"/>
      <c r="B1579" s="231"/>
      <c r="C1579" s="547"/>
      <c r="D1579" s="546"/>
      <c r="E1579" s="232"/>
      <c r="F1579" s="543"/>
      <c r="G1579" s="330"/>
      <c r="H1579" s="235"/>
      <c r="I1579" s="544"/>
      <c r="J1579" s="119"/>
      <c r="K1579" s="231"/>
      <c r="L1579" s="21"/>
      <c r="M1579" s="21"/>
    </row>
    <row r="1580">
      <c r="A1580" s="230"/>
      <c r="B1580" s="231"/>
      <c r="C1580" s="547"/>
      <c r="D1580" s="546"/>
      <c r="E1580" s="232"/>
      <c r="F1580" s="543"/>
      <c r="G1580" s="330"/>
      <c r="H1580" s="235"/>
      <c r="I1580" s="544"/>
      <c r="J1580" s="119"/>
      <c r="K1580" s="231"/>
      <c r="L1580" s="21"/>
      <c r="M1580" s="21"/>
    </row>
    <row r="1581">
      <c r="A1581" s="230"/>
      <c r="B1581" s="231"/>
      <c r="C1581" s="547"/>
      <c r="D1581" s="546"/>
      <c r="E1581" s="232"/>
      <c r="F1581" s="543"/>
      <c r="G1581" s="330"/>
      <c r="H1581" s="235"/>
      <c r="I1581" s="544"/>
      <c r="J1581" s="119"/>
      <c r="K1581" s="231"/>
      <c r="L1581" s="21"/>
      <c r="M1581" s="21"/>
    </row>
    <row r="1582">
      <c r="A1582" s="230"/>
      <c r="B1582" s="231"/>
      <c r="C1582" s="547"/>
      <c r="D1582" s="546"/>
      <c r="E1582" s="232"/>
      <c r="F1582" s="543"/>
      <c r="G1582" s="330"/>
      <c r="H1582" s="235"/>
      <c r="I1582" s="544"/>
      <c r="J1582" s="119"/>
      <c r="K1582" s="231"/>
      <c r="L1582" s="21"/>
      <c r="M1582" s="21"/>
    </row>
    <row r="1583">
      <c r="A1583" s="230"/>
      <c r="B1583" s="231"/>
      <c r="C1583" s="547"/>
      <c r="D1583" s="546"/>
      <c r="E1583" s="232"/>
      <c r="F1583" s="543"/>
      <c r="G1583" s="330"/>
      <c r="H1583" s="235"/>
      <c r="I1583" s="544"/>
      <c r="J1583" s="119"/>
      <c r="K1583" s="231"/>
      <c r="L1583" s="21"/>
      <c r="M1583" s="21"/>
    </row>
    <row r="1584">
      <c r="A1584" s="230"/>
      <c r="B1584" s="231"/>
      <c r="C1584" s="547"/>
      <c r="D1584" s="546"/>
      <c r="E1584" s="232"/>
      <c r="F1584" s="543"/>
      <c r="G1584" s="330"/>
      <c r="H1584" s="235"/>
      <c r="I1584" s="544"/>
      <c r="J1584" s="119"/>
      <c r="K1584" s="231"/>
      <c r="L1584" s="21"/>
      <c r="M1584" s="21"/>
    </row>
    <row r="1585">
      <c r="A1585" s="230"/>
      <c r="B1585" s="231"/>
      <c r="C1585" s="547"/>
      <c r="D1585" s="546"/>
      <c r="E1585" s="232"/>
      <c r="F1585" s="543"/>
      <c r="G1585" s="330"/>
      <c r="H1585" s="235"/>
      <c r="I1585" s="544"/>
      <c r="J1585" s="119"/>
      <c r="K1585" s="231"/>
      <c r="L1585" s="21"/>
      <c r="M1585" s="21"/>
    </row>
    <row r="1586">
      <c r="A1586" s="230"/>
      <c r="B1586" s="231"/>
      <c r="C1586" s="547"/>
      <c r="D1586" s="546"/>
      <c r="E1586" s="232"/>
      <c r="F1586" s="543"/>
      <c r="G1586" s="330"/>
      <c r="H1586" s="235"/>
      <c r="I1586" s="544"/>
      <c r="J1586" s="119"/>
      <c r="K1586" s="231"/>
      <c r="L1586" s="21"/>
      <c r="M1586" s="21"/>
    </row>
    <row r="1587">
      <c r="A1587" s="230"/>
      <c r="B1587" s="231"/>
      <c r="C1587" s="547"/>
      <c r="D1587" s="546"/>
      <c r="E1587" s="232"/>
      <c r="F1587" s="543"/>
      <c r="G1587" s="330"/>
      <c r="H1587" s="235"/>
      <c r="I1587" s="544"/>
      <c r="J1587" s="119"/>
      <c r="K1587" s="231"/>
      <c r="L1587" s="21"/>
      <c r="M1587" s="21"/>
    </row>
    <row r="1588">
      <c r="A1588" s="230"/>
      <c r="B1588" s="231"/>
      <c r="C1588" s="547"/>
      <c r="D1588" s="546"/>
      <c r="E1588" s="232"/>
      <c r="F1588" s="543"/>
      <c r="G1588" s="330"/>
      <c r="H1588" s="235"/>
      <c r="I1588" s="544"/>
      <c r="J1588" s="119"/>
      <c r="K1588" s="231"/>
      <c r="L1588" s="21"/>
      <c r="M1588" s="21"/>
    </row>
    <row r="1589">
      <c r="A1589" s="230"/>
      <c r="B1589" s="231"/>
      <c r="C1589" s="547"/>
      <c r="D1589" s="546"/>
      <c r="E1589" s="232"/>
      <c r="F1589" s="543"/>
      <c r="G1589" s="330"/>
      <c r="H1589" s="235"/>
      <c r="I1589" s="544"/>
      <c r="J1589" s="119"/>
      <c r="K1589" s="231"/>
      <c r="L1589" s="21"/>
      <c r="M1589" s="21"/>
    </row>
    <row r="1590">
      <c r="A1590" s="230"/>
      <c r="B1590" s="231"/>
      <c r="C1590" s="547"/>
      <c r="D1590" s="546"/>
      <c r="E1590" s="232"/>
      <c r="F1590" s="543"/>
      <c r="G1590" s="330"/>
      <c r="H1590" s="235"/>
      <c r="I1590" s="544"/>
      <c r="J1590" s="119"/>
      <c r="K1590" s="231"/>
      <c r="L1590" s="21"/>
      <c r="M1590" s="21"/>
    </row>
    <row r="1591">
      <c r="A1591" s="230"/>
      <c r="B1591" s="231"/>
      <c r="C1591" s="547"/>
      <c r="D1591" s="546"/>
      <c r="E1591" s="232"/>
      <c r="F1591" s="543"/>
      <c r="G1591" s="330"/>
      <c r="H1591" s="235"/>
      <c r="I1591" s="544"/>
      <c r="J1591" s="119"/>
      <c r="K1591" s="231"/>
      <c r="L1591" s="21"/>
      <c r="M1591" s="21"/>
    </row>
    <row r="1592">
      <c r="A1592" s="230"/>
      <c r="B1592" s="231"/>
      <c r="C1592" s="547"/>
      <c r="D1592" s="546"/>
      <c r="E1592" s="232"/>
      <c r="F1592" s="543"/>
      <c r="G1592" s="330"/>
      <c r="H1592" s="235"/>
      <c r="I1592" s="544"/>
      <c r="J1592" s="119"/>
      <c r="K1592" s="231"/>
      <c r="L1592" s="21"/>
      <c r="M1592" s="21"/>
    </row>
    <row r="1593">
      <c r="A1593" s="230"/>
      <c r="B1593" s="231"/>
      <c r="C1593" s="547"/>
      <c r="D1593" s="546"/>
      <c r="E1593" s="232"/>
      <c r="F1593" s="543"/>
      <c r="G1593" s="330"/>
      <c r="H1593" s="235"/>
      <c r="I1593" s="544"/>
      <c r="J1593" s="119"/>
      <c r="K1593" s="231"/>
      <c r="L1593" s="21"/>
      <c r="M1593" s="21"/>
    </row>
    <row r="1594">
      <c r="A1594" s="230"/>
      <c r="B1594" s="231"/>
      <c r="C1594" s="547"/>
      <c r="D1594" s="546"/>
      <c r="E1594" s="232"/>
      <c r="F1594" s="543"/>
      <c r="G1594" s="330"/>
      <c r="H1594" s="235"/>
      <c r="I1594" s="544"/>
      <c r="J1594" s="119"/>
      <c r="K1594" s="231"/>
      <c r="L1594" s="21"/>
      <c r="M1594" s="21"/>
    </row>
    <row r="1595">
      <c r="A1595" s="230"/>
      <c r="B1595" s="231"/>
      <c r="C1595" s="547"/>
      <c r="D1595" s="546"/>
      <c r="E1595" s="232"/>
      <c r="F1595" s="543"/>
      <c r="G1595" s="330"/>
      <c r="H1595" s="235"/>
      <c r="I1595" s="544"/>
      <c r="J1595" s="119"/>
      <c r="K1595" s="231"/>
      <c r="L1595" s="21"/>
      <c r="M1595" s="21"/>
    </row>
    <row r="1596">
      <c r="A1596" s="230"/>
      <c r="B1596" s="231"/>
      <c r="C1596" s="547"/>
      <c r="D1596" s="546"/>
      <c r="E1596" s="232"/>
      <c r="F1596" s="543"/>
      <c r="G1596" s="330"/>
      <c r="H1596" s="235"/>
      <c r="I1596" s="544"/>
      <c r="J1596" s="119"/>
      <c r="K1596" s="231"/>
      <c r="L1596" s="21"/>
      <c r="M1596" s="21"/>
    </row>
    <row r="1597">
      <c r="A1597" s="230"/>
      <c r="B1597" s="231"/>
      <c r="C1597" s="547"/>
      <c r="D1597" s="546"/>
      <c r="E1597" s="232"/>
      <c r="F1597" s="543"/>
      <c r="G1597" s="330"/>
      <c r="H1597" s="235"/>
      <c r="I1597" s="544"/>
      <c r="J1597" s="119"/>
      <c r="K1597" s="231"/>
      <c r="L1597" s="21"/>
      <c r="M1597" s="21"/>
    </row>
    <row r="1598">
      <c r="A1598" s="230"/>
      <c r="B1598" s="231"/>
      <c r="C1598" s="547"/>
      <c r="D1598" s="546"/>
      <c r="E1598" s="232"/>
      <c r="F1598" s="543"/>
      <c r="G1598" s="330"/>
      <c r="H1598" s="235"/>
      <c r="I1598" s="544"/>
      <c r="J1598" s="119"/>
      <c r="K1598" s="231"/>
      <c r="L1598" s="21"/>
      <c r="M1598" s="21"/>
    </row>
    <row r="1599">
      <c r="A1599" s="230"/>
      <c r="B1599" s="231"/>
      <c r="C1599" s="547"/>
      <c r="D1599" s="546"/>
      <c r="E1599" s="232"/>
      <c r="F1599" s="543"/>
      <c r="G1599" s="330"/>
      <c r="H1599" s="235"/>
      <c r="I1599" s="544"/>
      <c r="J1599" s="119"/>
      <c r="K1599" s="231"/>
      <c r="L1599" s="21"/>
      <c r="M1599" s="21"/>
    </row>
    <row r="1600">
      <c r="A1600" s="230"/>
      <c r="B1600" s="231"/>
      <c r="C1600" s="547"/>
      <c r="D1600" s="546"/>
      <c r="E1600" s="232"/>
      <c r="F1600" s="543"/>
      <c r="G1600" s="330"/>
      <c r="H1600" s="235"/>
      <c r="I1600" s="544"/>
      <c r="J1600" s="119"/>
      <c r="K1600" s="231"/>
      <c r="L1600" s="21"/>
      <c r="M1600" s="21"/>
    </row>
    <row r="1601">
      <c r="A1601" s="230"/>
      <c r="B1601" s="231"/>
      <c r="C1601" s="547"/>
      <c r="D1601" s="546"/>
      <c r="E1601" s="232"/>
      <c r="F1601" s="543"/>
      <c r="G1601" s="330"/>
      <c r="H1601" s="235"/>
      <c r="I1601" s="544"/>
      <c r="J1601" s="119"/>
      <c r="K1601" s="231"/>
      <c r="L1601" s="21"/>
      <c r="M1601" s="21"/>
    </row>
    <row r="1602">
      <c r="A1602" s="230"/>
      <c r="B1602" s="231"/>
      <c r="C1602" s="547"/>
      <c r="D1602" s="546"/>
      <c r="E1602" s="232"/>
      <c r="F1602" s="543"/>
      <c r="G1602" s="330"/>
      <c r="H1602" s="235"/>
      <c r="I1602" s="544"/>
      <c r="J1602" s="119"/>
      <c r="K1602" s="231"/>
      <c r="L1602" s="21"/>
      <c r="M1602" s="21"/>
    </row>
    <row r="1603">
      <c r="A1603" s="230"/>
      <c r="B1603" s="231"/>
      <c r="C1603" s="547"/>
      <c r="D1603" s="546"/>
      <c r="E1603" s="232"/>
      <c r="F1603" s="543"/>
      <c r="G1603" s="330"/>
      <c r="H1603" s="235"/>
      <c r="I1603" s="544"/>
      <c r="J1603" s="119"/>
      <c r="K1603" s="231"/>
      <c r="L1603" s="21"/>
      <c r="M1603" s="21"/>
    </row>
    <row r="1604">
      <c r="A1604" s="230"/>
      <c r="B1604" s="231"/>
      <c r="C1604" s="547"/>
      <c r="D1604" s="546"/>
      <c r="E1604" s="232"/>
      <c r="F1604" s="543"/>
      <c r="G1604" s="330"/>
      <c r="H1604" s="235"/>
      <c r="I1604" s="544"/>
      <c r="J1604" s="119"/>
      <c r="K1604" s="231"/>
      <c r="L1604" s="21"/>
      <c r="M1604" s="21"/>
    </row>
    <row r="1605">
      <c r="A1605" s="230"/>
      <c r="B1605" s="231"/>
      <c r="C1605" s="547"/>
      <c r="D1605" s="546"/>
      <c r="E1605" s="232"/>
      <c r="F1605" s="543"/>
      <c r="G1605" s="330"/>
      <c r="H1605" s="235"/>
      <c r="I1605" s="544"/>
      <c r="J1605" s="119"/>
      <c r="K1605" s="231"/>
      <c r="L1605" s="21"/>
      <c r="M1605" s="21"/>
    </row>
    <row r="1606">
      <c r="A1606" s="230"/>
      <c r="B1606" s="231"/>
      <c r="C1606" s="547"/>
      <c r="D1606" s="546"/>
      <c r="E1606" s="232"/>
      <c r="F1606" s="543"/>
      <c r="G1606" s="330"/>
      <c r="H1606" s="235"/>
      <c r="I1606" s="544"/>
      <c r="J1606" s="119"/>
      <c r="K1606" s="231"/>
      <c r="L1606" s="21"/>
      <c r="M1606" s="21"/>
    </row>
    <row r="1607">
      <c r="A1607" s="230"/>
      <c r="B1607" s="231"/>
      <c r="C1607" s="547"/>
      <c r="D1607" s="546"/>
      <c r="E1607" s="232"/>
      <c r="F1607" s="543"/>
      <c r="G1607" s="330"/>
      <c r="H1607" s="235"/>
      <c r="I1607" s="544"/>
      <c r="J1607" s="119"/>
      <c r="K1607" s="231"/>
      <c r="L1607" s="21"/>
      <c r="M1607" s="21"/>
    </row>
    <row r="1608">
      <c r="A1608" s="230"/>
      <c r="B1608" s="231"/>
      <c r="C1608" s="547"/>
      <c r="D1608" s="546"/>
      <c r="E1608" s="232"/>
      <c r="F1608" s="543"/>
      <c r="G1608" s="330"/>
      <c r="H1608" s="235"/>
      <c r="I1608" s="544"/>
      <c r="J1608" s="119"/>
      <c r="K1608" s="231"/>
      <c r="L1608" s="21"/>
      <c r="M1608" s="21"/>
    </row>
    <row r="1609">
      <c r="A1609" s="230"/>
      <c r="B1609" s="231"/>
      <c r="C1609" s="547"/>
      <c r="D1609" s="546"/>
      <c r="E1609" s="232"/>
      <c r="F1609" s="543"/>
      <c r="G1609" s="330"/>
      <c r="H1609" s="235"/>
      <c r="I1609" s="544"/>
      <c r="J1609" s="119"/>
      <c r="K1609" s="231"/>
      <c r="L1609" s="21"/>
      <c r="M1609" s="21"/>
    </row>
    <row r="1610">
      <c r="A1610" s="230"/>
      <c r="B1610" s="231"/>
      <c r="C1610" s="547"/>
      <c r="D1610" s="546"/>
      <c r="E1610" s="232"/>
      <c r="F1610" s="543"/>
      <c r="G1610" s="330"/>
      <c r="H1610" s="235"/>
      <c r="I1610" s="544"/>
      <c r="J1610" s="119"/>
      <c r="K1610" s="231"/>
      <c r="L1610" s="21"/>
      <c r="M1610" s="21"/>
    </row>
    <row r="1611">
      <c r="A1611" s="230"/>
      <c r="B1611" s="231"/>
      <c r="C1611" s="547"/>
      <c r="D1611" s="546"/>
      <c r="E1611" s="232"/>
      <c r="F1611" s="543"/>
      <c r="G1611" s="330"/>
      <c r="H1611" s="235"/>
      <c r="I1611" s="544"/>
      <c r="J1611" s="119"/>
      <c r="K1611" s="231"/>
      <c r="L1611" s="21"/>
      <c r="M1611" s="21"/>
    </row>
    <row r="1612">
      <c r="A1612" s="230"/>
      <c r="B1612" s="231"/>
      <c r="C1612" s="547"/>
      <c r="D1612" s="546"/>
      <c r="E1612" s="232"/>
      <c r="F1612" s="543"/>
      <c r="G1612" s="330"/>
      <c r="H1612" s="235"/>
      <c r="I1612" s="544"/>
      <c r="J1612" s="119"/>
      <c r="K1612" s="231"/>
      <c r="L1612" s="21"/>
      <c r="M1612" s="21"/>
    </row>
    <row r="1613">
      <c r="A1613" s="230"/>
      <c r="B1613" s="231"/>
      <c r="C1613" s="547"/>
      <c r="D1613" s="546"/>
      <c r="E1613" s="232"/>
      <c r="F1613" s="543"/>
      <c r="G1613" s="330"/>
      <c r="H1613" s="235"/>
      <c r="I1613" s="544"/>
      <c r="J1613" s="119"/>
      <c r="K1613" s="231"/>
      <c r="L1613" s="21"/>
      <c r="M1613" s="21"/>
    </row>
    <row r="1614">
      <c r="A1614" s="230"/>
      <c r="B1614" s="231"/>
      <c r="C1614" s="547"/>
      <c r="D1614" s="546"/>
      <c r="E1614" s="232"/>
      <c r="F1614" s="543"/>
      <c r="G1614" s="330"/>
      <c r="H1614" s="235"/>
      <c r="I1614" s="544"/>
      <c r="J1614" s="119"/>
      <c r="K1614" s="231"/>
      <c r="L1614" s="21"/>
      <c r="M1614" s="21"/>
    </row>
    <row r="1615">
      <c r="A1615" s="230"/>
      <c r="B1615" s="231"/>
      <c r="C1615" s="547"/>
      <c r="D1615" s="546"/>
      <c r="E1615" s="232"/>
      <c r="F1615" s="543"/>
      <c r="G1615" s="330"/>
      <c r="H1615" s="235"/>
      <c r="I1615" s="544"/>
      <c r="J1615" s="119"/>
      <c r="K1615" s="231"/>
      <c r="L1615" s="21"/>
      <c r="M1615" s="21"/>
    </row>
    <row r="1616">
      <c r="A1616" s="230"/>
      <c r="B1616" s="231"/>
      <c r="C1616" s="547"/>
      <c r="D1616" s="546"/>
      <c r="E1616" s="232"/>
      <c r="F1616" s="543"/>
      <c r="G1616" s="330"/>
      <c r="H1616" s="235"/>
      <c r="I1616" s="544"/>
      <c r="J1616" s="119"/>
      <c r="K1616" s="231"/>
      <c r="L1616" s="21"/>
      <c r="M1616" s="21"/>
    </row>
    <row r="1617">
      <c r="A1617" s="230"/>
      <c r="B1617" s="231"/>
      <c r="C1617" s="547"/>
      <c r="D1617" s="546"/>
      <c r="E1617" s="232"/>
      <c r="F1617" s="543"/>
      <c r="G1617" s="330"/>
      <c r="H1617" s="235"/>
      <c r="I1617" s="544"/>
      <c r="J1617" s="119"/>
      <c r="K1617" s="231"/>
      <c r="L1617" s="21"/>
      <c r="M1617" s="21"/>
    </row>
    <row r="1618">
      <c r="A1618" s="230"/>
      <c r="B1618" s="231"/>
      <c r="C1618" s="547"/>
      <c r="D1618" s="546"/>
      <c r="E1618" s="232"/>
      <c r="F1618" s="543"/>
      <c r="G1618" s="330"/>
      <c r="H1618" s="235"/>
      <c r="I1618" s="544"/>
      <c r="J1618" s="119"/>
      <c r="K1618" s="231"/>
      <c r="L1618" s="21"/>
      <c r="M1618" s="21"/>
    </row>
    <row r="1619">
      <c r="A1619" s="230"/>
      <c r="B1619" s="231"/>
      <c r="C1619" s="547"/>
      <c r="D1619" s="546"/>
      <c r="E1619" s="232"/>
      <c r="F1619" s="543"/>
      <c r="G1619" s="330"/>
      <c r="H1619" s="235"/>
      <c r="I1619" s="544"/>
      <c r="J1619" s="119"/>
      <c r="K1619" s="231"/>
      <c r="L1619" s="21"/>
      <c r="M1619" s="21"/>
    </row>
    <row r="1620">
      <c r="A1620" s="230"/>
      <c r="B1620" s="231"/>
      <c r="C1620" s="547"/>
      <c r="D1620" s="546"/>
      <c r="E1620" s="232"/>
      <c r="F1620" s="543"/>
      <c r="G1620" s="330"/>
      <c r="H1620" s="235"/>
      <c r="I1620" s="544"/>
      <c r="J1620" s="119"/>
      <c r="K1620" s="231"/>
      <c r="L1620" s="21"/>
      <c r="M1620" s="21"/>
    </row>
    <row r="1621">
      <c r="A1621" s="230"/>
      <c r="B1621" s="231"/>
      <c r="C1621" s="547"/>
      <c r="D1621" s="546"/>
      <c r="E1621" s="232"/>
      <c r="F1621" s="543"/>
      <c r="G1621" s="330"/>
      <c r="H1621" s="235"/>
      <c r="I1621" s="544"/>
      <c r="J1621" s="119"/>
      <c r="K1621" s="231"/>
      <c r="L1621" s="21"/>
      <c r="M1621" s="21"/>
    </row>
    <row r="1622">
      <c r="A1622" s="230"/>
      <c r="B1622" s="231"/>
      <c r="C1622" s="547"/>
      <c r="D1622" s="546"/>
      <c r="E1622" s="232"/>
      <c r="F1622" s="543"/>
      <c r="G1622" s="330"/>
      <c r="H1622" s="235"/>
      <c r="I1622" s="544"/>
      <c r="J1622" s="119"/>
      <c r="K1622" s="231"/>
      <c r="L1622" s="21"/>
      <c r="M1622" s="21"/>
    </row>
    <row r="1623">
      <c r="A1623" s="230"/>
      <c r="B1623" s="231"/>
      <c r="C1623" s="547"/>
      <c r="D1623" s="546"/>
      <c r="E1623" s="232"/>
      <c r="F1623" s="543"/>
      <c r="G1623" s="330"/>
      <c r="H1623" s="235"/>
      <c r="I1623" s="544"/>
      <c r="J1623" s="119"/>
      <c r="K1623" s="231"/>
      <c r="L1623" s="21"/>
      <c r="M1623" s="21"/>
    </row>
    <row r="1624">
      <c r="A1624" s="230"/>
      <c r="B1624" s="231"/>
      <c r="C1624" s="547"/>
      <c r="D1624" s="546"/>
      <c r="E1624" s="232"/>
      <c r="F1624" s="543"/>
      <c r="G1624" s="330"/>
      <c r="H1624" s="235"/>
      <c r="I1624" s="544"/>
      <c r="J1624" s="119"/>
      <c r="K1624" s="231"/>
      <c r="L1624" s="21"/>
      <c r="M1624" s="21"/>
    </row>
    <row r="1625">
      <c r="A1625" s="230"/>
      <c r="B1625" s="231"/>
      <c r="C1625" s="547"/>
      <c r="D1625" s="546"/>
      <c r="E1625" s="232"/>
      <c r="F1625" s="543"/>
      <c r="G1625" s="330"/>
      <c r="H1625" s="235"/>
      <c r="I1625" s="544"/>
      <c r="J1625" s="119"/>
      <c r="K1625" s="231"/>
      <c r="L1625" s="21"/>
      <c r="M1625" s="21"/>
    </row>
    <row r="1626">
      <c r="A1626" s="230"/>
      <c r="B1626" s="231"/>
      <c r="C1626" s="547"/>
      <c r="D1626" s="546"/>
      <c r="E1626" s="232"/>
      <c r="F1626" s="543"/>
      <c r="G1626" s="330"/>
      <c r="H1626" s="235"/>
      <c r="I1626" s="544"/>
      <c r="J1626" s="119"/>
      <c r="K1626" s="231"/>
      <c r="L1626" s="21"/>
      <c r="M1626" s="21"/>
    </row>
    <row r="1627">
      <c r="A1627" s="230"/>
      <c r="B1627" s="231"/>
      <c r="C1627" s="547"/>
      <c r="D1627" s="546"/>
      <c r="E1627" s="232"/>
      <c r="F1627" s="543"/>
      <c r="G1627" s="330"/>
      <c r="H1627" s="235"/>
      <c r="I1627" s="544"/>
      <c r="J1627" s="119"/>
      <c r="K1627" s="231"/>
      <c r="L1627" s="21"/>
      <c r="M1627" s="21"/>
    </row>
    <row r="1628">
      <c r="A1628" s="230"/>
      <c r="B1628" s="231"/>
      <c r="C1628" s="547"/>
      <c r="D1628" s="546"/>
      <c r="E1628" s="232"/>
      <c r="F1628" s="543"/>
      <c r="G1628" s="330"/>
      <c r="H1628" s="235"/>
      <c r="I1628" s="544"/>
      <c r="J1628" s="119"/>
      <c r="K1628" s="231"/>
      <c r="L1628" s="21"/>
      <c r="M1628" s="21"/>
    </row>
    <row r="1629">
      <c r="A1629" s="230"/>
      <c r="B1629" s="231"/>
      <c r="C1629" s="547"/>
      <c r="D1629" s="546"/>
      <c r="E1629" s="232"/>
      <c r="F1629" s="543"/>
      <c r="G1629" s="330"/>
      <c r="H1629" s="235"/>
      <c r="I1629" s="544"/>
      <c r="J1629" s="119"/>
      <c r="K1629" s="231"/>
      <c r="L1629" s="21"/>
      <c r="M1629" s="21"/>
    </row>
    <row r="1630">
      <c r="A1630" s="230"/>
      <c r="B1630" s="231"/>
      <c r="C1630" s="547"/>
      <c r="D1630" s="546"/>
      <c r="E1630" s="232"/>
      <c r="F1630" s="543"/>
      <c r="G1630" s="330"/>
      <c r="H1630" s="235"/>
      <c r="I1630" s="544"/>
      <c r="J1630" s="119"/>
      <c r="K1630" s="231"/>
      <c r="L1630" s="21"/>
      <c r="M1630" s="21"/>
    </row>
    <row r="1631">
      <c r="A1631" s="230"/>
      <c r="B1631" s="231"/>
      <c r="C1631" s="547"/>
      <c r="D1631" s="546"/>
      <c r="E1631" s="232"/>
      <c r="F1631" s="543"/>
      <c r="G1631" s="330"/>
      <c r="H1631" s="235"/>
      <c r="I1631" s="544"/>
      <c r="J1631" s="119"/>
      <c r="K1631" s="231"/>
      <c r="L1631" s="21"/>
      <c r="M1631" s="21"/>
    </row>
    <row r="1632">
      <c r="A1632" s="230"/>
      <c r="B1632" s="231"/>
      <c r="C1632" s="547"/>
      <c r="D1632" s="546"/>
      <c r="E1632" s="232"/>
      <c r="F1632" s="543"/>
      <c r="G1632" s="330"/>
      <c r="H1632" s="235"/>
      <c r="I1632" s="544"/>
      <c r="J1632" s="119"/>
      <c r="K1632" s="231"/>
      <c r="L1632" s="21"/>
      <c r="M1632" s="21"/>
    </row>
    <row r="1633">
      <c r="A1633" s="230"/>
      <c r="B1633" s="231"/>
      <c r="C1633" s="547"/>
      <c r="D1633" s="546"/>
      <c r="E1633" s="232"/>
      <c r="F1633" s="543"/>
      <c r="G1633" s="330"/>
      <c r="H1633" s="235"/>
      <c r="I1633" s="544"/>
      <c r="J1633" s="119"/>
      <c r="K1633" s="231"/>
      <c r="L1633" s="21"/>
      <c r="M1633" s="21"/>
    </row>
    <row r="1634">
      <c r="A1634" s="230"/>
      <c r="B1634" s="231"/>
      <c r="C1634" s="547"/>
      <c r="D1634" s="546"/>
      <c r="E1634" s="232"/>
      <c r="F1634" s="543"/>
      <c r="G1634" s="330"/>
      <c r="H1634" s="235"/>
      <c r="I1634" s="544"/>
      <c r="J1634" s="119"/>
      <c r="K1634" s="231"/>
      <c r="L1634" s="21"/>
      <c r="M1634" s="21"/>
    </row>
    <row r="1635">
      <c r="A1635" s="230"/>
      <c r="B1635" s="231"/>
      <c r="C1635" s="547"/>
      <c r="D1635" s="546"/>
      <c r="E1635" s="232"/>
      <c r="F1635" s="543"/>
      <c r="G1635" s="330"/>
      <c r="H1635" s="235"/>
      <c r="I1635" s="544"/>
      <c r="J1635" s="119"/>
      <c r="K1635" s="231"/>
      <c r="L1635" s="21"/>
      <c r="M1635" s="21"/>
    </row>
    <row r="1636">
      <c r="A1636" s="230"/>
      <c r="B1636" s="231"/>
      <c r="C1636" s="547"/>
      <c r="D1636" s="546"/>
      <c r="E1636" s="232"/>
      <c r="F1636" s="543"/>
      <c r="G1636" s="330"/>
      <c r="H1636" s="235"/>
      <c r="I1636" s="544"/>
      <c r="J1636" s="119"/>
      <c r="K1636" s="231"/>
      <c r="L1636" s="21"/>
      <c r="M1636" s="21"/>
    </row>
    <row r="1637">
      <c r="A1637" s="230"/>
      <c r="B1637" s="231"/>
      <c r="C1637" s="547"/>
      <c r="D1637" s="546"/>
      <c r="E1637" s="232"/>
      <c r="F1637" s="543"/>
      <c r="G1637" s="330"/>
      <c r="H1637" s="235"/>
      <c r="I1637" s="544"/>
      <c r="J1637" s="119"/>
      <c r="K1637" s="231"/>
      <c r="L1637" s="21"/>
      <c r="M1637" s="21"/>
    </row>
    <row r="1638">
      <c r="A1638" s="230"/>
      <c r="B1638" s="231"/>
      <c r="C1638" s="547"/>
      <c r="D1638" s="546"/>
      <c r="E1638" s="232"/>
      <c r="F1638" s="543"/>
      <c r="G1638" s="330"/>
      <c r="H1638" s="235"/>
      <c r="I1638" s="544"/>
      <c r="J1638" s="119"/>
      <c r="K1638" s="231"/>
      <c r="L1638" s="21"/>
      <c r="M1638" s="21"/>
    </row>
    <row r="1639">
      <c r="A1639" s="230"/>
      <c r="B1639" s="231"/>
      <c r="C1639" s="547"/>
      <c r="D1639" s="546"/>
      <c r="E1639" s="232"/>
      <c r="F1639" s="543"/>
      <c r="G1639" s="330"/>
      <c r="H1639" s="235"/>
      <c r="I1639" s="544"/>
      <c r="J1639" s="119"/>
      <c r="K1639" s="231"/>
      <c r="L1639" s="21"/>
      <c r="M1639" s="21"/>
    </row>
    <row r="1640">
      <c r="A1640" s="230"/>
      <c r="B1640" s="231"/>
      <c r="C1640" s="547"/>
      <c r="D1640" s="546"/>
      <c r="E1640" s="232"/>
      <c r="F1640" s="543"/>
      <c r="G1640" s="330"/>
      <c r="H1640" s="235"/>
      <c r="I1640" s="544"/>
      <c r="J1640" s="119"/>
      <c r="K1640" s="231"/>
      <c r="L1640" s="21"/>
      <c r="M1640" s="21"/>
    </row>
    <row r="1641">
      <c r="A1641" s="230"/>
      <c r="B1641" s="231"/>
      <c r="C1641" s="547"/>
      <c r="D1641" s="546"/>
      <c r="E1641" s="232"/>
      <c r="F1641" s="543"/>
      <c r="G1641" s="330"/>
      <c r="H1641" s="235"/>
      <c r="I1641" s="544"/>
      <c r="J1641" s="119"/>
      <c r="K1641" s="231"/>
      <c r="L1641" s="21"/>
      <c r="M1641" s="21"/>
    </row>
    <row r="1642">
      <c r="A1642" s="230"/>
      <c r="B1642" s="231"/>
      <c r="C1642" s="547"/>
      <c r="D1642" s="546"/>
      <c r="E1642" s="232"/>
      <c r="F1642" s="543"/>
      <c r="G1642" s="330"/>
      <c r="H1642" s="235"/>
      <c r="I1642" s="544"/>
      <c r="J1642" s="119"/>
      <c r="K1642" s="231"/>
      <c r="L1642" s="21"/>
      <c r="M1642" s="21"/>
    </row>
    <row r="1643">
      <c r="A1643" s="230"/>
      <c r="B1643" s="231"/>
      <c r="C1643" s="547"/>
      <c r="D1643" s="546"/>
      <c r="E1643" s="232"/>
      <c r="F1643" s="543"/>
      <c r="G1643" s="330"/>
      <c r="H1643" s="235"/>
      <c r="I1643" s="544"/>
      <c r="J1643" s="119"/>
      <c r="K1643" s="231"/>
      <c r="L1643" s="21"/>
      <c r="M1643" s="21"/>
    </row>
    <row r="1644">
      <c r="A1644" s="230"/>
      <c r="B1644" s="231"/>
      <c r="C1644" s="547"/>
      <c r="D1644" s="546"/>
      <c r="E1644" s="232"/>
      <c r="F1644" s="543"/>
      <c r="G1644" s="330"/>
      <c r="H1644" s="235"/>
      <c r="I1644" s="544"/>
      <c r="J1644" s="119"/>
      <c r="K1644" s="231"/>
      <c r="L1644" s="21"/>
      <c r="M1644" s="21"/>
    </row>
    <row r="1645">
      <c r="A1645" s="230"/>
      <c r="B1645" s="231"/>
      <c r="C1645" s="547"/>
      <c r="D1645" s="546"/>
      <c r="E1645" s="232"/>
      <c r="F1645" s="543"/>
      <c r="G1645" s="330"/>
      <c r="H1645" s="235"/>
      <c r="I1645" s="544"/>
      <c r="J1645" s="119"/>
      <c r="K1645" s="231"/>
      <c r="L1645" s="21"/>
      <c r="M1645" s="21"/>
    </row>
    <row r="1646">
      <c r="A1646" s="230"/>
      <c r="B1646" s="231"/>
      <c r="C1646" s="547"/>
      <c r="D1646" s="546"/>
      <c r="E1646" s="232"/>
      <c r="F1646" s="543"/>
      <c r="G1646" s="330"/>
      <c r="H1646" s="235"/>
      <c r="I1646" s="544"/>
      <c r="J1646" s="119"/>
      <c r="K1646" s="231"/>
      <c r="L1646" s="21"/>
      <c r="M1646" s="21"/>
    </row>
    <row r="1647">
      <c r="A1647" s="230"/>
      <c r="B1647" s="231"/>
      <c r="C1647" s="547"/>
      <c r="D1647" s="546"/>
      <c r="E1647" s="232"/>
      <c r="F1647" s="543"/>
      <c r="G1647" s="330"/>
      <c r="H1647" s="235"/>
      <c r="I1647" s="544"/>
      <c r="J1647" s="119"/>
      <c r="K1647" s="231"/>
      <c r="L1647" s="21"/>
      <c r="M1647" s="21"/>
    </row>
    <row r="1648">
      <c r="A1648" s="230"/>
      <c r="B1648" s="231"/>
      <c r="C1648" s="547"/>
      <c r="D1648" s="546"/>
      <c r="E1648" s="232"/>
      <c r="F1648" s="543"/>
      <c r="G1648" s="330"/>
      <c r="H1648" s="235"/>
      <c r="I1648" s="544"/>
      <c r="J1648" s="119"/>
      <c r="K1648" s="231"/>
      <c r="L1648" s="21"/>
      <c r="M1648" s="21"/>
    </row>
    <row r="1649">
      <c r="A1649" s="230"/>
      <c r="B1649" s="231"/>
      <c r="C1649" s="547"/>
      <c r="D1649" s="546"/>
      <c r="E1649" s="232"/>
      <c r="F1649" s="543"/>
      <c r="G1649" s="330"/>
      <c r="H1649" s="235"/>
      <c r="I1649" s="544"/>
      <c r="J1649" s="119"/>
      <c r="K1649" s="231"/>
      <c r="L1649" s="21"/>
      <c r="M1649" s="21"/>
    </row>
    <row r="1650">
      <c r="A1650" s="230"/>
      <c r="B1650" s="231"/>
      <c r="C1650" s="547"/>
      <c r="D1650" s="546"/>
      <c r="E1650" s="232"/>
      <c r="F1650" s="543"/>
      <c r="G1650" s="330"/>
      <c r="H1650" s="235"/>
      <c r="I1650" s="544"/>
      <c r="J1650" s="119"/>
      <c r="K1650" s="231"/>
      <c r="L1650" s="21"/>
      <c r="M1650" s="21"/>
    </row>
    <row r="1651">
      <c r="A1651" s="230"/>
      <c r="B1651" s="231"/>
      <c r="C1651" s="547"/>
      <c r="D1651" s="546"/>
      <c r="E1651" s="232"/>
      <c r="F1651" s="543"/>
      <c r="G1651" s="330"/>
      <c r="H1651" s="235"/>
      <c r="I1651" s="544"/>
      <c r="J1651" s="119"/>
      <c r="K1651" s="231"/>
      <c r="L1651" s="21"/>
      <c r="M1651" s="21"/>
    </row>
    <row r="1652">
      <c r="A1652" s="230"/>
      <c r="B1652" s="231"/>
      <c r="C1652" s="547"/>
      <c r="D1652" s="546"/>
      <c r="E1652" s="232"/>
      <c r="F1652" s="543"/>
      <c r="G1652" s="330"/>
      <c r="H1652" s="235"/>
      <c r="I1652" s="544"/>
      <c r="J1652" s="119"/>
      <c r="K1652" s="231"/>
      <c r="L1652" s="21"/>
      <c r="M1652" s="21"/>
    </row>
    <row r="1653">
      <c r="A1653" s="230"/>
      <c r="B1653" s="231"/>
      <c r="C1653" s="547"/>
      <c r="D1653" s="546"/>
      <c r="E1653" s="232"/>
      <c r="F1653" s="543"/>
      <c r="G1653" s="330"/>
      <c r="H1653" s="235"/>
      <c r="I1653" s="544"/>
      <c r="J1653" s="119"/>
      <c r="K1653" s="231"/>
      <c r="L1653" s="21"/>
      <c r="M1653" s="21"/>
    </row>
    <row r="1654">
      <c r="A1654" s="230"/>
      <c r="B1654" s="231"/>
      <c r="C1654" s="547"/>
      <c r="D1654" s="546"/>
      <c r="E1654" s="232"/>
      <c r="F1654" s="543"/>
      <c r="G1654" s="330"/>
      <c r="H1654" s="235"/>
      <c r="I1654" s="544"/>
      <c r="J1654" s="119"/>
      <c r="K1654" s="231"/>
      <c r="L1654" s="21"/>
      <c r="M1654" s="21"/>
    </row>
    <row r="1655">
      <c r="A1655" s="230"/>
      <c r="B1655" s="231"/>
      <c r="C1655" s="547"/>
      <c r="D1655" s="546"/>
      <c r="E1655" s="232"/>
      <c r="F1655" s="543"/>
      <c r="G1655" s="330"/>
      <c r="H1655" s="235"/>
      <c r="I1655" s="544"/>
      <c r="J1655" s="119"/>
      <c r="K1655" s="231"/>
      <c r="L1655" s="21"/>
      <c r="M1655" s="21"/>
    </row>
    <row r="1656">
      <c r="A1656" s="230"/>
      <c r="B1656" s="231"/>
      <c r="C1656" s="547"/>
      <c r="D1656" s="546"/>
      <c r="E1656" s="232"/>
      <c r="F1656" s="543"/>
      <c r="G1656" s="330"/>
      <c r="H1656" s="235"/>
      <c r="I1656" s="544"/>
      <c r="J1656" s="119"/>
      <c r="K1656" s="231"/>
      <c r="L1656" s="21"/>
      <c r="M1656" s="21"/>
    </row>
    <row r="1657">
      <c r="A1657" s="230"/>
      <c r="B1657" s="231"/>
      <c r="C1657" s="547"/>
      <c r="D1657" s="546"/>
      <c r="E1657" s="232"/>
      <c r="F1657" s="543"/>
      <c r="G1657" s="330"/>
      <c r="H1657" s="235"/>
      <c r="I1657" s="544"/>
      <c r="J1657" s="119"/>
      <c r="K1657" s="231"/>
      <c r="L1657" s="21"/>
      <c r="M1657" s="21"/>
    </row>
    <row r="1658">
      <c r="A1658" s="230"/>
      <c r="B1658" s="231"/>
      <c r="C1658" s="547"/>
      <c r="D1658" s="546"/>
      <c r="E1658" s="232"/>
      <c r="F1658" s="543"/>
      <c r="G1658" s="330"/>
      <c r="H1658" s="235"/>
      <c r="I1658" s="544"/>
      <c r="J1658" s="119"/>
      <c r="K1658" s="231"/>
      <c r="L1658" s="21"/>
      <c r="M1658" s="21"/>
    </row>
    <row r="1659">
      <c r="A1659" s="230"/>
      <c r="B1659" s="231"/>
      <c r="C1659" s="547"/>
      <c r="D1659" s="546"/>
      <c r="E1659" s="232"/>
      <c r="F1659" s="543"/>
      <c r="G1659" s="330"/>
      <c r="H1659" s="235"/>
      <c r="I1659" s="544"/>
      <c r="J1659" s="119"/>
      <c r="K1659" s="231"/>
      <c r="L1659" s="21"/>
      <c r="M1659" s="21"/>
    </row>
    <row r="1660">
      <c r="A1660" s="230"/>
      <c r="B1660" s="231"/>
      <c r="C1660" s="547"/>
      <c r="D1660" s="546"/>
      <c r="E1660" s="232"/>
      <c r="F1660" s="543"/>
      <c r="G1660" s="330"/>
      <c r="H1660" s="235"/>
      <c r="I1660" s="544"/>
      <c r="J1660" s="119"/>
      <c r="K1660" s="231"/>
      <c r="L1660" s="21"/>
      <c r="M1660" s="21"/>
    </row>
    <row r="1661">
      <c r="A1661" s="230"/>
      <c r="B1661" s="231"/>
      <c r="C1661" s="547"/>
      <c r="D1661" s="546"/>
      <c r="E1661" s="232"/>
      <c r="F1661" s="543"/>
      <c r="G1661" s="330"/>
      <c r="H1661" s="235"/>
      <c r="I1661" s="544"/>
      <c r="J1661" s="119"/>
      <c r="K1661" s="231"/>
      <c r="L1661" s="21"/>
      <c r="M1661" s="21"/>
    </row>
    <row r="1662">
      <c r="A1662" s="230"/>
      <c r="B1662" s="231"/>
      <c r="C1662" s="547"/>
      <c r="D1662" s="546"/>
      <c r="E1662" s="232"/>
      <c r="F1662" s="543"/>
      <c r="G1662" s="330"/>
      <c r="H1662" s="235"/>
      <c r="I1662" s="544"/>
      <c r="J1662" s="119"/>
      <c r="K1662" s="231"/>
      <c r="L1662" s="21"/>
      <c r="M1662" s="21"/>
    </row>
    <row r="1663">
      <c r="A1663" s="230"/>
      <c r="B1663" s="231"/>
      <c r="C1663" s="547"/>
      <c r="D1663" s="546"/>
      <c r="E1663" s="232"/>
      <c r="F1663" s="543"/>
      <c r="G1663" s="330"/>
      <c r="H1663" s="235"/>
      <c r="I1663" s="544"/>
      <c r="J1663" s="119"/>
      <c r="K1663" s="231"/>
      <c r="L1663" s="21"/>
      <c r="M1663" s="21"/>
    </row>
    <row r="1664">
      <c r="A1664" s="230"/>
      <c r="B1664" s="231"/>
      <c r="C1664" s="547"/>
      <c r="D1664" s="546"/>
      <c r="E1664" s="232"/>
      <c r="F1664" s="543"/>
      <c r="G1664" s="330"/>
      <c r="H1664" s="235"/>
      <c r="I1664" s="544"/>
      <c r="J1664" s="119"/>
      <c r="K1664" s="231"/>
      <c r="L1664" s="21"/>
      <c r="M1664" s="21"/>
    </row>
    <row r="1665">
      <c r="A1665" s="230"/>
      <c r="B1665" s="231"/>
      <c r="C1665" s="547"/>
      <c r="D1665" s="546"/>
      <c r="E1665" s="232"/>
      <c r="F1665" s="543"/>
      <c r="G1665" s="330"/>
      <c r="H1665" s="235"/>
      <c r="I1665" s="544"/>
      <c r="J1665" s="119"/>
      <c r="K1665" s="231"/>
      <c r="L1665" s="21"/>
      <c r="M1665" s="21"/>
    </row>
    <row r="1666">
      <c r="A1666" s="230"/>
      <c r="B1666" s="231"/>
      <c r="C1666" s="547"/>
      <c r="D1666" s="546"/>
      <c r="E1666" s="232"/>
      <c r="F1666" s="543"/>
      <c r="G1666" s="330"/>
      <c r="H1666" s="235"/>
      <c r="I1666" s="544"/>
      <c r="J1666" s="119"/>
      <c r="K1666" s="231"/>
      <c r="L1666" s="21"/>
      <c r="M1666" s="21"/>
    </row>
    <row r="1667">
      <c r="A1667" s="230"/>
      <c r="B1667" s="231"/>
      <c r="C1667" s="547"/>
      <c r="D1667" s="546"/>
      <c r="E1667" s="232"/>
      <c r="F1667" s="543"/>
      <c r="G1667" s="330"/>
      <c r="H1667" s="235"/>
      <c r="I1667" s="544"/>
      <c r="J1667" s="119"/>
      <c r="K1667" s="231"/>
      <c r="L1667" s="21"/>
      <c r="M1667" s="21"/>
    </row>
    <row r="1668">
      <c r="A1668" s="230"/>
      <c r="B1668" s="231"/>
      <c r="C1668" s="547"/>
      <c r="D1668" s="546"/>
      <c r="E1668" s="232"/>
      <c r="F1668" s="543"/>
      <c r="G1668" s="330"/>
      <c r="H1668" s="235"/>
      <c r="I1668" s="544"/>
      <c r="J1668" s="119"/>
      <c r="K1668" s="231"/>
      <c r="L1668" s="21"/>
      <c r="M1668" s="21"/>
    </row>
    <row r="1669">
      <c r="A1669" s="230"/>
      <c r="B1669" s="231"/>
      <c r="C1669" s="547"/>
      <c r="D1669" s="546"/>
      <c r="E1669" s="232"/>
      <c r="F1669" s="543"/>
      <c r="G1669" s="330"/>
      <c r="H1669" s="235"/>
      <c r="I1669" s="544"/>
      <c r="J1669" s="119"/>
      <c r="K1669" s="231"/>
      <c r="L1669" s="21"/>
      <c r="M1669" s="21"/>
    </row>
    <row r="1670">
      <c r="A1670" s="230"/>
      <c r="B1670" s="231"/>
      <c r="C1670" s="547"/>
      <c r="D1670" s="546"/>
      <c r="E1670" s="232"/>
      <c r="F1670" s="543"/>
      <c r="G1670" s="330"/>
      <c r="H1670" s="235"/>
      <c r="I1670" s="544"/>
      <c r="J1670" s="119"/>
      <c r="K1670" s="231"/>
      <c r="L1670" s="21"/>
      <c r="M1670" s="21"/>
    </row>
    <row r="1671">
      <c r="A1671" s="230"/>
      <c r="B1671" s="231"/>
      <c r="C1671" s="547"/>
      <c r="D1671" s="546"/>
      <c r="E1671" s="232"/>
      <c r="F1671" s="543"/>
      <c r="G1671" s="330"/>
      <c r="H1671" s="235"/>
      <c r="I1671" s="544"/>
      <c r="J1671" s="119"/>
      <c r="K1671" s="231"/>
      <c r="L1671" s="21"/>
      <c r="M1671" s="21"/>
    </row>
    <row r="1672">
      <c r="A1672" s="230"/>
      <c r="B1672" s="231"/>
      <c r="C1672" s="547"/>
      <c r="D1672" s="546"/>
      <c r="E1672" s="232"/>
      <c r="F1672" s="543"/>
      <c r="G1672" s="330"/>
      <c r="H1672" s="235"/>
      <c r="I1672" s="544"/>
      <c r="J1672" s="119"/>
      <c r="K1672" s="231"/>
      <c r="L1672" s="21"/>
      <c r="M1672" s="21"/>
    </row>
    <row r="1673">
      <c r="A1673" s="230"/>
      <c r="B1673" s="231"/>
      <c r="C1673" s="547"/>
      <c r="D1673" s="546"/>
      <c r="E1673" s="232"/>
      <c r="F1673" s="543"/>
      <c r="G1673" s="330"/>
      <c r="H1673" s="235"/>
      <c r="I1673" s="544"/>
      <c r="J1673" s="119"/>
      <c r="K1673" s="231"/>
      <c r="L1673" s="21"/>
      <c r="M1673" s="21"/>
    </row>
    <row r="1674">
      <c r="A1674" s="230"/>
      <c r="B1674" s="231"/>
      <c r="C1674" s="547"/>
      <c r="D1674" s="546"/>
      <c r="E1674" s="232"/>
      <c r="F1674" s="543"/>
      <c r="G1674" s="330"/>
      <c r="H1674" s="235"/>
      <c r="I1674" s="544"/>
      <c r="J1674" s="119"/>
      <c r="K1674" s="231"/>
      <c r="L1674" s="21"/>
      <c r="M1674" s="21"/>
    </row>
    <row r="1675">
      <c r="A1675" s="230"/>
      <c r="B1675" s="231"/>
      <c r="C1675" s="547"/>
      <c r="D1675" s="546"/>
      <c r="E1675" s="232"/>
      <c r="F1675" s="543"/>
      <c r="G1675" s="330"/>
      <c r="H1675" s="235"/>
      <c r="I1675" s="544"/>
      <c r="J1675" s="119"/>
      <c r="K1675" s="231"/>
      <c r="L1675" s="21"/>
      <c r="M1675" s="21"/>
    </row>
    <row r="1676">
      <c r="A1676" s="230"/>
      <c r="B1676" s="231"/>
      <c r="C1676" s="547"/>
      <c r="D1676" s="546"/>
      <c r="E1676" s="232"/>
      <c r="F1676" s="543"/>
      <c r="G1676" s="330"/>
      <c r="H1676" s="235"/>
      <c r="I1676" s="544"/>
      <c r="J1676" s="119"/>
      <c r="K1676" s="231"/>
      <c r="L1676" s="21"/>
      <c r="M1676" s="21"/>
    </row>
    <row r="1677">
      <c r="A1677" s="230"/>
      <c r="B1677" s="231"/>
      <c r="C1677" s="547"/>
      <c r="D1677" s="546"/>
      <c r="E1677" s="232"/>
      <c r="F1677" s="543"/>
      <c r="G1677" s="330"/>
      <c r="H1677" s="235"/>
      <c r="I1677" s="544"/>
      <c r="J1677" s="119"/>
      <c r="K1677" s="231"/>
      <c r="L1677" s="21"/>
      <c r="M1677" s="21"/>
    </row>
    <row r="1678">
      <c r="A1678" s="230"/>
      <c r="B1678" s="231"/>
      <c r="C1678" s="547"/>
      <c r="D1678" s="546"/>
      <c r="E1678" s="232"/>
      <c r="F1678" s="543"/>
      <c r="G1678" s="330"/>
      <c r="H1678" s="235"/>
      <c r="I1678" s="544"/>
      <c r="J1678" s="119"/>
      <c r="K1678" s="231"/>
      <c r="L1678" s="21"/>
      <c r="M1678" s="21"/>
    </row>
    <row r="1679">
      <c r="A1679" s="230"/>
      <c r="B1679" s="231"/>
      <c r="C1679" s="547"/>
      <c r="D1679" s="546"/>
      <c r="E1679" s="232"/>
      <c r="F1679" s="543"/>
      <c r="G1679" s="330"/>
      <c r="H1679" s="235"/>
      <c r="I1679" s="544"/>
      <c r="J1679" s="119"/>
      <c r="K1679" s="231"/>
      <c r="L1679" s="21"/>
      <c r="M1679" s="21"/>
    </row>
    <row r="1680">
      <c r="A1680" s="230"/>
      <c r="B1680" s="231"/>
      <c r="C1680" s="547"/>
      <c r="D1680" s="546"/>
      <c r="E1680" s="232"/>
      <c r="F1680" s="543"/>
      <c r="G1680" s="330"/>
      <c r="H1680" s="235"/>
      <c r="I1680" s="544"/>
      <c r="J1680" s="119"/>
      <c r="K1680" s="231"/>
      <c r="L1680" s="21"/>
      <c r="M1680" s="21"/>
    </row>
    <row r="1681">
      <c r="A1681" s="230"/>
      <c r="B1681" s="231"/>
      <c r="C1681" s="547"/>
      <c r="D1681" s="546"/>
      <c r="E1681" s="232"/>
      <c r="F1681" s="543"/>
      <c r="G1681" s="330"/>
      <c r="H1681" s="235"/>
      <c r="I1681" s="544"/>
      <c r="J1681" s="119"/>
      <c r="K1681" s="231"/>
      <c r="L1681" s="21"/>
      <c r="M1681" s="21"/>
    </row>
    <row r="1682">
      <c r="A1682" s="230"/>
      <c r="B1682" s="231"/>
      <c r="C1682" s="547"/>
      <c r="D1682" s="546"/>
      <c r="E1682" s="232"/>
      <c r="F1682" s="543"/>
      <c r="G1682" s="330"/>
      <c r="H1682" s="235"/>
      <c r="I1682" s="544"/>
      <c r="J1682" s="119"/>
      <c r="K1682" s="231"/>
      <c r="L1682" s="21"/>
      <c r="M1682" s="21"/>
    </row>
    <row r="1683">
      <c r="A1683" s="230"/>
      <c r="B1683" s="231"/>
      <c r="C1683" s="547"/>
      <c r="D1683" s="546"/>
      <c r="E1683" s="232"/>
      <c r="F1683" s="543"/>
      <c r="G1683" s="330"/>
      <c r="H1683" s="235"/>
      <c r="I1683" s="544"/>
      <c r="J1683" s="119"/>
      <c r="K1683" s="231"/>
      <c r="L1683" s="21"/>
      <c r="M1683" s="21"/>
    </row>
    <row r="1684">
      <c r="A1684" s="230"/>
      <c r="B1684" s="231"/>
      <c r="C1684" s="547"/>
      <c r="D1684" s="546"/>
      <c r="E1684" s="232"/>
      <c r="F1684" s="543"/>
      <c r="G1684" s="330"/>
      <c r="H1684" s="235"/>
      <c r="I1684" s="544"/>
      <c r="J1684" s="119"/>
      <c r="K1684" s="231"/>
      <c r="L1684" s="21"/>
      <c r="M1684" s="21"/>
    </row>
    <row r="1685">
      <c r="A1685" s="230"/>
      <c r="B1685" s="231"/>
      <c r="C1685" s="547"/>
      <c r="D1685" s="546"/>
      <c r="E1685" s="232"/>
      <c r="F1685" s="543"/>
      <c r="G1685" s="330"/>
      <c r="H1685" s="235"/>
      <c r="I1685" s="544"/>
      <c r="J1685" s="119"/>
      <c r="K1685" s="231"/>
      <c r="L1685" s="21"/>
      <c r="M1685" s="21"/>
    </row>
    <row r="1686">
      <c r="A1686" s="230"/>
      <c r="B1686" s="231"/>
      <c r="C1686" s="547"/>
      <c r="D1686" s="546"/>
      <c r="E1686" s="232"/>
      <c r="F1686" s="543"/>
      <c r="G1686" s="330"/>
      <c r="H1686" s="235"/>
      <c r="I1686" s="544"/>
      <c r="J1686" s="119"/>
      <c r="K1686" s="231"/>
      <c r="L1686" s="21"/>
      <c r="M1686" s="21"/>
    </row>
    <row r="1687">
      <c r="A1687" s="230"/>
      <c r="B1687" s="231"/>
      <c r="C1687" s="547"/>
      <c r="D1687" s="546"/>
      <c r="E1687" s="232"/>
      <c r="F1687" s="543"/>
      <c r="G1687" s="330"/>
      <c r="H1687" s="235"/>
      <c r="I1687" s="544"/>
      <c r="J1687" s="119"/>
      <c r="K1687" s="231"/>
      <c r="L1687" s="21"/>
      <c r="M1687" s="21"/>
    </row>
    <row r="1688">
      <c r="A1688" s="230"/>
      <c r="B1688" s="231"/>
      <c r="C1688" s="547"/>
      <c r="D1688" s="546"/>
      <c r="E1688" s="232"/>
      <c r="F1688" s="543"/>
      <c r="G1688" s="330"/>
      <c r="H1688" s="235"/>
      <c r="I1688" s="544"/>
      <c r="J1688" s="119"/>
      <c r="K1688" s="231"/>
      <c r="L1688" s="21"/>
      <c r="M1688" s="21"/>
    </row>
    <row r="1689">
      <c r="A1689" s="230"/>
      <c r="B1689" s="231"/>
      <c r="C1689" s="547"/>
      <c r="D1689" s="546"/>
      <c r="E1689" s="232"/>
      <c r="F1689" s="543"/>
      <c r="G1689" s="330"/>
      <c r="H1689" s="235"/>
      <c r="I1689" s="544"/>
      <c r="J1689" s="119"/>
      <c r="K1689" s="231"/>
      <c r="L1689" s="21"/>
      <c r="M1689" s="21"/>
    </row>
    <row r="1690">
      <c r="A1690" s="230"/>
      <c r="B1690" s="231"/>
      <c r="C1690" s="547"/>
      <c r="D1690" s="546"/>
      <c r="E1690" s="232"/>
      <c r="F1690" s="543"/>
      <c r="G1690" s="330"/>
      <c r="H1690" s="235"/>
      <c r="I1690" s="544"/>
      <c r="J1690" s="119"/>
      <c r="K1690" s="231"/>
      <c r="L1690" s="21"/>
      <c r="M1690" s="21"/>
    </row>
    <row r="1691">
      <c r="A1691" s="230"/>
      <c r="B1691" s="231"/>
      <c r="C1691" s="547"/>
      <c r="D1691" s="546"/>
      <c r="E1691" s="232"/>
      <c r="F1691" s="543"/>
      <c r="G1691" s="330"/>
      <c r="H1691" s="235"/>
      <c r="I1691" s="544"/>
      <c r="J1691" s="119"/>
      <c r="K1691" s="231"/>
      <c r="L1691" s="21"/>
      <c r="M1691" s="21"/>
    </row>
    <row r="1692">
      <c r="A1692" s="230"/>
      <c r="B1692" s="231"/>
      <c r="C1692" s="547"/>
      <c r="D1692" s="546"/>
      <c r="E1692" s="232"/>
      <c r="F1692" s="543"/>
      <c r="G1692" s="330"/>
      <c r="H1692" s="235"/>
      <c r="I1692" s="544"/>
      <c r="J1692" s="119"/>
      <c r="K1692" s="231"/>
      <c r="L1692" s="21"/>
      <c r="M1692" s="21"/>
    </row>
    <row r="1693">
      <c r="A1693" s="230"/>
      <c r="B1693" s="231"/>
      <c r="C1693" s="547"/>
      <c r="D1693" s="546"/>
      <c r="E1693" s="232"/>
      <c r="F1693" s="543"/>
      <c r="G1693" s="330"/>
      <c r="H1693" s="235"/>
      <c r="I1693" s="544"/>
      <c r="J1693" s="119"/>
      <c r="K1693" s="231"/>
      <c r="L1693" s="21"/>
      <c r="M1693" s="21"/>
    </row>
    <row r="1694">
      <c r="A1694" s="230"/>
      <c r="B1694" s="231"/>
      <c r="C1694" s="547"/>
      <c r="D1694" s="546"/>
      <c r="E1694" s="232"/>
      <c r="F1694" s="543"/>
      <c r="G1694" s="330"/>
      <c r="H1694" s="235"/>
      <c r="I1694" s="544"/>
      <c r="J1694" s="119"/>
      <c r="K1694" s="231"/>
      <c r="L1694" s="21"/>
      <c r="M1694" s="21"/>
    </row>
    <row r="1695">
      <c r="A1695" s="230"/>
      <c r="B1695" s="231"/>
      <c r="C1695" s="547"/>
      <c r="D1695" s="546"/>
      <c r="E1695" s="232"/>
      <c r="F1695" s="543"/>
      <c r="G1695" s="330"/>
      <c r="H1695" s="235"/>
      <c r="I1695" s="544"/>
      <c r="J1695" s="119"/>
      <c r="K1695" s="231"/>
      <c r="L1695" s="21"/>
      <c r="M1695" s="21"/>
    </row>
    <row r="1696">
      <c r="A1696" s="230"/>
      <c r="B1696" s="231"/>
      <c r="C1696" s="547"/>
      <c r="D1696" s="546"/>
      <c r="E1696" s="232"/>
      <c r="F1696" s="543"/>
      <c r="G1696" s="330"/>
      <c r="H1696" s="235"/>
      <c r="I1696" s="544"/>
      <c r="J1696" s="119"/>
      <c r="K1696" s="231"/>
      <c r="L1696" s="21"/>
      <c r="M1696" s="21"/>
    </row>
    <row r="1697">
      <c r="A1697" s="230"/>
      <c r="B1697" s="231"/>
      <c r="C1697" s="547"/>
      <c r="D1697" s="546"/>
      <c r="E1697" s="232"/>
      <c r="F1697" s="543"/>
      <c r="G1697" s="330"/>
      <c r="H1697" s="235"/>
      <c r="I1697" s="544"/>
      <c r="J1697" s="119"/>
      <c r="K1697" s="231"/>
      <c r="L1697" s="21"/>
      <c r="M1697" s="21"/>
    </row>
    <row r="1698">
      <c r="A1698" s="230"/>
      <c r="B1698" s="231"/>
      <c r="C1698" s="547"/>
      <c r="D1698" s="546"/>
      <c r="E1698" s="232"/>
      <c r="F1698" s="543"/>
      <c r="G1698" s="330"/>
      <c r="H1698" s="235"/>
      <c r="I1698" s="544"/>
      <c r="J1698" s="119"/>
      <c r="K1698" s="231"/>
      <c r="L1698" s="21"/>
      <c r="M1698" s="21"/>
    </row>
    <row r="1699">
      <c r="A1699" s="230"/>
      <c r="B1699" s="231"/>
      <c r="C1699" s="547"/>
      <c r="D1699" s="546"/>
      <c r="E1699" s="232"/>
      <c r="F1699" s="543"/>
      <c r="G1699" s="330"/>
      <c r="H1699" s="235"/>
      <c r="I1699" s="544"/>
      <c r="J1699" s="119"/>
      <c r="K1699" s="231"/>
      <c r="L1699" s="21"/>
      <c r="M1699" s="21"/>
    </row>
    <row r="1700">
      <c r="A1700" s="230"/>
      <c r="B1700" s="231"/>
      <c r="C1700" s="547"/>
      <c r="D1700" s="546"/>
      <c r="E1700" s="232"/>
      <c r="F1700" s="543"/>
      <c r="G1700" s="330"/>
      <c r="H1700" s="235"/>
      <c r="I1700" s="544"/>
      <c r="J1700" s="119"/>
      <c r="K1700" s="231"/>
      <c r="L1700" s="21"/>
      <c r="M1700" s="21"/>
    </row>
    <row r="1701">
      <c r="A1701" s="230"/>
      <c r="B1701" s="231"/>
      <c r="C1701" s="547"/>
      <c r="D1701" s="546"/>
      <c r="E1701" s="232"/>
      <c r="F1701" s="543"/>
      <c r="G1701" s="330"/>
      <c r="H1701" s="235"/>
      <c r="I1701" s="544"/>
      <c r="J1701" s="119"/>
      <c r="K1701" s="231"/>
      <c r="L1701" s="21"/>
      <c r="M1701" s="21"/>
    </row>
    <row r="1702">
      <c r="A1702" s="230"/>
      <c r="B1702" s="231"/>
      <c r="C1702" s="547"/>
      <c r="D1702" s="546"/>
      <c r="E1702" s="232"/>
      <c r="F1702" s="543"/>
      <c r="G1702" s="330"/>
      <c r="H1702" s="235"/>
      <c r="I1702" s="544"/>
      <c r="J1702" s="119"/>
      <c r="K1702" s="231"/>
      <c r="L1702" s="21"/>
      <c r="M1702" s="21"/>
    </row>
    <row r="1703">
      <c r="A1703" s="230"/>
      <c r="B1703" s="231"/>
      <c r="C1703" s="547"/>
      <c r="D1703" s="546"/>
      <c r="E1703" s="232"/>
      <c r="F1703" s="543"/>
      <c r="G1703" s="330"/>
      <c r="H1703" s="235"/>
      <c r="I1703" s="544"/>
      <c r="J1703" s="119"/>
      <c r="K1703" s="231"/>
      <c r="L1703" s="21"/>
      <c r="M1703" s="21"/>
    </row>
    <row r="1704">
      <c r="A1704" s="230"/>
      <c r="B1704" s="231"/>
      <c r="C1704" s="547"/>
      <c r="D1704" s="546"/>
      <c r="E1704" s="232"/>
      <c r="F1704" s="543"/>
      <c r="G1704" s="330"/>
      <c r="H1704" s="235"/>
      <c r="I1704" s="544"/>
      <c r="J1704" s="119"/>
      <c r="K1704" s="231"/>
      <c r="L1704" s="21"/>
      <c r="M1704" s="21"/>
    </row>
    <row r="1705">
      <c r="A1705" s="230"/>
      <c r="B1705" s="231"/>
      <c r="C1705" s="547"/>
      <c r="D1705" s="546"/>
      <c r="E1705" s="232"/>
      <c r="F1705" s="543"/>
      <c r="G1705" s="330"/>
      <c r="H1705" s="235"/>
      <c r="I1705" s="544"/>
      <c r="J1705" s="119"/>
      <c r="K1705" s="231"/>
      <c r="L1705" s="21"/>
      <c r="M1705" s="21"/>
    </row>
    <row r="1706">
      <c r="A1706" s="230"/>
      <c r="B1706" s="231"/>
      <c r="C1706" s="547"/>
      <c r="D1706" s="546"/>
      <c r="E1706" s="232"/>
      <c r="F1706" s="543"/>
      <c r="G1706" s="330"/>
      <c r="H1706" s="235"/>
      <c r="I1706" s="544"/>
      <c r="J1706" s="119"/>
      <c r="K1706" s="231"/>
      <c r="L1706" s="21"/>
      <c r="M1706" s="21"/>
    </row>
    <row r="1707">
      <c r="A1707" s="230"/>
      <c r="B1707" s="231"/>
      <c r="C1707" s="547"/>
      <c r="D1707" s="546"/>
      <c r="E1707" s="232"/>
      <c r="F1707" s="543"/>
      <c r="G1707" s="330"/>
      <c r="H1707" s="235"/>
      <c r="I1707" s="544"/>
      <c r="J1707" s="119"/>
      <c r="K1707" s="231"/>
      <c r="L1707" s="21"/>
      <c r="M1707" s="21"/>
    </row>
    <row r="1708">
      <c r="A1708" s="230"/>
      <c r="B1708" s="231"/>
      <c r="C1708" s="547"/>
      <c r="D1708" s="546"/>
      <c r="E1708" s="232"/>
      <c r="F1708" s="543"/>
      <c r="G1708" s="330"/>
      <c r="H1708" s="235"/>
      <c r="I1708" s="544"/>
      <c r="J1708" s="119"/>
      <c r="K1708" s="231"/>
      <c r="L1708" s="21"/>
      <c r="M1708" s="21"/>
    </row>
    <row r="1709">
      <c r="A1709" s="230"/>
      <c r="B1709" s="231"/>
      <c r="C1709" s="547"/>
      <c r="D1709" s="546"/>
      <c r="E1709" s="232"/>
      <c r="F1709" s="543"/>
      <c r="G1709" s="330"/>
      <c r="H1709" s="235"/>
      <c r="I1709" s="544"/>
      <c r="J1709" s="119"/>
      <c r="K1709" s="231"/>
      <c r="L1709" s="21"/>
      <c r="M1709" s="21"/>
    </row>
    <row r="1710">
      <c r="A1710" s="230"/>
      <c r="B1710" s="231"/>
      <c r="C1710" s="547"/>
      <c r="D1710" s="546"/>
      <c r="E1710" s="232"/>
      <c r="F1710" s="543"/>
      <c r="G1710" s="330"/>
      <c r="H1710" s="235"/>
      <c r="I1710" s="544"/>
      <c r="J1710" s="119"/>
      <c r="K1710" s="231"/>
      <c r="L1710" s="21"/>
      <c r="M1710" s="21"/>
    </row>
    <row r="1711">
      <c r="A1711" s="230"/>
      <c r="B1711" s="231"/>
      <c r="C1711" s="547"/>
      <c r="D1711" s="546"/>
      <c r="E1711" s="232"/>
      <c r="F1711" s="543"/>
      <c r="G1711" s="330"/>
      <c r="H1711" s="235"/>
      <c r="I1711" s="544"/>
      <c r="J1711" s="119"/>
      <c r="K1711" s="231"/>
      <c r="L1711" s="21"/>
      <c r="M1711" s="21"/>
    </row>
    <row r="1712">
      <c r="A1712" s="230"/>
      <c r="B1712" s="231"/>
      <c r="C1712" s="547"/>
      <c r="D1712" s="546"/>
      <c r="E1712" s="232"/>
      <c r="F1712" s="543"/>
      <c r="G1712" s="330"/>
      <c r="H1712" s="235"/>
      <c r="I1712" s="544"/>
      <c r="J1712" s="119"/>
      <c r="K1712" s="231"/>
      <c r="L1712" s="21"/>
      <c r="M1712" s="21"/>
    </row>
    <row r="1713">
      <c r="A1713" s="230"/>
      <c r="B1713" s="231"/>
      <c r="C1713" s="547"/>
      <c r="D1713" s="546"/>
      <c r="E1713" s="232"/>
      <c r="F1713" s="543"/>
      <c r="G1713" s="330"/>
      <c r="H1713" s="235"/>
      <c r="I1713" s="544"/>
      <c r="J1713" s="119"/>
      <c r="K1713" s="231"/>
      <c r="L1713" s="21"/>
      <c r="M1713" s="21"/>
    </row>
    <row r="1714">
      <c r="A1714" s="230"/>
      <c r="B1714" s="231"/>
      <c r="C1714" s="547"/>
      <c r="D1714" s="546"/>
      <c r="E1714" s="232"/>
      <c r="F1714" s="543"/>
      <c r="G1714" s="330"/>
      <c r="H1714" s="235"/>
      <c r="I1714" s="544"/>
      <c r="J1714" s="119"/>
      <c r="K1714" s="231"/>
      <c r="L1714" s="21"/>
      <c r="M1714" s="21"/>
    </row>
    <row r="1715">
      <c r="A1715" s="230"/>
      <c r="B1715" s="231"/>
      <c r="C1715" s="547"/>
      <c r="D1715" s="546"/>
      <c r="E1715" s="232"/>
      <c r="F1715" s="543"/>
      <c r="G1715" s="330"/>
      <c r="H1715" s="235"/>
      <c r="I1715" s="544"/>
      <c r="J1715" s="119"/>
      <c r="K1715" s="231"/>
      <c r="L1715" s="21"/>
      <c r="M1715" s="21"/>
    </row>
    <row r="1716">
      <c r="A1716" s="230"/>
      <c r="B1716" s="231"/>
      <c r="C1716" s="547"/>
      <c r="D1716" s="546"/>
      <c r="E1716" s="232"/>
      <c r="F1716" s="543"/>
      <c r="G1716" s="330"/>
      <c r="H1716" s="235"/>
      <c r="I1716" s="544"/>
      <c r="J1716" s="119"/>
      <c r="K1716" s="231"/>
      <c r="L1716" s="21"/>
      <c r="M1716" s="21"/>
    </row>
    <row r="1717">
      <c r="A1717" s="230"/>
      <c r="B1717" s="231"/>
      <c r="C1717" s="547"/>
      <c r="D1717" s="546"/>
      <c r="E1717" s="232"/>
      <c r="F1717" s="543"/>
      <c r="G1717" s="330"/>
      <c r="H1717" s="235"/>
      <c r="I1717" s="544"/>
      <c r="J1717" s="119"/>
      <c r="K1717" s="231"/>
      <c r="L1717" s="21"/>
      <c r="M1717" s="21"/>
    </row>
    <row r="1718">
      <c r="A1718" s="230"/>
      <c r="B1718" s="231"/>
      <c r="C1718" s="547"/>
      <c r="D1718" s="546"/>
      <c r="E1718" s="232"/>
      <c r="F1718" s="543"/>
      <c r="G1718" s="330"/>
      <c r="H1718" s="235"/>
      <c r="I1718" s="544"/>
      <c r="J1718" s="119"/>
      <c r="K1718" s="231"/>
      <c r="L1718" s="21"/>
      <c r="M1718" s="21"/>
    </row>
    <row r="1719">
      <c r="A1719" s="230"/>
      <c r="B1719" s="231"/>
      <c r="C1719" s="547"/>
      <c r="D1719" s="546"/>
      <c r="E1719" s="232"/>
      <c r="F1719" s="543"/>
      <c r="G1719" s="330"/>
      <c r="H1719" s="235"/>
      <c r="I1719" s="544"/>
      <c r="J1719" s="119"/>
      <c r="K1719" s="231"/>
      <c r="L1719" s="21"/>
      <c r="M1719" s="21"/>
    </row>
    <row r="1720">
      <c r="A1720" s="230"/>
      <c r="B1720" s="231"/>
      <c r="C1720" s="547"/>
      <c r="D1720" s="546"/>
      <c r="E1720" s="232"/>
      <c r="F1720" s="543"/>
      <c r="G1720" s="330"/>
      <c r="H1720" s="235"/>
      <c r="I1720" s="544"/>
      <c r="J1720" s="119"/>
      <c r="K1720" s="231"/>
      <c r="L1720" s="21"/>
      <c r="M1720" s="21"/>
    </row>
    <row r="1721">
      <c r="A1721" s="230"/>
      <c r="B1721" s="231"/>
      <c r="C1721" s="547"/>
      <c r="D1721" s="546"/>
      <c r="E1721" s="232"/>
      <c r="F1721" s="543"/>
      <c r="G1721" s="330"/>
      <c r="H1721" s="235"/>
      <c r="I1721" s="544"/>
      <c r="J1721" s="119"/>
      <c r="K1721" s="231"/>
      <c r="L1721" s="21"/>
      <c r="M1721" s="21"/>
    </row>
    <row r="1722">
      <c r="A1722" s="230"/>
      <c r="B1722" s="231"/>
      <c r="C1722" s="547"/>
      <c r="D1722" s="546"/>
      <c r="E1722" s="232"/>
      <c r="F1722" s="543"/>
      <c r="G1722" s="330"/>
      <c r="H1722" s="235"/>
      <c r="I1722" s="544"/>
      <c r="J1722" s="119"/>
      <c r="K1722" s="231"/>
      <c r="L1722" s="21"/>
      <c r="M1722" s="21"/>
    </row>
    <row r="1723">
      <c r="A1723" s="230"/>
      <c r="B1723" s="231"/>
      <c r="C1723" s="547"/>
      <c r="D1723" s="546"/>
      <c r="E1723" s="232"/>
      <c r="F1723" s="543"/>
      <c r="G1723" s="330"/>
      <c r="H1723" s="235"/>
      <c r="I1723" s="544"/>
      <c r="J1723" s="119"/>
      <c r="K1723" s="231"/>
      <c r="L1723" s="21"/>
      <c r="M1723" s="21"/>
    </row>
    <row r="1724">
      <c r="A1724" s="230"/>
      <c r="B1724" s="231"/>
      <c r="C1724" s="547"/>
      <c r="D1724" s="546"/>
      <c r="E1724" s="232"/>
      <c r="F1724" s="543"/>
      <c r="G1724" s="330"/>
      <c r="H1724" s="235"/>
      <c r="I1724" s="544"/>
      <c r="J1724" s="119"/>
      <c r="K1724" s="231"/>
      <c r="L1724" s="21"/>
      <c r="M1724" s="21"/>
    </row>
    <row r="1725">
      <c r="A1725" s="230"/>
      <c r="B1725" s="231"/>
      <c r="C1725" s="547"/>
      <c r="D1725" s="546"/>
      <c r="E1725" s="232"/>
      <c r="F1725" s="543"/>
      <c r="G1725" s="330"/>
      <c r="H1725" s="235"/>
      <c r="I1725" s="544"/>
      <c r="J1725" s="119"/>
      <c r="K1725" s="231"/>
      <c r="L1725" s="21"/>
      <c r="M1725" s="21"/>
    </row>
    <row r="1726">
      <c r="A1726" s="230"/>
      <c r="B1726" s="231"/>
      <c r="C1726" s="547"/>
      <c r="D1726" s="546"/>
      <c r="E1726" s="232"/>
      <c r="F1726" s="543"/>
      <c r="G1726" s="330"/>
      <c r="H1726" s="235"/>
      <c r="I1726" s="544"/>
      <c r="J1726" s="119"/>
      <c r="K1726" s="231"/>
      <c r="L1726" s="21"/>
      <c r="M1726" s="21"/>
    </row>
    <row r="1727">
      <c r="A1727" s="230"/>
      <c r="B1727" s="231"/>
      <c r="C1727" s="547"/>
      <c r="D1727" s="546"/>
      <c r="E1727" s="232"/>
      <c r="F1727" s="543"/>
      <c r="G1727" s="330"/>
      <c r="H1727" s="235"/>
      <c r="I1727" s="544"/>
      <c r="J1727" s="119"/>
      <c r="K1727" s="231"/>
      <c r="L1727" s="21"/>
      <c r="M1727" s="21"/>
    </row>
    <row r="1728">
      <c r="A1728" s="230"/>
      <c r="B1728" s="231"/>
      <c r="C1728" s="547"/>
      <c r="D1728" s="546"/>
      <c r="E1728" s="232"/>
      <c r="F1728" s="543"/>
      <c r="G1728" s="330"/>
      <c r="H1728" s="235"/>
      <c r="I1728" s="544"/>
      <c r="J1728" s="119"/>
      <c r="K1728" s="231"/>
      <c r="L1728" s="21"/>
      <c r="M1728" s="21"/>
    </row>
    <row r="1729">
      <c r="A1729" s="230"/>
      <c r="B1729" s="231"/>
      <c r="C1729" s="547"/>
      <c r="D1729" s="546"/>
      <c r="E1729" s="232"/>
      <c r="F1729" s="543"/>
      <c r="G1729" s="330"/>
      <c r="H1729" s="235"/>
      <c r="I1729" s="544"/>
      <c r="J1729" s="119"/>
      <c r="K1729" s="231"/>
      <c r="L1729" s="21"/>
      <c r="M1729" s="21"/>
    </row>
    <row r="1730">
      <c r="A1730" s="230"/>
      <c r="B1730" s="231"/>
      <c r="C1730" s="547"/>
      <c r="D1730" s="546"/>
      <c r="E1730" s="232"/>
      <c r="F1730" s="543"/>
      <c r="G1730" s="330"/>
      <c r="H1730" s="235"/>
      <c r="I1730" s="544"/>
      <c r="J1730" s="119"/>
      <c r="K1730" s="231"/>
      <c r="L1730" s="21"/>
      <c r="M1730" s="21"/>
    </row>
    <row r="1731">
      <c r="A1731" s="230"/>
      <c r="B1731" s="231"/>
      <c r="C1731" s="547"/>
      <c r="D1731" s="546"/>
      <c r="E1731" s="232"/>
      <c r="F1731" s="543"/>
      <c r="G1731" s="330"/>
      <c r="H1731" s="235"/>
      <c r="I1731" s="544"/>
      <c r="J1731" s="119"/>
      <c r="K1731" s="231"/>
      <c r="L1731" s="21"/>
      <c r="M1731" s="21"/>
    </row>
    <row r="1732">
      <c r="A1732" s="230"/>
      <c r="B1732" s="231"/>
      <c r="C1732" s="547"/>
      <c r="D1732" s="546"/>
      <c r="E1732" s="232"/>
      <c r="F1732" s="543"/>
      <c r="G1732" s="330"/>
      <c r="H1732" s="235"/>
      <c r="I1732" s="544"/>
      <c r="J1732" s="119"/>
      <c r="K1732" s="231"/>
      <c r="L1732" s="21"/>
      <c r="M1732" s="21"/>
    </row>
    <row r="1733">
      <c r="A1733" s="230"/>
      <c r="B1733" s="231"/>
      <c r="C1733" s="547"/>
      <c r="D1733" s="546"/>
      <c r="E1733" s="232"/>
      <c r="F1733" s="543"/>
      <c r="G1733" s="330"/>
      <c r="H1733" s="235"/>
      <c r="I1733" s="544"/>
      <c r="J1733" s="119"/>
      <c r="K1733" s="231"/>
      <c r="L1733" s="21"/>
      <c r="M1733" s="21"/>
    </row>
    <row r="1734">
      <c r="A1734" s="230"/>
      <c r="B1734" s="231"/>
      <c r="C1734" s="547"/>
      <c r="D1734" s="546"/>
      <c r="E1734" s="232"/>
      <c r="F1734" s="543"/>
      <c r="G1734" s="330"/>
      <c r="H1734" s="235"/>
      <c r="I1734" s="544"/>
      <c r="J1734" s="119"/>
      <c r="K1734" s="231"/>
      <c r="L1734" s="21"/>
      <c r="M1734" s="21"/>
    </row>
    <row r="1735">
      <c r="A1735" s="230"/>
      <c r="B1735" s="231"/>
      <c r="C1735" s="547"/>
      <c r="D1735" s="546"/>
      <c r="E1735" s="232"/>
      <c r="F1735" s="543"/>
      <c r="G1735" s="330"/>
      <c r="H1735" s="235"/>
      <c r="I1735" s="544"/>
      <c r="J1735" s="119"/>
      <c r="K1735" s="231"/>
      <c r="L1735" s="21"/>
      <c r="M1735" s="21"/>
    </row>
    <row r="1736">
      <c r="A1736" s="230"/>
      <c r="B1736" s="231"/>
      <c r="C1736" s="547"/>
      <c r="D1736" s="546"/>
      <c r="E1736" s="232"/>
      <c r="F1736" s="543"/>
      <c r="G1736" s="330"/>
      <c r="H1736" s="235"/>
      <c r="I1736" s="544"/>
      <c r="J1736" s="119"/>
      <c r="K1736" s="231"/>
      <c r="L1736" s="21"/>
      <c r="M1736" s="21"/>
    </row>
    <row r="1737">
      <c r="A1737" s="230"/>
      <c r="B1737" s="231"/>
      <c r="C1737" s="547"/>
      <c r="D1737" s="546"/>
      <c r="E1737" s="232"/>
      <c r="F1737" s="543"/>
      <c r="G1737" s="330"/>
      <c r="H1737" s="235"/>
      <c r="I1737" s="544"/>
      <c r="J1737" s="119"/>
      <c r="K1737" s="231"/>
      <c r="L1737" s="21"/>
      <c r="M1737" s="21"/>
    </row>
    <row r="1738">
      <c r="A1738" s="230"/>
      <c r="B1738" s="231"/>
      <c r="C1738" s="547"/>
      <c r="D1738" s="546"/>
      <c r="E1738" s="232"/>
      <c r="F1738" s="543"/>
      <c r="G1738" s="330"/>
      <c r="H1738" s="235"/>
      <c r="I1738" s="544"/>
      <c r="J1738" s="119"/>
      <c r="K1738" s="231"/>
      <c r="L1738" s="21"/>
      <c r="M1738" s="21"/>
    </row>
    <row r="1739">
      <c r="A1739" s="230"/>
      <c r="B1739" s="231"/>
      <c r="C1739" s="547"/>
      <c r="D1739" s="546"/>
      <c r="E1739" s="232"/>
      <c r="F1739" s="543"/>
      <c r="G1739" s="330"/>
      <c r="H1739" s="235"/>
      <c r="I1739" s="544"/>
      <c r="J1739" s="119"/>
      <c r="K1739" s="231"/>
      <c r="L1739" s="21"/>
      <c r="M1739" s="21"/>
    </row>
    <row r="1740">
      <c r="A1740" s="230"/>
      <c r="B1740" s="231"/>
      <c r="C1740" s="547"/>
      <c r="D1740" s="546"/>
      <c r="E1740" s="232"/>
      <c r="F1740" s="543"/>
      <c r="G1740" s="330"/>
      <c r="H1740" s="235"/>
      <c r="I1740" s="544"/>
      <c r="J1740" s="119"/>
      <c r="K1740" s="231"/>
      <c r="L1740" s="21"/>
      <c r="M1740" s="21"/>
    </row>
    <row r="1741">
      <c r="A1741" s="230"/>
      <c r="B1741" s="231"/>
      <c r="C1741" s="547"/>
      <c r="D1741" s="546"/>
      <c r="E1741" s="232"/>
      <c r="F1741" s="543"/>
      <c r="G1741" s="330"/>
      <c r="H1741" s="235"/>
      <c r="I1741" s="544"/>
      <c r="J1741" s="119"/>
      <c r="K1741" s="231"/>
      <c r="L1741" s="21"/>
      <c r="M1741" s="21"/>
    </row>
    <row r="1742">
      <c r="A1742" s="230"/>
      <c r="B1742" s="231"/>
      <c r="C1742" s="547"/>
      <c r="D1742" s="546"/>
      <c r="E1742" s="232"/>
      <c r="F1742" s="543"/>
      <c r="G1742" s="330"/>
      <c r="H1742" s="235"/>
      <c r="I1742" s="544"/>
      <c r="J1742" s="119"/>
      <c r="K1742" s="231"/>
      <c r="L1742" s="21"/>
      <c r="M1742" s="21"/>
    </row>
    <row r="1743">
      <c r="A1743" s="230"/>
      <c r="B1743" s="231"/>
      <c r="C1743" s="547"/>
      <c r="D1743" s="546"/>
      <c r="E1743" s="232"/>
      <c r="F1743" s="543"/>
      <c r="G1743" s="330"/>
      <c r="H1743" s="235"/>
      <c r="I1743" s="544"/>
      <c r="J1743" s="119"/>
      <c r="K1743" s="231"/>
      <c r="L1743" s="21"/>
      <c r="M1743" s="21"/>
    </row>
    <row r="1744">
      <c r="A1744" s="230"/>
      <c r="B1744" s="231"/>
      <c r="C1744" s="547"/>
      <c r="D1744" s="546"/>
      <c r="E1744" s="232"/>
      <c r="F1744" s="543"/>
      <c r="G1744" s="330"/>
      <c r="H1744" s="235"/>
      <c r="I1744" s="544"/>
      <c r="J1744" s="119"/>
      <c r="K1744" s="231"/>
      <c r="L1744" s="21"/>
      <c r="M1744" s="21"/>
    </row>
    <row r="1745">
      <c r="A1745" s="230"/>
      <c r="B1745" s="231"/>
      <c r="C1745" s="547"/>
      <c r="D1745" s="546"/>
      <c r="E1745" s="232"/>
      <c r="F1745" s="543"/>
      <c r="G1745" s="330"/>
      <c r="H1745" s="235"/>
      <c r="I1745" s="544"/>
      <c r="J1745" s="119"/>
      <c r="K1745" s="231"/>
      <c r="L1745" s="21"/>
      <c r="M1745" s="21"/>
    </row>
    <row r="1746">
      <c r="A1746" s="230"/>
      <c r="B1746" s="231"/>
      <c r="C1746" s="547"/>
      <c r="D1746" s="546"/>
      <c r="E1746" s="232"/>
      <c r="F1746" s="543"/>
      <c r="G1746" s="330"/>
      <c r="H1746" s="235"/>
      <c r="I1746" s="544"/>
      <c r="J1746" s="119"/>
      <c r="K1746" s="231"/>
      <c r="L1746" s="21"/>
      <c r="M1746" s="21"/>
    </row>
    <row r="1747">
      <c r="A1747" s="230"/>
      <c r="B1747" s="231"/>
      <c r="C1747" s="547"/>
      <c r="D1747" s="546"/>
      <c r="E1747" s="232"/>
      <c r="F1747" s="543"/>
      <c r="G1747" s="330"/>
      <c r="H1747" s="235"/>
      <c r="I1747" s="544"/>
      <c r="J1747" s="119"/>
      <c r="K1747" s="231"/>
      <c r="L1747" s="21"/>
      <c r="M1747" s="21"/>
    </row>
    <row r="1748">
      <c r="A1748" s="230"/>
      <c r="B1748" s="231"/>
      <c r="C1748" s="547"/>
      <c r="D1748" s="546"/>
      <c r="E1748" s="232"/>
      <c r="F1748" s="543"/>
      <c r="G1748" s="330"/>
      <c r="H1748" s="235"/>
      <c r="I1748" s="544"/>
      <c r="J1748" s="119"/>
      <c r="K1748" s="231"/>
      <c r="L1748" s="21"/>
      <c r="M1748" s="21"/>
    </row>
    <row r="1749">
      <c r="A1749" s="230"/>
      <c r="B1749" s="231"/>
      <c r="C1749" s="547"/>
      <c r="D1749" s="546"/>
      <c r="E1749" s="232"/>
      <c r="F1749" s="543"/>
      <c r="G1749" s="330"/>
      <c r="H1749" s="235"/>
      <c r="I1749" s="544"/>
      <c r="J1749" s="119"/>
      <c r="K1749" s="231"/>
      <c r="L1749" s="21"/>
      <c r="M1749" s="21"/>
    </row>
    <row r="1750">
      <c r="A1750" s="230"/>
      <c r="B1750" s="231"/>
      <c r="C1750" s="547"/>
      <c r="D1750" s="546"/>
      <c r="E1750" s="232"/>
      <c r="F1750" s="543"/>
      <c r="G1750" s="330"/>
      <c r="H1750" s="235"/>
      <c r="I1750" s="544"/>
      <c r="J1750" s="119"/>
      <c r="K1750" s="231"/>
      <c r="L1750" s="21"/>
      <c r="M1750" s="21"/>
    </row>
    <row r="1751">
      <c r="A1751" s="230"/>
      <c r="B1751" s="231"/>
      <c r="C1751" s="547"/>
      <c r="D1751" s="546"/>
      <c r="E1751" s="232"/>
      <c r="F1751" s="543"/>
      <c r="G1751" s="330"/>
      <c r="H1751" s="235"/>
      <c r="I1751" s="544"/>
      <c r="J1751" s="119"/>
      <c r="K1751" s="231"/>
      <c r="L1751" s="21"/>
      <c r="M1751" s="21"/>
    </row>
    <row r="1752">
      <c r="A1752" s="230"/>
      <c r="B1752" s="231"/>
      <c r="C1752" s="547"/>
      <c r="D1752" s="546"/>
      <c r="E1752" s="232"/>
      <c r="F1752" s="543"/>
      <c r="G1752" s="330"/>
      <c r="H1752" s="235"/>
      <c r="I1752" s="544"/>
      <c r="J1752" s="119"/>
      <c r="K1752" s="231"/>
      <c r="L1752" s="21"/>
      <c r="M1752" s="21"/>
    </row>
    <row r="1753">
      <c r="A1753" s="230"/>
      <c r="B1753" s="231"/>
      <c r="C1753" s="547"/>
      <c r="D1753" s="546"/>
      <c r="E1753" s="232"/>
      <c r="F1753" s="543"/>
      <c r="G1753" s="330"/>
      <c r="H1753" s="235"/>
      <c r="I1753" s="544"/>
      <c r="J1753" s="119"/>
      <c r="K1753" s="231"/>
      <c r="L1753" s="21"/>
      <c r="M1753" s="21"/>
    </row>
    <row r="1754">
      <c r="A1754" s="230"/>
      <c r="B1754" s="231"/>
      <c r="C1754" s="547"/>
      <c r="D1754" s="546"/>
      <c r="E1754" s="232"/>
      <c r="F1754" s="543"/>
      <c r="G1754" s="330"/>
      <c r="H1754" s="235"/>
      <c r="I1754" s="544"/>
      <c r="J1754" s="119"/>
      <c r="K1754" s="231"/>
      <c r="L1754" s="21"/>
      <c r="M1754" s="21"/>
    </row>
    <row r="1755">
      <c r="A1755" s="230"/>
      <c r="B1755" s="231"/>
      <c r="C1755" s="547"/>
      <c r="D1755" s="546"/>
      <c r="E1755" s="232"/>
      <c r="F1755" s="543"/>
      <c r="G1755" s="330"/>
      <c r="H1755" s="235"/>
      <c r="I1755" s="544"/>
      <c r="J1755" s="119"/>
      <c r="K1755" s="231"/>
      <c r="L1755" s="21"/>
      <c r="M1755" s="21"/>
    </row>
    <row r="1756">
      <c r="A1756" s="230"/>
      <c r="B1756" s="231"/>
      <c r="C1756" s="547"/>
      <c r="D1756" s="546"/>
      <c r="E1756" s="232"/>
      <c r="F1756" s="543"/>
      <c r="G1756" s="330"/>
      <c r="H1756" s="235"/>
      <c r="I1756" s="544"/>
      <c r="J1756" s="119"/>
      <c r="K1756" s="231"/>
      <c r="L1756" s="21"/>
      <c r="M1756" s="21"/>
    </row>
    <row r="1757">
      <c r="A1757" s="230"/>
      <c r="B1757" s="231"/>
      <c r="C1757" s="547"/>
      <c r="D1757" s="546"/>
      <c r="E1757" s="232"/>
      <c r="F1757" s="543"/>
      <c r="G1757" s="330"/>
      <c r="H1757" s="235"/>
      <c r="I1757" s="544"/>
      <c r="J1757" s="119"/>
      <c r="K1757" s="231"/>
      <c r="L1757" s="21"/>
      <c r="M1757" s="21"/>
    </row>
    <row r="1758">
      <c r="A1758" s="230"/>
      <c r="B1758" s="231"/>
      <c r="C1758" s="547"/>
      <c r="D1758" s="546"/>
      <c r="E1758" s="232"/>
      <c r="F1758" s="543"/>
      <c r="G1758" s="330"/>
      <c r="H1758" s="235"/>
      <c r="I1758" s="544"/>
      <c r="J1758" s="119"/>
      <c r="K1758" s="231"/>
      <c r="L1758" s="21"/>
      <c r="M1758" s="21"/>
    </row>
    <row r="1759">
      <c r="A1759" s="230"/>
      <c r="B1759" s="231"/>
      <c r="C1759" s="547"/>
      <c r="D1759" s="546"/>
      <c r="E1759" s="232"/>
      <c r="F1759" s="543"/>
      <c r="G1759" s="330"/>
      <c r="H1759" s="235"/>
      <c r="I1759" s="544"/>
      <c r="J1759" s="119"/>
      <c r="K1759" s="231"/>
      <c r="L1759" s="21"/>
      <c r="M1759" s="21"/>
    </row>
    <row r="1760">
      <c r="A1760" s="230"/>
      <c r="B1760" s="231"/>
      <c r="C1760" s="547"/>
      <c r="D1760" s="546"/>
      <c r="E1760" s="232"/>
      <c r="F1760" s="543"/>
      <c r="G1760" s="330"/>
      <c r="H1760" s="235"/>
      <c r="I1760" s="544"/>
      <c r="J1760" s="119"/>
      <c r="K1760" s="231"/>
      <c r="L1760" s="21"/>
      <c r="M1760" s="21"/>
    </row>
    <row r="1761">
      <c r="A1761" s="230"/>
      <c r="B1761" s="231"/>
      <c r="C1761" s="547"/>
      <c r="D1761" s="546"/>
      <c r="E1761" s="232"/>
      <c r="F1761" s="543"/>
      <c r="G1761" s="330"/>
      <c r="H1761" s="235"/>
      <c r="I1761" s="544"/>
      <c r="J1761" s="119"/>
      <c r="K1761" s="231"/>
      <c r="L1761" s="21"/>
      <c r="M1761" s="21"/>
    </row>
    <row r="1762">
      <c r="A1762" s="230"/>
      <c r="B1762" s="231"/>
      <c r="C1762" s="547"/>
      <c r="D1762" s="546"/>
      <c r="E1762" s="232"/>
      <c r="F1762" s="543"/>
      <c r="G1762" s="330"/>
      <c r="H1762" s="235"/>
      <c r="I1762" s="544"/>
      <c r="J1762" s="119"/>
      <c r="K1762" s="231"/>
      <c r="L1762" s="21"/>
      <c r="M1762" s="21"/>
    </row>
    <row r="1763">
      <c r="A1763" s="230"/>
      <c r="B1763" s="231"/>
      <c r="C1763" s="547"/>
      <c r="D1763" s="546"/>
      <c r="E1763" s="232"/>
      <c r="F1763" s="543"/>
      <c r="G1763" s="330"/>
      <c r="H1763" s="235"/>
      <c r="I1763" s="544"/>
      <c r="J1763" s="119"/>
      <c r="K1763" s="231"/>
      <c r="L1763" s="21"/>
      <c r="M1763" s="21"/>
    </row>
    <row r="1764">
      <c r="A1764" s="230"/>
      <c r="B1764" s="231"/>
      <c r="C1764" s="547"/>
      <c r="D1764" s="546"/>
      <c r="E1764" s="232"/>
      <c r="F1764" s="543"/>
      <c r="G1764" s="330"/>
      <c r="H1764" s="235"/>
      <c r="I1764" s="544"/>
      <c r="J1764" s="119"/>
      <c r="K1764" s="231"/>
      <c r="L1764" s="21"/>
      <c r="M1764" s="21"/>
    </row>
    <row r="1765">
      <c r="A1765" s="230"/>
      <c r="B1765" s="231"/>
      <c r="C1765" s="547"/>
      <c r="D1765" s="546"/>
      <c r="E1765" s="232"/>
      <c r="F1765" s="543"/>
      <c r="G1765" s="330"/>
      <c r="H1765" s="235"/>
      <c r="I1765" s="544"/>
      <c r="J1765" s="119"/>
      <c r="K1765" s="231"/>
      <c r="L1765" s="21"/>
      <c r="M1765" s="21"/>
    </row>
    <row r="1766">
      <c r="A1766" s="230"/>
      <c r="B1766" s="231"/>
      <c r="C1766" s="547"/>
      <c r="D1766" s="546"/>
      <c r="E1766" s="232"/>
      <c r="F1766" s="543"/>
      <c r="G1766" s="330"/>
      <c r="H1766" s="235"/>
      <c r="I1766" s="544"/>
      <c r="J1766" s="119"/>
      <c r="K1766" s="231"/>
      <c r="L1766" s="21"/>
      <c r="M1766" s="21"/>
    </row>
    <row r="1767">
      <c r="A1767" s="230"/>
      <c r="B1767" s="231"/>
      <c r="C1767" s="547"/>
      <c r="D1767" s="546"/>
      <c r="E1767" s="232"/>
      <c r="F1767" s="543"/>
      <c r="G1767" s="330"/>
      <c r="H1767" s="235"/>
      <c r="I1767" s="544"/>
      <c r="J1767" s="119"/>
      <c r="K1767" s="231"/>
      <c r="L1767" s="21"/>
      <c r="M1767" s="21"/>
    </row>
    <row r="1768">
      <c r="A1768" s="230"/>
      <c r="B1768" s="231"/>
      <c r="C1768" s="547"/>
      <c r="D1768" s="546"/>
      <c r="E1768" s="232"/>
      <c r="F1768" s="543"/>
      <c r="G1768" s="330"/>
      <c r="H1768" s="235"/>
      <c r="I1768" s="544"/>
      <c r="J1768" s="119"/>
      <c r="K1768" s="231"/>
      <c r="L1768" s="21"/>
      <c r="M1768" s="21"/>
    </row>
    <row r="1769">
      <c r="A1769" s="230"/>
      <c r="B1769" s="231"/>
      <c r="C1769" s="547"/>
      <c r="D1769" s="546"/>
      <c r="E1769" s="232"/>
      <c r="F1769" s="543"/>
      <c r="G1769" s="330"/>
      <c r="H1769" s="235"/>
      <c r="I1769" s="544"/>
      <c r="J1769" s="119"/>
      <c r="K1769" s="231"/>
      <c r="L1769" s="21"/>
      <c r="M1769" s="21"/>
    </row>
    <row r="1770">
      <c r="A1770" s="230"/>
      <c r="B1770" s="231"/>
      <c r="C1770" s="547"/>
      <c r="D1770" s="546"/>
      <c r="E1770" s="232"/>
      <c r="F1770" s="543"/>
      <c r="G1770" s="330"/>
      <c r="H1770" s="235"/>
      <c r="I1770" s="544"/>
      <c r="J1770" s="119"/>
      <c r="K1770" s="231"/>
      <c r="L1770" s="21"/>
      <c r="M1770" s="21"/>
    </row>
    <row r="1771">
      <c r="A1771" s="230"/>
      <c r="B1771" s="231"/>
      <c r="C1771" s="547"/>
      <c r="D1771" s="546"/>
      <c r="E1771" s="232"/>
      <c r="F1771" s="543"/>
      <c r="G1771" s="330"/>
      <c r="H1771" s="235"/>
      <c r="I1771" s="544"/>
      <c r="J1771" s="119"/>
      <c r="K1771" s="231"/>
      <c r="L1771" s="21"/>
      <c r="M1771" s="21"/>
    </row>
    <row r="1772">
      <c r="A1772" s="230"/>
      <c r="B1772" s="231"/>
      <c r="C1772" s="547"/>
      <c r="D1772" s="546"/>
      <c r="E1772" s="232"/>
      <c r="F1772" s="543"/>
      <c r="G1772" s="330"/>
      <c r="H1772" s="235"/>
      <c r="I1772" s="544"/>
      <c r="J1772" s="119"/>
      <c r="K1772" s="231"/>
      <c r="L1772" s="21"/>
      <c r="M1772" s="21"/>
    </row>
    <row r="1773">
      <c r="A1773" s="230"/>
      <c r="B1773" s="231"/>
      <c r="C1773" s="547"/>
      <c r="D1773" s="546"/>
      <c r="E1773" s="232"/>
      <c r="F1773" s="543"/>
      <c r="G1773" s="330"/>
      <c r="H1773" s="235"/>
      <c r="I1773" s="544"/>
      <c r="J1773" s="119"/>
      <c r="K1773" s="231"/>
      <c r="L1773" s="21"/>
      <c r="M1773" s="21"/>
    </row>
    <row r="1774">
      <c r="A1774" s="230"/>
      <c r="B1774" s="231"/>
      <c r="C1774" s="547"/>
      <c r="D1774" s="546"/>
      <c r="E1774" s="232"/>
      <c r="F1774" s="543"/>
      <c r="G1774" s="330"/>
      <c r="H1774" s="235"/>
      <c r="I1774" s="544"/>
      <c r="J1774" s="119"/>
      <c r="K1774" s="231"/>
      <c r="L1774" s="21"/>
      <c r="M1774" s="21"/>
    </row>
    <row r="1775">
      <c r="A1775" s="230"/>
      <c r="B1775" s="231"/>
      <c r="C1775" s="547"/>
      <c r="D1775" s="546"/>
      <c r="E1775" s="232"/>
      <c r="F1775" s="543"/>
      <c r="G1775" s="330"/>
      <c r="H1775" s="235"/>
      <c r="I1775" s="544"/>
      <c r="J1775" s="119"/>
      <c r="K1775" s="231"/>
      <c r="L1775" s="21"/>
      <c r="M1775" s="21"/>
    </row>
    <row r="1776">
      <c r="A1776" s="230"/>
      <c r="B1776" s="231"/>
      <c r="C1776" s="547"/>
      <c r="D1776" s="546"/>
      <c r="E1776" s="232"/>
      <c r="F1776" s="543"/>
      <c r="G1776" s="330"/>
      <c r="H1776" s="235"/>
      <c r="I1776" s="544"/>
      <c r="J1776" s="119"/>
      <c r="K1776" s="231"/>
      <c r="L1776" s="21"/>
      <c r="M1776" s="21"/>
    </row>
    <row r="1777">
      <c r="A1777" s="230"/>
      <c r="B1777" s="231"/>
      <c r="C1777" s="547"/>
      <c r="D1777" s="546"/>
      <c r="E1777" s="232"/>
      <c r="F1777" s="543"/>
      <c r="G1777" s="330"/>
      <c r="H1777" s="235"/>
      <c r="I1777" s="544"/>
      <c r="J1777" s="119"/>
      <c r="K1777" s="231"/>
      <c r="L1777" s="21"/>
      <c r="M1777" s="21"/>
    </row>
    <row r="1778">
      <c r="A1778" s="230"/>
      <c r="B1778" s="231"/>
      <c r="C1778" s="547"/>
      <c r="D1778" s="546"/>
      <c r="E1778" s="232"/>
      <c r="F1778" s="543"/>
      <c r="G1778" s="330"/>
      <c r="H1778" s="235"/>
      <c r="I1778" s="544"/>
      <c r="J1778" s="119"/>
      <c r="K1778" s="231"/>
      <c r="L1778" s="21"/>
      <c r="M1778" s="21"/>
    </row>
    <row r="1779">
      <c r="A1779" s="230"/>
      <c r="B1779" s="231"/>
      <c r="C1779" s="547"/>
      <c r="D1779" s="546"/>
      <c r="E1779" s="232"/>
      <c r="F1779" s="543"/>
      <c r="G1779" s="330"/>
      <c r="H1779" s="235"/>
      <c r="I1779" s="544"/>
      <c r="J1779" s="119"/>
      <c r="K1779" s="231"/>
      <c r="L1779" s="21"/>
      <c r="M1779" s="21"/>
    </row>
    <row r="1780">
      <c r="A1780" s="230"/>
      <c r="B1780" s="231"/>
      <c r="C1780" s="547"/>
      <c r="D1780" s="546"/>
      <c r="E1780" s="232"/>
      <c r="F1780" s="543"/>
      <c r="G1780" s="330"/>
      <c r="H1780" s="235"/>
      <c r="I1780" s="544"/>
      <c r="J1780" s="119"/>
      <c r="K1780" s="231"/>
      <c r="L1780" s="21"/>
      <c r="M1780" s="21"/>
    </row>
    <row r="1781">
      <c r="A1781" s="230"/>
      <c r="B1781" s="231"/>
      <c r="C1781" s="547"/>
      <c r="D1781" s="546"/>
      <c r="E1781" s="232"/>
      <c r="F1781" s="543"/>
      <c r="G1781" s="330"/>
      <c r="H1781" s="235"/>
      <c r="I1781" s="544"/>
      <c r="J1781" s="119"/>
      <c r="K1781" s="231"/>
      <c r="L1781" s="21"/>
      <c r="M1781" s="21"/>
    </row>
    <row r="1782">
      <c r="A1782" s="230"/>
      <c r="B1782" s="231"/>
      <c r="C1782" s="547"/>
      <c r="D1782" s="546"/>
      <c r="E1782" s="232"/>
      <c r="F1782" s="543"/>
      <c r="G1782" s="330"/>
      <c r="H1782" s="235"/>
      <c r="I1782" s="544"/>
      <c r="J1782" s="119"/>
      <c r="K1782" s="231"/>
      <c r="L1782" s="21"/>
      <c r="M1782" s="21"/>
    </row>
    <row r="1783">
      <c r="A1783" s="230"/>
      <c r="B1783" s="231"/>
      <c r="C1783" s="547"/>
      <c r="D1783" s="546"/>
      <c r="E1783" s="232"/>
      <c r="F1783" s="543"/>
      <c r="G1783" s="330"/>
      <c r="H1783" s="235"/>
      <c r="I1783" s="544"/>
      <c r="J1783" s="119"/>
      <c r="K1783" s="231"/>
      <c r="L1783" s="21"/>
      <c r="M1783" s="21"/>
    </row>
    <row r="1784">
      <c r="A1784" s="230"/>
      <c r="B1784" s="231"/>
      <c r="C1784" s="547"/>
      <c r="D1784" s="546"/>
      <c r="E1784" s="232"/>
      <c r="F1784" s="543"/>
      <c r="G1784" s="330"/>
      <c r="H1784" s="235"/>
      <c r="I1784" s="544"/>
      <c r="J1784" s="119"/>
      <c r="K1784" s="231"/>
      <c r="L1784" s="21"/>
      <c r="M1784" s="21"/>
    </row>
    <row r="1785">
      <c r="A1785" s="230"/>
      <c r="B1785" s="231"/>
      <c r="C1785" s="547"/>
      <c r="D1785" s="546"/>
      <c r="E1785" s="232"/>
      <c r="F1785" s="543"/>
      <c r="G1785" s="330"/>
      <c r="H1785" s="235"/>
      <c r="I1785" s="544"/>
      <c r="J1785" s="119"/>
      <c r="K1785" s="231"/>
      <c r="L1785" s="21"/>
      <c r="M1785" s="21"/>
    </row>
    <row r="1786">
      <c r="A1786" s="230"/>
      <c r="B1786" s="231"/>
      <c r="C1786" s="547"/>
      <c r="D1786" s="546"/>
      <c r="E1786" s="232"/>
      <c r="F1786" s="543"/>
      <c r="G1786" s="330"/>
      <c r="H1786" s="235"/>
      <c r="I1786" s="544"/>
      <c r="J1786" s="119"/>
      <c r="K1786" s="231"/>
      <c r="L1786" s="21"/>
      <c r="M1786" s="21"/>
    </row>
    <row r="1787">
      <c r="A1787" s="230"/>
      <c r="B1787" s="231"/>
      <c r="C1787" s="547"/>
      <c r="D1787" s="546"/>
      <c r="E1787" s="232"/>
      <c r="F1787" s="543"/>
      <c r="G1787" s="330"/>
      <c r="H1787" s="235"/>
      <c r="I1787" s="544"/>
      <c r="J1787" s="119"/>
      <c r="K1787" s="231"/>
      <c r="L1787" s="21"/>
      <c r="M1787" s="21"/>
    </row>
    <row r="1788">
      <c r="A1788" s="230"/>
      <c r="B1788" s="231"/>
      <c r="C1788" s="547"/>
      <c r="D1788" s="546"/>
      <c r="E1788" s="232"/>
      <c r="F1788" s="543"/>
      <c r="G1788" s="330"/>
      <c r="H1788" s="235"/>
      <c r="I1788" s="544"/>
      <c r="J1788" s="119"/>
      <c r="K1788" s="231"/>
      <c r="L1788" s="21"/>
      <c r="M1788" s="21"/>
    </row>
    <row r="1789">
      <c r="A1789" s="230"/>
      <c r="B1789" s="231"/>
      <c r="C1789" s="547"/>
      <c r="D1789" s="546"/>
      <c r="E1789" s="232"/>
      <c r="F1789" s="543"/>
      <c r="G1789" s="330"/>
      <c r="H1789" s="235"/>
      <c r="I1789" s="544"/>
      <c r="J1789" s="119"/>
      <c r="K1789" s="231"/>
      <c r="L1789" s="21"/>
      <c r="M1789" s="21"/>
    </row>
    <row r="1790">
      <c r="A1790" s="230"/>
      <c r="B1790" s="231"/>
      <c r="C1790" s="547"/>
      <c r="D1790" s="546"/>
      <c r="E1790" s="232"/>
      <c r="F1790" s="543"/>
      <c r="G1790" s="330"/>
      <c r="H1790" s="235"/>
      <c r="I1790" s="544"/>
      <c r="J1790" s="119"/>
      <c r="K1790" s="231"/>
      <c r="L1790" s="21"/>
      <c r="M1790" s="21"/>
    </row>
    <row r="1791">
      <c r="A1791" s="230"/>
      <c r="B1791" s="231"/>
      <c r="C1791" s="547"/>
      <c r="D1791" s="546"/>
      <c r="E1791" s="232"/>
      <c r="F1791" s="543"/>
      <c r="G1791" s="330"/>
      <c r="H1791" s="235"/>
      <c r="I1791" s="544"/>
      <c r="J1791" s="119"/>
      <c r="K1791" s="231"/>
      <c r="L1791" s="21"/>
      <c r="M1791" s="21"/>
    </row>
    <row r="1792">
      <c r="A1792" s="230"/>
      <c r="B1792" s="231"/>
      <c r="C1792" s="547"/>
      <c r="D1792" s="546"/>
      <c r="E1792" s="232"/>
      <c r="F1792" s="543"/>
      <c r="G1792" s="330"/>
      <c r="H1792" s="235"/>
      <c r="I1792" s="544"/>
      <c r="J1792" s="119"/>
      <c r="K1792" s="231"/>
      <c r="L1792" s="21"/>
      <c r="M1792" s="21"/>
    </row>
    <row r="1793">
      <c r="A1793" s="230"/>
      <c r="B1793" s="231"/>
      <c r="C1793" s="547"/>
      <c r="D1793" s="546"/>
      <c r="E1793" s="232"/>
      <c r="F1793" s="543"/>
      <c r="G1793" s="330"/>
      <c r="H1793" s="235"/>
      <c r="I1793" s="544"/>
      <c r="J1793" s="119"/>
      <c r="K1793" s="231"/>
      <c r="L1793" s="21"/>
      <c r="M1793" s="21"/>
    </row>
    <row r="1794">
      <c r="A1794" s="230"/>
      <c r="B1794" s="231"/>
      <c r="C1794" s="547"/>
      <c r="D1794" s="546"/>
      <c r="E1794" s="232"/>
      <c r="F1794" s="543"/>
      <c r="G1794" s="330"/>
      <c r="H1794" s="235"/>
      <c r="I1794" s="544"/>
      <c r="J1794" s="119"/>
      <c r="K1794" s="231"/>
      <c r="L1794" s="21"/>
      <c r="M1794" s="21"/>
    </row>
    <row r="1795">
      <c r="A1795" s="230"/>
      <c r="B1795" s="231"/>
      <c r="C1795" s="547"/>
      <c r="D1795" s="546"/>
      <c r="E1795" s="232"/>
      <c r="F1795" s="543"/>
      <c r="G1795" s="330"/>
      <c r="H1795" s="235"/>
      <c r="I1795" s="544"/>
      <c r="J1795" s="119"/>
      <c r="K1795" s="231"/>
      <c r="L1795" s="21"/>
      <c r="M1795" s="21"/>
    </row>
    <row r="1796">
      <c r="A1796" s="230"/>
      <c r="B1796" s="231"/>
      <c r="C1796" s="547"/>
      <c r="D1796" s="546"/>
      <c r="E1796" s="232"/>
      <c r="F1796" s="543"/>
      <c r="G1796" s="330"/>
      <c r="H1796" s="235"/>
      <c r="I1796" s="544"/>
      <c r="J1796" s="119"/>
      <c r="K1796" s="231"/>
      <c r="L1796" s="21"/>
      <c r="M1796" s="21"/>
    </row>
    <row r="1797">
      <c r="A1797" s="230"/>
      <c r="B1797" s="231"/>
      <c r="C1797" s="547"/>
      <c r="D1797" s="546"/>
      <c r="E1797" s="232"/>
      <c r="F1797" s="543"/>
      <c r="G1797" s="330"/>
      <c r="H1797" s="235"/>
      <c r="I1797" s="544"/>
      <c r="J1797" s="119"/>
      <c r="K1797" s="231"/>
      <c r="L1797" s="21"/>
      <c r="M1797" s="21"/>
    </row>
    <row r="1798">
      <c r="A1798" s="230"/>
      <c r="B1798" s="231"/>
      <c r="C1798" s="547"/>
      <c r="D1798" s="546"/>
      <c r="E1798" s="232"/>
      <c r="F1798" s="543"/>
      <c r="G1798" s="330"/>
      <c r="H1798" s="235"/>
      <c r="I1798" s="544"/>
      <c r="J1798" s="119"/>
      <c r="K1798" s="231"/>
      <c r="L1798" s="21"/>
      <c r="M1798" s="21"/>
    </row>
    <row r="1799">
      <c r="A1799" s="230"/>
      <c r="B1799" s="231"/>
      <c r="C1799" s="547"/>
      <c r="D1799" s="546"/>
      <c r="E1799" s="232"/>
      <c r="F1799" s="543"/>
      <c r="G1799" s="330"/>
      <c r="H1799" s="235"/>
      <c r="I1799" s="544"/>
      <c r="J1799" s="119"/>
      <c r="K1799" s="231"/>
      <c r="L1799" s="21"/>
      <c r="M1799" s="21"/>
    </row>
    <row r="1800">
      <c r="A1800" s="230"/>
      <c r="B1800" s="231"/>
      <c r="C1800" s="547"/>
      <c r="D1800" s="546"/>
      <c r="E1800" s="232"/>
      <c r="F1800" s="543"/>
      <c r="G1800" s="330"/>
      <c r="H1800" s="235"/>
      <c r="I1800" s="544"/>
      <c r="J1800" s="119"/>
      <c r="K1800" s="231"/>
      <c r="L1800" s="21"/>
      <c r="M1800" s="21"/>
    </row>
    <row r="1801">
      <c r="A1801" s="230"/>
      <c r="B1801" s="231"/>
      <c r="C1801" s="547"/>
      <c r="D1801" s="546"/>
      <c r="E1801" s="232"/>
      <c r="F1801" s="543"/>
      <c r="G1801" s="330"/>
      <c r="H1801" s="235"/>
      <c r="I1801" s="544"/>
      <c r="J1801" s="119"/>
      <c r="K1801" s="231"/>
      <c r="L1801" s="21"/>
      <c r="M1801" s="21"/>
    </row>
    <row r="1802">
      <c r="A1802" s="230"/>
      <c r="B1802" s="231"/>
      <c r="C1802" s="547"/>
      <c r="D1802" s="546"/>
      <c r="E1802" s="232"/>
      <c r="F1802" s="543"/>
      <c r="G1802" s="330"/>
      <c r="H1802" s="235"/>
      <c r="I1802" s="544"/>
      <c r="J1802" s="119"/>
      <c r="K1802" s="231"/>
      <c r="L1802" s="21"/>
      <c r="M1802" s="21"/>
    </row>
    <row r="1803">
      <c r="A1803" s="230"/>
      <c r="B1803" s="231"/>
      <c r="C1803" s="547"/>
      <c r="D1803" s="546"/>
      <c r="E1803" s="232"/>
      <c r="F1803" s="543"/>
      <c r="G1803" s="330"/>
      <c r="H1803" s="235"/>
      <c r="I1803" s="544"/>
      <c r="J1803" s="119"/>
      <c r="K1803" s="231"/>
      <c r="L1803" s="21"/>
      <c r="M1803" s="21"/>
    </row>
    <row r="1804">
      <c r="A1804" s="230"/>
      <c r="B1804" s="231"/>
      <c r="C1804" s="547"/>
      <c r="D1804" s="546"/>
      <c r="E1804" s="232"/>
      <c r="F1804" s="543"/>
      <c r="G1804" s="330"/>
      <c r="H1804" s="235"/>
      <c r="I1804" s="544"/>
      <c r="J1804" s="119"/>
      <c r="K1804" s="231"/>
      <c r="L1804" s="21"/>
      <c r="M1804" s="21"/>
    </row>
    <row r="1805">
      <c r="A1805" s="230"/>
      <c r="B1805" s="231"/>
      <c r="C1805" s="547"/>
      <c r="D1805" s="546"/>
      <c r="E1805" s="232"/>
      <c r="F1805" s="543"/>
      <c r="G1805" s="330"/>
      <c r="H1805" s="235"/>
      <c r="I1805" s="544"/>
      <c r="J1805" s="119"/>
      <c r="K1805" s="231"/>
      <c r="L1805" s="21"/>
      <c r="M1805" s="21"/>
    </row>
    <row r="1806">
      <c r="A1806" s="230"/>
      <c r="B1806" s="231"/>
      <c r="C1806" s="547"/>
      <c r="D1806" s="546"/>
      <c r="E1806" s="232"/>
      <c r="F1806" s="543"/>
      <c r="G1806" s="330"/>
      <c r="H1806" s="235"/>
      <c r="I1806" s="544"/>
      <c r="J1806" s="119"/>
      <c r="K1806" s="231"/>
      <c r="L1806" s="21"/>
      <c r="M1806" s="21"/>
    </row>
    <row r="1807">
      <c r="A1807" s="230"/>
      <c r="B1807" s="231"/>
      <c r="C1807" s="547"/>
      <c r="D1807" s="546"/>
      <c r="E1807" s="232"/>
      <c r="F1807" s="543"/>
      <c r="G1807" s="330"/>
      <c r="H1807" s="235"/>
      <c r="I1807" s="544"/>
      <c r="J1807" s="119"/>
      <c r="K1807" s="231"/>
      <c r="L1807" s="21"/>
      <c r="M1807" s="21"/>
    </row>
    <row r="1808">
      <c r="A1808" s="230"/>
      <c r="B1808" s="231"/>
      <c r="C1808" s="547"/>
      <c r="D1808" s="546"/>
      <c r="E1808" s="232"/>
      <c r="F1808" s="543"/>
      <c r="G1808" s="330"/>
      <c r="H1808" s="235"/>
      <c r="I1808" s="544"/>
      <c r="J1808" s="119"/>
      <c r="K1808" s="231"/>
      <c r="L1808" s="21"/>
      <c r="M1808" s="21"/>
    </row>
    <row r="1809">
      <c r="A1809" s="230"/>
      <c r="B1809" s="231"/>
      <c r="C1809" s="547"/>
      <c r="D1809" s="546"/>
      <c r="E1809" s="232"/>
      <c r="F1809" s="543"/>
      <c r="G1809" s="330"/>
      <c r="H1809" s="235"/>
      <c r="I1809" s="544"/>
      <c r="J1809" s="119"/>
      <c r="K1809" s="231"/>
      <c r="L1809" s="21"/>
      <c r="M1809" s="21"/>
    </row>
    <row r="1810">
      <c r="A1810" s="230"/>
      <c r="B1810" s="231"/>
      <c r="C1810" s="547"/>
      <c r="D1810" s="546"/>
      <c r="E1810" s="232"/>
      <c r="F1810" s="543"/>
      <c r="G1810" s="330"/>
      <c r="H1810" s="235"/>
      <c r="I1810" s="544"/>
      <c r="J1810" s="119"/>
      <c r="K1810" s="231"/>
      <c r="L1810" s="21"/>
      <c r="M1810" s="21"/>
    </row>
    <row r="1811">
      <c r="A1811" s="230"/>
      <c r="B1811" s="231"/>
      <c r="C1811" s="547"/>
      <c r="D1811" s="546"/>
      <c r="E1811" s="232"/>
      <c r="F1811" s="543"/>
      <c r="G1811" s="330"/>
      <c r="H1811" s="235"/>
      <c r="I1811" s="544"/>
      <c r="J1811" s="119"/>
      <c r="K1811" s="231"/>
      <c r="L1811" s="21"/>
      <c r="M1811" s="21"/>
    </row>
    <row r="1812">
      <c r="A1812" s="230"/>
      <c r="B1812" s="231"/>
      <c r="C1812" s="547"/>
      <c r="D1812" s="546"/>
      <c r="E1812" s="232"/>
      <c r="F1812" s="543"/>
      <c r="G1812" s="330"/>
      <c r="H1812" s="235"/>
      <c r="I1812" s="544"/>
      <c r="J1812" s="119"/>
      <c r="K1812" s="231"/>
      <c r="L1812" s="21"/>
      <c r="M1812" s="21"/>
    </row>
    <row r="1813">
      <c r="A1813" s="230"/>
      <c r="B1813" s="231"/>
      <c r="C1813" s="547"/>
      <c r="D1813" s="546"/>
      <c r="E1813" s="232"/>
      <c r="F1813" s="543"/>
      <c r="G1813" s="330"/>
      <c r="H1813" s="235"/>
      <c r="I1813" s="544"/>
      <c r="J1813" s="119"/>
      <c r="K1813" s="231"/>
      <c r="L1813" s="21"/>
      <c r="M1813" s="21"/>
    </row>
    <row r="1814">
      <c r="A1814" s="230"/>
      <c r="B1814" s="231"/>
      <c r="C1814" s="547"/>
      <c r="D1814" s="546"/>
      <c r="E1814" s="232"/>
      <c r="F1814" s="543"/>
      <c r="G1814" s="330"/>
      <c r="H1814" s="235"/>
      <c r="I1814" s="544"/>
      <c r="J1814" s="119"/>
      <c r="K1814" s="231"/>
      <c r="L1814" s="21"/>
      <c r="M1814" s="21"/>
    </row>
    <row r="1815">
      <c r="A1815" s="230"/>
      <c r="B1815" s="231"/>
      <c r="C1815" s="547"/>
      <c r="D1815" s="546"/>
      <c r="E1815" s="232"/>
      <c r="F1815" s="543"/>
      <c r="G1815" s="330"/>
      <c r="H1815" s="235"/>
      <c r="I1815" s="544"/>
      <c r="J1815" s="119"/>
      <c r="K1815" s="231"/>
      <c r="L1815" s="21"/>
      <c r="M1815" s="21"/>
    </row>
    <row r="1816">
      <c r="A1816" s="230"/>
      <c r="B1816" s="231"/>
      <c r="C1816" s="547"/>
      <c r="D1816" s="546"/>
      <c r="E1816" s="232"/>
      <c r="F1816" s="543"/>
      <c r="G1816" s="330"/>
      <c r="H1816" s="235"/>
      <c r="I1816" s="544"/>
      <c r="J1816" s="119"/>
      <c r="K1816" s="231"/>
      <c r="L1816" s="21"/>
      <c r="M1816" s="21"/>
    </row>
    <row r="1817">
      <c r="A1817" s="230"/>
      <c r="B1817" s="231"/>
      <c r="C1817" s="547"/>
      <c r="D1817" s="546"/>
      <c r="E1817" s="232"/>
      <c r="F1817" s="543"/>
      <c r="G1817" s="330"/>
      <c r="H1817" s="235"/>
      <c r="I1817" s="544"/>
      <c r="J1817" s="119"/>
      <c r="K1817" s="231"/>
      <c r="L1817" s="21"/>
      <c r="M1817" s="21"/>
    </row>
    <row r="1818">
      <c r="A1818" s="230"/>
      <c r="B1818" s="231"/>
      <c r="C1818" s="547"/>
      <c r="D1818" s="546"/>
      <c r="E1818" s="232"/>
      <c r="F1818" s="543"/>
      <c r="G1818" s="330"/>
      <c r="H1818" s="235"/>
      <c r="I1818" s="544"/>
      <c r="J1818" s="119"/>
      <c r="K1818" s="231"/>
      <c r="L1818" s="21"/>
      <c r="M1818" s="21"/>
    </row>
    <row r="1819">
      <c r="A1819" s="230"/>
      <c r="B1819" s="231"/>
      <c r="C1819" s="547"/>
      <c r="D1819" s="546"/>
      <c r="E1819" s="232"/>
      <c r="F1819" s="543"/>
      <c r="G1819" s="330"/>
      <c r="H1819" s="235"/>
      <c r="I1819" s="544"/>
      <c r="J1819" s="119"/>
      <c r="K1819" s="231"/>
      <c r="L1819" s="21"/>
      <c r="M1819" s="21"/>
    </row>
    <row r="1820">
      <c r="A1820" s="230"/>
      <c r="B1820" s="231"/>
      <c r="C1820" s="547"/>
      <c r="D1820" s="546"/>
      <c r="E1820" s="232"/>
      <c r="F1820" s="543"/>
      <c r="G1820" s="330"/>
      <c r="H1820" s="235"/>
      <c r="I1820" s="544"/>
      <c r="J1820" s="119"/>
      <c r="K1820" s="231"/>
      <c r="L1820" s="21"/>
      <c r="M1820" s="21"/>
    </row>
    <row r="1821">
      <c r="A1821" s="230"/>
      <c r="B1821" s="231"/>
      <c r="C1821" s="547"/>
      <c r="D1821" s="546"/>
      <c r="E1821" s="232"/>
      <c r="F1821" s="543"/>
      <c r="G1821" s="330"/>
      <c r="H1821" s="235"/>
      <c r="I1821" s="544"/>
      <c r="J1821" s="119"/>
      <c r="K1821" s="231"/>
      <c r="L1821" s="21"/>
      <c r="M1821" s="21"/>
    </row>
    <row r="1822">
      <c r="A1822" s="230"/>
      <c r="B1822" s="231"/>
      <c r="C1822" s="547"/>
      <c r="D1822" s="546"/>
      <c r="E1822" s="232"/>
      <c r="F1822" s="543"/>
      <c r="G1822" s="330"/>
      <c r="H1822" s="235"/>
      <c r="I1822" s="544"/>
      <c r="J1822" s="119"/>
      <c r="K1822" s="231"/>
      <c r="L1822" s="21"/>
      <c r="M1822" s="21"/>
    </row>
    <row r="1823">
      <c r="A1823" s="230"/>
      <c r="B1823" s="231"/>
      <c r="C1823" s="547"/>
      <c r="D1823" s="546"/>
      <c r="E1823" s="232"/>
      <c r="F1823" s="543"/>
      <c r="G1823" s="330"/>
      <c r="H1823" s="235"/>
      <c r="I1823" s="544"/>
      <c r="J1823" s="119"/>
      <c r="K1823" s="231"/>
      <c r="L1823" s="21"/>
      <c r="M1823" s="21"/>
    </row>
    <row r="1824">
      <c r="A1824" s="230"/>
      <c r="B1824" s="231"/>
      <c r="C1824" s="547"/>
      <c r="D1824" s="546"/>
      <c r="E1824" s="232"/>
      <c r="F1824" s="543"/>
      <c r="G1824" s="330"/>
      <c r="H1824" s="235"/>
      <c r="I1824" s="544"/>
      <c r="J1824" s="119"/>
      <c r="K1824" s="231"/>
      <c r="L1824" s="21"/>
      <c r="M1824" s="21"/>
    </row>
    <row r="1825">
      <c r="A1825" s="230"/>
      <c r="B1825" s="231"/>
      <c r="C1825" s="547"/>
      <c r="D1825" s="546"/>
      <c r="E1825" s="232"/>
      <c r="F1825" s="543"/>
      <c r="G1825" s="330"/>
      <c r="H1825" s="235"/>
      <c r="I1825" s="544"/>
      <c r="J1825" s="119"/>
      <c r="K1825" s="231"/>
      <c r="L1825" s="21"/>
      <c r="M1825" s="21"/>
    </row>
    <row r="1826">
      <c r="A1826" s="230"/>
      <c r="B1826" s="231"/>
      <c r="C1826" s="547"/>
      <c r="D1826" s="546"/>
      <c r="E1826" s="232"/>
      <c r="F1826" s="543"/>
      <c r="G1826" s="330"/>
      <c r="H1826" s="235"/>
      <c r="I1826" s="544"/>
      <c r="J1826" s="119"/>
      <c r="K1826" s="231"/>
      <c r="L1826" s="21"/>
      <c r="M1826" s="21"/>
    </row>
    <row r="1827">
      <c r="A1827" s="230"/>
      <c r="B1827" s="231"/>
      <c r="C1827" s="547"/>
      <c r="D1827" s="546"/>
      <c r="E1827" s="232"/>
      <c r="F1827" s="543"/>
      <c r="G1827" s="330"/>
      <c r="H1827" s="235"/>
      <c r="I1827" s="544"/>
      <c r="J1827" s="119"/>
      <c r="K1827" s="231"/>
      <c r="L1827" s="21"/>
      <c r="M1827" s="21"/>
    </row>
    <row r="1828">
      <c r="A1828" s="230"/>
      <c r="B1828" s="231"/>
      <c r="C1828" s="547"/>
      <c r="D1828" s="546"/>
      <c r="E1828" s="232"/>
      <c r="F1828" s="543"/>
      <c r="G1828" s="330"/>
      <c r="H1828" s="235"/>
      <c r="I1828" s="544"/>
      <c r="J1828" s="119"/>
      <c r="K1828" s="231"/>
      <c r="L1828" s="21"/>
      <c r="M1828" s="21"/>
    </row>
    <row r="1829">
      <c r="A1829" s="230"/>
      <c r="B1829" s="231"/>
      <c r="C1829" s="547"/>
      <c r="D1829" s="546"/>
      <c r="E1829" s="232"/>
      <c r="F1829" s="543"/>
      <c r="G1829" s="330"/>
      <c r="H1829" s="235"/>
      <c r="I1829" s="544"/>
      <c r="J1829" s="119"/>
      <c r="K1829" s="231"/>
      <c r="L1829" s="21"/>
      <c r="M1829" s="21"/>
    </row>
    <row r="1830">
      <c r="A1830" s="230"/>
      <c r="B1830" s="231"/>
      <c r="C1830" s="547"/>
      <c r="D1830" s="546"/>
      <c r="E1830" s="232"/>
      <c r="F1830" s="543"/>
      <c r="G1830" s="330"/>
      <c r="H1830" s="235"/>
      <c r="I1830" s="544"/>
      <c r="J1830" s="119"/>
      <c r="K1830" s="231"/>
      <c r="L1830" s="21"/>
      <c r="M1830" s="21"/>
    </row>
    <row r="1831">
      <c r="A1831" s="230"/>
      <c r="B1831" s="231"/>
      <c r="C1831" s="547"/>
      <c r="D1831" s="546"/>
      <c r="E1831" s="232"/>
      <c r="F1831" s="543"/>
      <c r="G1831" s="330"/>
      <c r="H1831" s="235"/>
      <c r="I1831" s="544"/>
      <c r="J1831" s="119"/>
      <c r="K1831" s="231"/>
      <c r="L1831" s="21"/>
      <c r="M1831" s="21"/>
    </row>
    <row r="1832">
      <c r="A1832" s="230"/>
      <c r="B1832" s="231"/>
      <c r="C1832" s="547"/>
      <c r="D1832" s="546"/>
      <c r="E1832" s="232"/>
      <c r="F1832" s="543"/>
      <c r="G1832" s="330"/>
      <c r="H1832" s="235"/>
      <c r="I1832" s="544"/>
      <c r="J1832" s="119"/>
      <c r="K1832" s="231"/>
      <c r="L1832" s="21"/>
      <c r="M1832" s="21"/>
    </row>
    <row r="1833">
      <c r="A1833" s="230"/>
      <c r="B1833" s="231"/>
      <c r="C1833" s="547"/>
      <c r="D1833" s="546"/>
      <c r="E1833" s="232"/>
      <c r="F1833" s="543"/>
      <c r="G1833" s="330"/>
      <c r="H1833" s="235"/>
      <c r="I1833" s="544"/>
      <c r="J1833" s="119"/>
      <c r="K1833" s="231"/>
      <c r="L1833" s="21"/>
      <c r="M1833" s="21"/>
    </row>
    <row r="1834">
      <c r="A1834" s="230"/>
      <c r="B1834" s="231"/>
      <c r="C1834" s="547"/>
      <c r="D1834" s="546"/>
      <c r="E1834" s="232"/>
      <c r="F1834" s="543"/>
      <c r="G1834" s="330"/>
      <c r="H1834" s="235"/>
      <c r="I1834" s="544"/>
      <c r="J1834" s="119"/>
      <c r="K1834" s="231"/>
      <c r="L1834" s="21"/>
      <c r="M1834" s="21"/>
    </row>
    <row r="1835">
      <c r="A1835" s="230"/>
      <c r="B1835" s="231"/>
      <c r="C1835" s="547"/>
      <c r="D1835" s="546"/>
      <c r="E1835" s="232"/>
      <c r="F1835" s="543"/>
      <c r="G1835" s="330"/>
      <c r="H1835" s="235"/>
      <c r="I1835" s="544"/>
      <c r="J1835" s="119"/>
      <c r="K1835" s="231"/>
      <c r="L1835" s="21"/>
      <c r="M1835" s="21"/>
    </row>
    <row r="1836">
      <c r="A1836" s="230"/>
      <c r="B1836" s="231"/>
      <c r="C1836" s="547"/>
      <c r="D1836" s="546"/>
      <c r="E1836" s="232"/>
      <c r="F1836" s="543"/>
      <c r="G1836" s="330"/>
      <c r="H1836" s="235"/>
      <c r="I1836" s="544"/>
      <c r="J1836" s="119"/>
      <c r="K1836" s="231"/>
      <c r="L1836" s="21"/>
      <c r="M1836" s="21"/>
    </row>
    <row r="1837">
      <c r="A1837" s="230"/>
      <c r="B1837" s="231"/>
      <c r="C1837" s="547"/>
      <c r="D1837" s="546"/>
      <c r="E1837" s="232"/>
      <c r="F1837" s="543"/>
      <c r="G1837" s="330"/>
      <c r="H1837" s="235"/>
      <c r="I1837" s="544"/>
      <c r="J1837" s="119"/>
      <c r="K1837" s="231"/>
      <c r="L1837" s="21"/>
      <c r="M1837" s="21"/>
    </row>
    <row r="1838">
      <c r="A1838" s="230"/>
      <c r="B1838" s="231"/>
      <c r="C1838" s="547"/>
      <c r="D1838" s="546"/>
      <c r="E1838" s="232"/>
      <c r="F1838" s="543"/>
      <c r="G1838" s="330"/>
      <c r="H1838" s="235"/>
      <c r="I1838" s="544"/>
      <c r="J1838" s="119"/>
      <c r="K1838" s="231"/>
      <c r="L1838" s="21"/>
      <c r="M1838" s="21"/>
    </row>
    <row r="1839">
      <c r="A1839" s="230"/>
      <c r="B1839" s="231"/>
      <c r="C1839" s="547"/>
      <c r="D1839" s="546"/>
      <c r="E1839" s="232"/>
      <c r="F1839" s="543"/>
      <c r="G1839" s="330"/>
      <c r="H1839" s="235"/>
      <c r="I1839" s="544"/>
      <c r="J1839" s="119"/>
      <c r="K1839" s="231"/>
      <c r="L1839" s="21"/>
      <c r="M1839" s="21"/>
    </row>
    <row r="1840">
      <c r="A1840" s="230"/>
      <c r="B1840" s="231"/>
      <c r="C1840" s="547"/>
      <c r="D1840" s="546"/>
      <c r="E1840" s="232"/>
      <c r="F1840" s="543"/>
      <c r="G1840" s="330"/>
      <c r="H1840" s="235"/>
      <c r="I1840" s="544"/>
      <c r="J1840" s="119"/>
      <c r="K1840" s="231"/>
      <c r="L1840" s="21"/>
      <c r="M1840" s="21"/>
    </row>
    <row r="1841">
      <c r="A1841" s="230"/>
      <c r="B1841" s="231"/>
      <c r="C1841" s="547"/>
      <c r="D1841" s="546"/>
      <c r="E1841" s="232"/>
      <c r="F1841" s="543"/>
      <c r="G1841" s="330"/>
      <c r="H1841" s="235"/>
      <c r="I1841" s="544"/>
      <c r="J1841" s="119"/>
      <c r="K1841" s="231"/>
      <c r="L1841" s="21"/>
      <c r="M1841" s="21"/>
    </row>
    <row r="1842">
      <c r="A1842" s="230"/>
      <c r="B1842" s="231"/>
      <c r="C1842" s="547"/>
      <c r="D1842" s="546"/>
      <c r="E1842" s="232"/>
      <c r="F1842" s="543"/>
      <c r="G1842" s="330"/>
      <c r="H1842" s="235"/>
      <c r="I1842" s="544"/>
      <c r="J1842" s="119"/>
      <c r="K1842" s="231"/>
      <c r="L1842" s="21"/>
      <c r="M1842" s="21"/>
    </row>
    <row r="1843">
      <c r="A1843" s="230"/>
      <c r="B1843" s="231"/>
      <c r="C1843" s="547"/>
      <c r="D1843" s="546"/>
      <c r="E1843" s="232"/>
      <c r="F1843" s="543"/>
      <c r="G1843" s="330"/>
      <c r="H1843" s="235"/>
      <c r="I1843" s="544"/>
      <c r="J1843" s="119"/>
      <c r="K1843" s="231"/>
      <c r="L1843" s="21"/>
      <c r="M1843" s="21"/>
    </row>
    <row r="1844">
      <c r="A1844" s="230"/>
      <c r="B1844" s="231"/>
      <c r="C1844" s="547"/>
      <c r="D1844" s="546"/>
      <c r="E1844" s="232"/>
      <c r="F1844" s="543"/>
      <c r="G1844" s="330"/>
      <c r="H1844" s="235"/>
      <c r="I1844" s="544"/>
      <c r="J1844" s="119"/>
      <c r="K1844" s="231"/>
      <c r="L1844" s="21"/>
      <c r="M1844" s="21"/>
    </row>
    <row r="1845">
      <c r="A1845" s="230"/>
      <c r="B1845" s="231"/>
      <c r="C1845" s="547"/>
      <c r="D1845" s="546"/>
      <c r="E1845" s="232"/>
      <c r="F1845" s="543"/>
      <c r="G1845" s="330"/>
      <c r="H1845" s="235"/>
      <c r="I1845" s="544"/>
      <c r="J1845" s="119"/>
      <c r="K1845" s="231"/>
      <c r="L1845" s="21"/>
      <c r="M1845" s="21"/>
    </row>
    <row r="1846">
      <c r="A1846" s="230"/>
      <c r="B1846" s="231"/>
      <c r="C1846" s="547"/>
      <c r="D1846" s="546"/>
      <c r="E1846" s="232"/>
      <c r="F1846" s="543"/>
      <c r="G1846" s="330"/>
      <c r="H1846" s="235"/>
      <c r="I1846" s="544"/>
      <c r="J1846" s="119"/>
      <c r="K1846" s="231"/>
      <c r="L1846" s="21"/>
      <c r="M1846" s="21"/>
    </row>
    <row r="1847">
      <c r="A1847" s="230"/>
      <c r="B1847" s="231"/>
      <c r="C1847" s="547"/>
      <c r="D1847" s="546"/>
      <c r="E1847" s="232"/>
      <c r="F1847" s="543"/>
      <c r="G1847" s="330"/>
      <c r="H1847" s="235"/>
      <c r="I1847" s="544"/>
      <c r="J1847" s="119"/>
      <c r="K1847" s="231"/>
      <c r="L1847" s="21"/>
      <c r="M1847" s="21"/>
    </row>
    <row r="1848">
      <c r="A1848" s="230"/>
      <c r="B1848" s="231"/>
      <c r="C1848" s="547"/>
      <c r="D1848" s="546"/>
      <c r="E1848" s="232"/>
      <c r="F1848" s="543"/>
      <c r="G1848" s="330"/>
      <c r="H1848" s="235"/>
      <c r="I1848" s="544"/>
      <c r="J1848" s="119"/>
      <c r="K1848" s="231"/>
      <c r="L1848" s="21"/>
      <c r="M1848" s="21"/>
    </row>
    <row r="1849">
      <c r="A1849" s="230"/>
      <c r="B1849" s="231"/>
      <c r="C1849" s="547"/>
      <c r="D1849" s="546"/>
      <c r="E1849" s="232"/>
      <c r="F1849" s="543"/>
      <c r="G1849" s="330"/>
      <c r="H1849" s="235"/>
      <c r="I1849" s="544"/>
      <c r="J1849" s="119"/>
      <c r="K1849" s="231"/>
      <c r="L1849" s="21"/>
      <c r="M1849" s="21"/>
    </row>
    <row r="1850">
      <c r="A1850" s="230"/>
      <c r="B1850" s="231"/>
      <c r="C1850" s="547"/>
      <c r="D1850" s="546"/>
      <c r="E1850" s="232"/>
      <c r="F1850" s="543"/>
      <c r="G1850" s="330"/>
      <c r="H1850" s="235"/>
      <c r="I1850" s="544"/>
      <c r="J1850" s="119"/>
      <c r="K1850" s="231"/>
      <c r="L1850" s="21"/>
      <c r="M1850" s="21"/>
    </row>
    <row r="1851">
      <c r="A1851" s="230"/>
      <c r="B1851" s="231"/>
      <c r="C1851" s="547"/>
      <c r="D1851" s="546"/>
      <c r="E1851" s="232"/>
      <c r="F1851" s="543"/>
      <c r="G1851" s="330"/>
      <c r="H1851" s="235"/>
      <c r="I1851" s="544"/>
      <c r="J1851" s="119"/>
      <c r="K1851" s="231"/>
      <c r="L1851" s="21"/>
      <c r="M1851" s="21"/>
    </row>
    <row r="1852">
      <c r="A1852" s="230"/>
      <c r="B1852" s="231"/>
      <c r="C1852" s="547"/>
      <c r="D1852" s="546"/>
      <c r="E1852" s="232"/>
      <c r="F1852" s="543"/>
      <c r="G1852" s="330"/>
      <c r="H1852" s="235"/>
      <c r="I1852" s="544"/>
      <c r="J1852" s="119"/>
      <c r="K1852" s="231"/>
      <c r="L1852" s="21"/>
      <c r="M1852" s="21"/>
    </row>
    <row r="1853">
      <c r="A1853" s="230"/>
      <c r="B1853" s="231"/>
      <c r="C1853" s="547"/>
      <c r="D1853" s="546"/>
      <c r="E1853" s="232"/>
      <c r="F1853" s="543"/>
      <c r="G1853" s="330"/>
      <c r="H1853" s="235"/>
      <c r="I1853" s="544"/>
      <c r="J1853" s="119"/>
      <c r="K1853" s="231"/>
      <c r="L1853" s="21"/>
      <c r="M1853" s="21"/>
    </row>
    <row r="1854">
      <c r="A1854" s="230"/>
      <c r="B1854" s="231"/>
      <c r="C1854" s="547"/>
      <c r="D1854" s="546"/>
      <c r="E1854" s="232"/>
      <c r="F1854" s="543"/>
      <c r="G1854" s="330"/>
      <c r="H1854" s="235"/>
      <c r="I1854" s="544"/>
      <c r="J1854" s="119"/>
      <c r="K1854" s="231"/>
      <c r="L1854" s="21"/>
      <c r="M1854" s="21"/>
    </row>
    <row r="1855">
      <c r="A1855" s="230"/>
      <c r="B1855" s="231"/>
      <c r="C1855" s="547"/>
      <c r="D1855" s="546"/>
      <c r="E1855" s="232"/>
      <c r="F1855" s="543"/>
      <c r="G1855" s="330"/>
      <c r="H1855" s="235"/>
      <c r="I1855" s="544"/>
      <c r="J1855" s="119"/>
      <c r="K1855" s="231"/>
      <c r="L1855" s="21"/>
      <c r="M1855" s="21"/>
    </row>
    <row r="1856">
      <c r="A1856" s="230"/>
      <c r="B1856" s="231"/>
      <c r="C1856" s="547"/>
      <c r="D1856" s="546"/>
      <c r="E1856" s="232"/>
      <c r="F1856" s="543"/>
      <c r="G1856" s="330"/>
      <c r="H1856" s="235"/>
      <c r="I1856" s="544"/>
      <c r="J1856" s="119"/>
      <c r="K1856" s="231"/>
      <c r="L1856" s="21"/>
      <c r="M1856" s="21"/>
    </row>
    <row r="1857">
      <c r="A1857" s="230"/>
      <c r="B1857" s="231"/>
      <c r="C1857" s="547"/>
      <c r="D1857" s="546"/>
      <c r="E1857" s="232"/>
      <c r="F1857" s="543"/>
      <c r="G1857" s="330"/>
      <c r="H1857" s="235"/>
      <c r="I1857" s="544"/>
      <c r="J1857" s="119"/>
      <c r="K1857" s="231"/>
      <c r="L1857" s="21"/>
      <c r="M1857" s="21"/>
    </row>
    <row r="1858">
      <c r="A1858" s="230"/>
      <c r="B1858" s="231"/>
      <c r="C1858" s="547"/>
      <c r="D1858" s="546"/>
      <c r="E1858" s="232"/>
      <c r="F1858" s="543"/>
      <c r="G1858" s="330"/>
      <c r="H1858" s="235"/>
      <c r="I1858" s="544"/>
      <c r="J1858" s="119"/>
      <c r="K1858" s="231"/>
      <c r="L1858" s="21"/>
      <c r="M1858" s="21"/>
    </row>
    <row r="1859">
      <c r="A1859" s="230"/>
      <c r="B1859" s="231"/>
      <c r="C1859" s="547"/>
      <c r="D1859" s="546"/>
      <c r="E1859" s="232"/>
      <c r="F1859" s="543"/>
      <c r="G1859" s="330"/>
      <c r="H1859" s="235"/>
      <c r="I1859" s="544"/>
      <c r="J1859" s="119"/>
      <c r="K1859" s="231"/>
      <c r="L1859" s="21"/>
      <c r="M1859" s="21"/>
    </row>
    <row r="1860">
      <c r="A1860" s="230"/>
      <c r="B1860" s="231"/>
      <c r="C1860" s="547"/>
      <c r="D1860" s="546"/>
      <c r="E1860" s="232"/>
      <c r="F1860" s="543"/>
      <c r="G1860" s="330"/>
      <c r="H1860" s="235"/>
      <c r="I1860" s="544"/>
      <c r="J1860" s="119"/>
      <c r="K1860" s="231"/>
      <c r="L1860" s="21"/>
      <c r="M1860" s="21"/>
    </row>
    <row r="1861">
      <c r="A1861" s="230"/>
      <c r="B1861" s="231"/>
      <c r="C1861" s="547"/>
      <c r="D1861" s="546"/>
      <c r="E1861" s="232"/>
      <c r="F1861" s="543"/>
      <c r="G1861" s="330"/>
      <c r="H1861" s="235"/>
      <c r="I1861" s="544"/>
      <c r="J1861" s="119"/>
      <c r="K1861" s="231"/>
      <c r="L1861" s="21"/>
      <c r="M1861" s="21"/>
    </row>
    <row r="1862">
      <c r="A1862" s="230"/>
      <c r="B1862" s="231"/>
      <c r="C1862" s="547"/>
      <c r="D1862" s="546"/>
      <c r="E1862" s="232"/>
      <c r="F1862" s="543"/>
      <c r="G1862" s="330"/>
      <c r="H1862" s="235"/>
      <c r="I1862" s="544"/>
      <c r="J1862" s="119"/>
      <c r="K1862" s="231"/>
      <c r="L1862" s="21"/>
      <c r="M1862" s="21"/>
    </row>
    <row r="1863">
      <c r="A1863" s="230"/>
      <c r="B1863" s="231"/>
      <c r="C1863" s="547"/>
      <c r="D1863" s="546"/>
      <c r="E1863" s="232"/>
      <c r="F1863" s="543"/>
      <c r="G1863" s="330"/>
      <c r="H1863" s="235"/>
      <c r="I1863" s="544"/>
      <c r="J1863" s="119"/>
      <c r="K1863" s="231"/>
      <c r="L1863" s="21"/>
      <c r="M1863" s="21"/>
    </row>
    <row r="1864">
      <c r="A1864" s="230"/>
      <c r="B1864" s="231"/>
      <c r="C1864" s="547"/>
      <c r="D1864" s="546"/>
      <c r="E1864" s="232"/>
      <c r="F1864" s="543"/>
      <c r="G1864" s="330"/>
      <c r="H1864" s="235"/>
      <c r="I1864" s="544"/>
      <c r="J1864" s="119"/>
      <c r="K1864" s="231"/>
      <c r="L1864" s="21"/>
      <c r="M1864" s="21"/>
    </row>
    <row r="1865">
      <c r="A1865" s="230"/>
      <c r="B1865" s="231"/>
      <c r="C1865" s="547"/>
      <c r="D1865" s="546"/>
      <c r="E1865" s="232"/>
      <c r="F1865" s="543"/>
      <c r="G1865" s="330"/>
      <c r="H1865" s="235"/>
      <c r="I1865" s="544"/>
      <c r="J1865" s="119"/>
      <c r="K1865" s="231"/>
      <c r="L1865" s="21"/>
      <c r="M1865" s="21"/>
    </row>
    <row r="1866">
      <c r="A1866" s="230"/>
      <c r="B1866" s="231"/>
      <c r="C1866" s="547"/>
      <c r="D1866" s="546"/>
      <c r="E1866" s="232"/>
      <c r="F1866" s="543"/>
      <c r="G1866" s="330"/>
      <c r="H1866" s="235"/>
      <c r="I1866" s="544"/>
      <c r="J1866" s="119"/>
      <c r="K1866" s="231"/>
      <c r="L1866" s="21"/>
      <c r="M1866" s="21"/>
    </row>
    <row r="1867">
      <c r="A1867" s="230"/>
      <c r="B1867" s="231"/>
      <c r="C1867" s="547"/>
      <c r="D1867" s="546"/>
      <c r="E1867" s="232"/>
      <c r="F1867" s="543"/>
      <c r="G1867" s="330"/>
      <c r="H1867" s="235"/>
      <c r="I1867" s="544"/>
      <c r="J1867" s="119"/>
      <c r="K1867" s="231"/>
      <c r="L1867" s="21"/>
      <c r="M1867" s="21"/>
    </row>
    <row r="1868">
      <c r="A1868" s="230"/>
      <c r="B1868" s="231"/>
      <c r="C1868" s="547"/>
      <c r="D1868" s="546"/>
      <c r="E1868" s="232"/>
      <c r="F1868" s="543"/>
      <c r="G1868" s="330"/>
      <c r="H1868" s="235"/>
      <c r="I1868" s="544"/>
      <c r="J1868" s="119"/>
      <c r="K1868" s="231"/>
      <c r="L1868" s="21"/>
      <c r="M1868" s="21"/>
    </row>
    <row r="1869">
      <c r="A1869" s="230"/>
      <c r="B1869" s="231"/>
      <c r="C1869" s="547"/>
      <c r="D1869" s="546"/>
      <c r="E1869" s="232"/>
      <c r="F1869" s="543"/>
      <c r="G1869" s="330"/>
      <c r="H1869" s="235"/>
      <c r="I1869" s="544"/>
      <c r="J1869" s="119"/>
      <c r="K1869" s="231"/>
      <c r="L1869" s="21"/>
      <c r="M1869" s="21"/>
    </row>
    <row r="1870">
      <c r="A1870" s="230"/>
      <c r="B1870" s="231"/>
      <c r="C1870" s="547"/>
      <c r="D1870" s="546"/>
      <c r="E1870" s="232"/>
      <c r="F1870" s="543"/>
      <c r="G1870" s="330"/>
      <c r="H1870" s="235"/>
      <c r="I1870" s="544"/>
      <c r="J1870" s="119"/>
      <c r="K1870" s="231"/>
      <c r="L1870" s="21"/>
      <c r="M1870" s="21"/>
    </row>
    <row r="1871">
      <c r="A1871" s="230"/>
      <c r="B1871" s="231"/>
      <c r="C1871" s="547"/>
      <c r="D1871" s="546"/>
      <c r="E1871" s="232"/>
      <c r="F1871" s="543"/>
      <c r="G1871" s="330"/>
      <c r="H1871" s="235"/>
      <c r="I1871" s="544"/>
      <c r="J1871" s="119"/>
      <c r="K1871" s="231"/>
      <c r="L1871" s="21"/>
      <c r="M1871" s="21"/>
    </row>
    <row r="1872">
      <c r="A1872" s="230"/>
      <c r="B1872" s="231"/>
      <c r="C1872" s="547"/>
      <c r="D1872" s="546"/>
      <c r="E1872" s="232"/>
      <c r="F1872" s="543"/>
      <c r="G1872" s="330"/>
      <c r="H1872" s="235"/>
      <c r="I1872" s="544"/>
      <c r="J1872" s="119"/>
      <c r="K1872" s="231"/>
      <c r="L1872" s="21"/>
      <c r="M1872" s="21"/>
    </row>
    <row r="1873">
      <c r="A1873" s="230"/>
      <c r="B1873" s="231"/>
      <c r="C1873" s="547"/>
      <c r="D1873" s="546"/>
      <c r="E1873" s="232"/>
      <c r="F1873" s="543"/>
      <c r="G1873" s="330"/>
      <c r="H1873" s="235"/>
      <c r="I1873" s="544"/>
      <c r="J1873" s="119"/>
      <c r="K1873" s="231"/>
      <c r="L1873" s="21"/>
      <c r="M1873" s="21"/>
    </row>
    <row r="1874">
      <c r="A1874" s="230"/>
      <c r="B1874" s="231"/>
      <c r="C1874" s="547"/>
      <c r="D1874" s="546"/>
      <c r="E1874" s="232"/>
      <c r="F1874" s="543"/>
      <c r="G1874" s="330"/>
      <c r="H1874" s="235"/>
      <c r="I1874" s="544"/>
      <c r="J1874" s="119"/>
      <c r="K1874" s="231"/>
      <c r="L1874" s="21"/>
      <c r="M1874" s="21"/>
    </row>
    <row r="1875">
      <c r="A1875" s="230"/>
      <c r="B1875" s="231"/>
      <c r="C1875" s="547"/>
      <c r="D1875" s="546"/>
      <c r="E1875" s="232"/>
      <c r="F1875" s="543"/>
      <c r="G1875" s="330"/>
      <c r="H1875" s="235"/>
      <c r="I1875" s="544"/>
      <c r="J1875" s="119"/>
      <c r="K1875" s="231"/>
      <c r="L1875" s="21"/>
      <c r="M1875" s="21"/>
    </row>
    <row r="1876">
      <c r="A1876" s="230"/>
      <c r="B1876" s="231"/>
      <c r="C1876" s="547"/>
      <c r="D1876" s="546"/>
      <c r="E1876" s="232"/>
      <c r="F1876" s="543"/>
      <c r="G1876" s="330"/>
      <c r="H1876" s="235"/>
      <c r="I1876" s="544"/>
      <c r="J1876" s="119"/>
      <c r="K1876" s="231"/>
      <c r="L1876" s="21"/>
      <c r="M1876" s="21"/>
    </row>
    <row r="1877">
      <c r="A1877" s="230"/>
      <c r="B1877" s="231"/>
      <c r="C1877" s="547"/>
      <c r="D1877" s="546"/>
      <c r="E1877" s="232"/>
      <c r="F1877" s="543"/>
      <c r="G1877" s="330"/>
      <c r="H1877" s="235"/>
      <c r="I1877" s="544"/>
      <c r="J1877" s="119"/>
      <c r="K1877" s="231"/>
      <c r="L1877" s="21"/>
      <c r="M1877" s="21"/>
    </row>
    <row r="1878">
      <c r="A1878" s="230"/>
      <c r="B1878" s="231"/>
      <c r="C1878" s="547"/>
      <c r="D1878" s="546"/>
      <c r="E1878" s="232"/>
      <c r="F1878" s="543"/>
      <c r="G1878" s="330"/>
      <c r="H1878" s="235"/>
      <c r="I1878" s="544"/>
      <c r="J1878" s="119"/>
      <c r="K1878" s="231"/>
      <c r="L1878" s="21"/>
      <c r="M1878" s="21"/>
    </row>
    <row r="1879">
      <c r="A1879" s="230"/>
      <c r="B1879" s="231"/>
      <c r="C1879" s="547"/>
      <c r="D1879" s="546"/>
      <c r="E1879" s="232"/>
      <c r="F1879" s="543"/>
      <c r="G1879" s="330"/>
      <c r="H1879" s="235"/>
      <c r="I1879" s="544"/>
      <c r="J1879" s="119"/>
      <c r="K1879" s="231"/>
      <c r="L1879" s="21"/>
      <c r="M1879" s="21"/>
    </row>
    <row r="1880">
      <c r="A1880" s="230"/>
      <c r="B1880" s="231"/>
      <c r="C1880" s="547"/>
      <c r="D1880" s="546"/>
      <c r="E1880" s="232"/>
      <c r="F1880" s="543"/>
      <c r="G1880" s="330"/>
      <c r="H1880" s="235"/>
      <c r="I1880" s="544"/>
      <c r="J1880" s="119"/>
      <c r="K1880" s="231"/>
      <c r="L1880" s="21"/>
      <c r="M1880" s="21"/>
    </row>
    <row r="1881">
      <c r="A1881" s="230"/>
      <c r="B1881" s="231"/>
      <c r="C1881" s="547"/>
      <c r="D1881" s="546"/>
      <c r="E1881" s="232"/>
      <c r="F1881" s="543"/>
      <c r="G1881" s="330"/>
      <c r="H1881" s="235"/>
      <c r="I1881" s="544"/>
      <c r="J1881" s="119"/>
      <c r="K1881" s="231"/>
      <c r="L1881" s="21"/>
      <c r="M1881" s="21"/>
    </row>
    <row r="1882">
      <c r="A1882" s="230"/>
      <c r="B1882" s="231"/>
      <c r="C1882" s="547"/>
      <c r="D1882" s="546"/>
      <c r="E1882" s="232"/>
      <c r="F1882" s="543"/>
      <c r="G1882" s="330"/>
      <c r="H1882" s="235"/>
      <c r="I1882" s="544"/>
      <c r="J1882" s="119"/>
      <c r="K1882" s="231"/>
      <c r="L1882" s="21"/>
      <c r="M1882" s="21"/>
    </row>
    <row r="1883">
      <c r="A1883" s="230"/>
      <c r="B1883" s="231"/>
      <c r="C1883" s="547"/>
      <c r="D1883" s="546"/>
      <c r="E1883" s="232"/>
      <c r="F1883" s="543"/>
      <c r="G1883" s="330"/>
      <c r="H1883" s="235"/>
      <c r="I1883" s="544"/>
      <c r="J1883" s="119"/>
      <c r="K1883" s="231"/>
      <c r="L1883" s="21"/>
      <c r="M1883" s="21"/>
    </row>
    <row r="1884">
      <c r="A1884" s="230"/>
      <c r="B1884" s="231"/>
      <c r="C1884" s="547"/>
      <c r="D1884" s="546"/>
      <c r="E1884" s="232"/>
      <c r="F1884" s="543"/>
      <c r="G1884" s="330"/>
      <c r="H1884" s="235"/>
      <c r="I1884" s="544"/>
      <c r="J1884" s="119"/>
      <c r="K1884" s="231"/>
      <c r="L1884" s="21"/>
      <c r="M1884" s="21"/>
    </row>
    <row r="1885">
      <c r="A1885" s="230"/>
      <c r="B1885" s="231"/>
      <c r="C1885" s="547"/>
      <c r="D1885" s="546"/>
      <c r="E1885" s="232"/>
      <c r="F1885" s="543"/>
      <c r="G1885" s="330"/>
      <c r="H1885" s="235"/>
      <c r="I1885" s="544"/>
      <c r="J1885" s="119"/>
      <c r="K1885" s="231"/>
      <c r="L1885" s="21"/>
      <c r="M1885" s="21"/>
    </row>
    <row r="1886">
      <c r="A1886" s="230"/>
      <c r="B1886" s="231"/>
      <c r="C1886" s="547"/>
      <c r="D1886" s="546"/>
      <c r="E1886" s="232"/>
      <c r="F1886" s="543"/>
      <c r="G1886" s="330"/>
      <c r="H1886" s="235"/>
      <c r="I1886" s="544"/>
      <c r="J1886" s="119"/>
      <c r="K1886" s="231"/>
      <c r="L1886" s="21"/>
      <c r="M1886" s="21"/>
    </row>
    <row r="1887">
      <c r="A1887" s="230"/>
      <c r="B1887" s="231"/>
      <c r="C1887" s="547"/>
      <c r="D1887" s="546"/>
      <c r="E1887" s="232"/>
      <c r="F1887" s="543"/>
      <c r="G1887" s="330"/>
      <c r="H1887" s="235"/>
      <c r="I1887" s="544"/>
      <c r="J1887" s="119"/>
      <c r="K1887" s="231"/>
      <c r="L1887" s="21"/>
      <c r="M1887" s="21"/>
    </row>
    <row r="1888">
      <c r="A1888" s="230"/>
      <c r="B1888" s="231"/>
      <c r="C1888" s="547"/>
      <c r="D1888" s="546"/>
      <c r="E1888" s="232"/>
      <c r="F1888" s="543"/>
      <c r="G1888" s="330"/>
      <c r="H1888" s="235"/>
      <c r="I1888" s="544"/>
      <c r="J1888" s="119"/>
      <c r="K1888" s="231"/>
      <c r="L1888" s="21"/>
      <c r="M1888" s="21"/>
    </row>
    <row r="1889">
      <c r="A1889" s="230"/>
      <c r="B1889" s="231"/>
      <c r="C1889" s="547"/>
      <c r="D1889" s="546"/>
      <c r="E1889" s="232"/>
      <c r="F1889" s="543"/>
      <c r="G1889" s="330"/>
      <c r="H1889" s="235"/>
      <c r="I1889" s="544"/>
      <c r="J1889" s="119"/>
      <c r="K1889" s="231"/>
      <c r="L1889" s="21"/>
      <c r="M1889" s="21"/>
    </row>
    <row r="1890">
      <c r="A1890" s="230"/>
      <c r="B1890" s="231"/>
      <c r="C1890" s="547"/>
      <c r="D1890" s="546"/>
      <c r="E1890" s="232"/>
      <c r="F1890" s="543"/>
      <c r="G1890" s="330"/>
      <c r="H1890" s="235"/>
      <c r="I1890" s="544"/>
      <c r="J1890" s="119"/>
      <c r="K1890" s="231"/>
      <c r="L1890" s="21"/>
      <c r="M1890" s="21"/>
    </row>
    <row r="1891">
      <c r="A1891" s="230"/>
      <c r="B1891" s="231"/>
      <c r="C1891" s="547"/>
      <c r="D1891" s="546"/>
      <c r="E1891" s="232"/>
      <c r="F1891" s="543"/>
      <c r="G1891" s="330"/>
      <c r="H1891" s="235"/>
      <c r="I1891" s="544"/>
      <c r="J1891" s="119"/>
      <c r="K1891" s="231"/>
      <c r="L1891" s="21"/>
      <c r="M1891" s="21"/>
    </row>
    <row r="1892">
      <c r="A1892" s="230"/>
      <c r="B1892" s="231"/>
      <c r="C1892" s="547"/>
      <c r="D1892" s="546"/>
      <c r="E1892" s="232"/>
      <c r="F1892" s="543"/>
      <c r="G1892" s="330"/>
      <c r="H1892" s="235"/>
      <c r="I1892" s="544"/>
      <c r="J1892" s="119"/>
      <c r="K1892" s="231"/>
      <c r="L1892" s="21"/>
      <c r="M1892" s="21"/>
    </row>
    <row r="1893">
      <c r="A1893" s="230"/>
      <c r="B1893" s="231"/>
      <c r="C1893" s="547"/>
      <c r="D1893" s="546"/>
      <c r="E1893" s="232"/>
      <c r="F1893" s="543"/>
      <c r="G1893" s="330"/>
      <c r="H1893" s="235"/>
      <c r="I1893" s="544"/>
      <c r="J1893" s="119"/>
      <c r="K1893" s="231"/>
      <c r="L1893" s="21"/>
      <c r="M1893" s="21"/>
    </row>
    <row r="1894">
      <c r="A1894" s="230"/>
      <c r="B1894" s="231"/>
      <c r="C1894" s="547"/>
      <c r="D1894" s="546"/>
      <c r="E1894" s="232"/>
      <c r="F1894" s="543"/>
      <c r="G1894" s="330"/>
      <c r="H1894" s="235"/>
      <c r="I1894" s="544"/>
      <c r="J1894" s="119"/>
      <c r="K1894" s="231"/>
      <c r="L1894" s="21"/>
      <c r="M1894" s="21"/>
    </row>
    <row r="1895">
      <c r="A1895" s="230"/>
      <c r="B1895" s="231"/>
      <c r="C1895" s="547"/>
      <c r="D1895" s="546"/>
      <c r="E1895" s="232"/>
      <c r="F1895" s="543"/>
      <c r="G1895" s="330"/>
      <c r="H1895" s="235"/>
      <c r="I1895" s="544"/>
      <c r="J1895" s="119"/>
      <c r="K1895" s="231"/>
      <c r="L1895" s="21"/>
      <c r="M1895" s="21"/>
    </row>
    <row r="1896">
      <c r="A1896" s="230"/>
      <c r="B1896" s="231"/>
      <c r="C1896" s="547"/>
      <c r="D1896" s="546"/>
      <c r="E1896" s="232"/>
      <c r="F1896" s="543"/>
      <c r="G1896" s="330"/>
      <c r="H1896" s="235"/>
      <c r="I1896" s="544"/>
      <c r="J1896" s="119"/>
      <c r="K1896" s="231"/>
      <c r="L1896" s="21"/>
      <c r="M1896" s="21"/>
    </row>
    <row r="1897">
      <c r="A1897" s="230"/>
      <c r="B1897" s="231"/>
      <c r="C1897" s="547"/>
      <c r="D1897" s="546"/>
      <c r="E1897" s="232"/>
      <c r="F1897" s="543"/>
      <c r="G1897" s="330"/>
      <c r="H1897" s="235"/>
      <c r="I1897" s="544"/>
      <c r="J1897" s="119"/>
      <c r="K1897" s="231"/>
      <c r="L1897" s="21"/>
      <c r="M1897" s="21"/>
    </row>
    <row r="1898">
      <c r="A1898" s="230"/>
      <c r="B1898" s="231"/>
      <c r="C1898" s="547"/>
      <c r="D1898" s="546"/>
      <c r="E1898" s="232"/>
      <c r="F1898" s="543"/>
      <c r="G1898" s="330"/>
      <c r="H1898" s="235"/>
      <c r="I1898" s="544"/>
      <c r="J1898" s="119"/>
      <c r="K1898" s="231"/>
      <c r="L1898" s="21"/>
      <c r="M1898" s="21"/>
    </row>
    <row r="1899">
      <c r="A1899" s="230"/>
      <c r="B1899" s="231"/>
      <c r="C1899" s="547"/>
      <c r="D1899" s="546"/>
      <c r="E1899" s="232"/>
      <c r="F1899" s="543"/>
      <c r="G1899" s="330"/>
      <c r="H1899" s="235"/>
      <c r="I1899" s="544"/>
      <c r="J1899" s="119"/>
      <c r="K1899" s="231"/>
      <c r="L1899" s="21"/>
      <c r="M1899" s="21"/>
    </row>
    <row r="1900">
      <c r="A1900" s="230"/>
      <c r="B1900" s="231"/>
      <c r="C1900" s="547"/>
      <c r="D1900" s="546"/>
      <c r="E1900" s="232"/>
      <c r="F1900" s="543"/>
      <c r="G1900" s="330"/>
      <c r="H1900" s="235"/>
      <c r="I1900" s="544"/>
      <c r="J1900" s="119"/>
      <c r="K1900" s="231"/>
      <c r="L1900" s="21"/>
      <c r="M1900" s="21"/>
    </row>
    <row r="1901">
      <c r="A1901" s="230"/>
      <c r="B1901" s="231"/>
      <c r="C1901" s="547"/>
      <c r="D1901" s="546"/>
      <c r="E1901" s="232"/>
      <c r="F1901" s="543"/>
      <c r="G1901" s="330"/>
      <c r="H1901" s="235"/>
      <c r="I1901" s="544"/>
      <c r="J1901" s="119"/>
      <c r="K1901" s="231"/>
      <c r="L1901" s="21"/>
      <c r="M1901" s="21"/>
    </row>
    <row r="1902">
      <c r="A1902" s="230"/>
      <c r="B1902" s="231"/>
      <c r="C1902" s="547"/>
      <c r="D1902" s="546"/>
      <c r="E1902" s="232"/>
      <c r="F1902" s="543"/>
      <c r="G1902" s="330"/>
      <c r="H1902" s="235"/>
      <c r="I1902" s="544"/>
      <c r="J1902" s="119"/>
      <c r="K1902" s="231"/>
      <c r="L1902" s="21"/>
      <c r="M1902" s="21"/>
    </row>
    <row r="1903">
      <c r="A1903" s="230"/>
      <c r="B1903" s="231"/>
      <c r="C1903" s="547"/>
      <c r="D1903" s="546"/>
      <c r="E1903" s="232"/>
      <c r="F1903" s="543"/>
      <c r="G1903" s="330"/>
      <c r="H1903" s="235"/>
      <c r="I1903" s="544"/>
      <c r="J1903" s="119"/>
      <c r="K1903" s="231"/>
      <c r="L1903" s="21"/>
      <c r="M1903" s="21"/>
    </row>
    <row r="1904">
      <c r="A1904" s="230"/>
      <c r="B1904" s="231"/>
      <c r="C1904" s="547"/>
      <c r="D1904" s="546"/>
      <c r="E1904" s="232"/>
      <c r="F1904" s="543"/>
      <c r="G1904" s="330"/>
      <c r="H1904" s="235"/>
      <c r="I1904" s="544"/>
      <c r="J1904" s="119"/>
      <c r="K1904" s="231"/>
      <c r="L1904" s="21"/>
      <c r="M1904" s="21"/>
    </row>
    <row r="1905">
      <c r="A1905" s="230"/>
      <c r="B1905" s="231"/>
      <c r="C1905" s="547"/>
      <c r="D1905" s="546"/>
      <c r="E1905" s="232"/>
      <c r="F1905" s="543"/>
      <c r="G1905" s="330"/>
      <c r="H1905" s="235"/>
      <c r="I1905" s="544"/>
      <c r="J1905" s="119"/>
      <c r="K1905" s="231"/>
      <c r="L1905" s="21"/>
      <c r="M1905" s="21"/>
    </row>
    <row r="1906">
      <c r="A1906" s="230"/>
      <c r="B1906" s="231"/>
      <c r="C1906" s="547"/>
      <c r="D1906" s="546"/>
      <c r="E1906" s="232"/>
      <c r="F1906" s="543"/>
      <c r="G1906" s="330"/>
      <c r="H1906" s="235"/>
      <c r="I1906" s="544"/>
      <c r="J1906" s="119"/>
      <c r="K1906" s="231"/>
      <c r="L1906" s="21"/>
      <c r="M1906" s="21"/>
    </row>
    <row r="1907">
      <c r="A1907" s="230"/>
      <c r="B1907" s="231"/>
      <c r="C1907" s="547"/>
      <c r="D1907" s="546"/>
      <c r="E1907" s="232"/>
      <c r="F1907" s="543"/>
      <c r="G1907" s="330"/>
      <c r="H1907" s="235"/>
      <c r="I1907" s="544"/>
      <c r="J1907" s="119"/>
      <c r="K1907" s="231"/>
      <c r="L1907" s="21"/>
      <c r="M1907" s="21"/>
    </row>
    <row r="1908">
      <c r="A1908" s="230"/>
      <c r="B1908" s="231"/>
      <c r="C1908" s="547"/>
      <c r="D1908" s="546"/>
      <c r="E1908" s="232"/>
      <c r="F1908" s="543"/>
      <c r="G1908" s="330"/>
      <c r="H1908" s="235"/>
      <c r="I1908" s="544"/>
      <c r="J1908" s="119"/>
      <c r="K1908" s="231"/>
      <c r="L1908" s="21"/>
      <c r="M1908" s="21"/>
    </row>
    <row r="1909">
      <c r="A1909" s="230"/>
      <c r="B1909" s="231"/>
      <c r="C1909" s="547"/>
      <c r="D1909" s="546"/>
      <c r="E1909" s="232"/>
      <c r="F1909" s="543"/>
      <c r="G1909" s="330"/>
      <c r="H1909" s="235"/>
      <c r="I1909" s="544"/>
      <c r="J1909" s="119"/>
      <c r="K1909" s="231"/>
      <c r="L1909" s="21"/>
      <c r="M1909" s="21"/>
    </row>
    <row r="1910">
      <c r="A1910" s="230"/>
      <c r="B1910" s="231"/>
      <c r="C1910" s="547"/>
      <c r="D1910" s="546"/>
      <c r="E1910" s="232"/>
      <c r="F1910" s="543"/>
      <c r="G1910" s="330"/>
      <c r="H1910" s="235"/>
      <c r="I1910" s="544"/>
      <c r="J1910" s="119"/>
      <c r="K1910" s="231"/>
      <c r="L1910" s="21"/>
      <c r="M1910" s="21"/>
    </row>
    <row r="1911">
      <c r="A1911" s="230"/>
      <c r="B1911" s="231"/>
      <c r="C1911" s="547"/>
      <c r="D1911" s="546"/>
      <c r="E1911" s="232"/>
      <c r="F1911" s="543"/>
      <c r="G1911" s="330"/>
      <c r="H1911" s="235"/>
      <c r="I1911" s="544"/>
      <c r="J1911" s="119"/>
      <c r="K1911" s="231"/>
      <c r="L1911" s="21"/>
      <c r="M1911" s="21"/>
    </row>
    <row r="1912">
      <c r="A1912" s="230"/>
      <c r="B1912" s="231"/>
      <c r="C1912" s="547"/>
      <c r="D1912" s="546"/>
      <c r="E1912" s="232"/>
      <c r="F1912" s="543"/>
      <c r="G1912" s="330"/>
      <c r="H1912" s="235"/>
      <c r="I1912" s="544"/>
      <c r="J1912" s="119"/>
      <c r="K1912" s="231"/>
      <c r="L1912" s="21"/>
      <c r="M1912" s="21"/>
    </row>
    <row r="1913">
      <c r="A1913" s="230"/>
      <c r="B1913" s="231"/>
      <c r="C1913" s="547"/>
      <c r="D1913" s="546"/>
      <c r="E1913" s="232"/>
      <c r="F1913" s="543"/>
      <c r="G1913" s="330"/>
      <c r="H1913" s="235"/>
      <c r="I1913" s="544"/>
      <c r="J1913" s="119"/>
      <c r="K1913" s="231"/>
      <c r="L1913" s="21"/>
      <c r="M1913" s="21"/>
    </row>
    <row r="1914">
      <c r="A1914" s="230"/>
      <c r="B1914" s="231"/>
      <c r="C1914" s="547"/>
      <c r="D1914" s="546"/>
      <c r="E1914" s="232"/>
      <c r="F1914" s="543"/>
      <c r="G1914" s="330"/>
      <c r="H1914" s="235"/>
      <c r="I1914" s="544"/>
      <c r="J1914" s="119"/>
      <c r="K1914" s="231"/>
      <c r="L1914" s="21"/>
      <c r="M1914" s="21"/>
    </row>
    <row r="1915">
      <c r="A1915" s="230"/>
      <c r="B1915" s="231"/>
      <c r="C1915" s="547"/>
      <c r="D1915" s="546"/>
      <c r="E1915" s="232"/>
      <c r="F1915" s="543"/>
      <c r="G1915" s="330"/>
      <c r="H1915" s="235"/>
      <c r="I1915" s="544"/>
      <c r="J1915" s="119"/>
      <c r="K1915" s="231"/>
      <c r="L1915" s="21"/>
      <c r="M1915" s="21"/>
    </row>
    <row r="1916">
      <c r="A1916" s="230"/>
      <c r="B1916" s="231"/>
      <c r="C1916" s="547"/>
      <c r="D1916" s="546"/>
      <c r="E1916" s="232"/>
      <c r="F1916" s="543"/>
      <c r="G1916" s="330"/>
      <c r="H1916" s="235"/>
      <c r="I1916" s="544"/>
      <c r="J1916" s="119"/>
      <c r="K1916" s="231"/>
      <c r="L1916" s="21"/>
      <c r="M1916" s="21"/>
    </row>
    <row r="1917">
      <c r="A1917" s="230"/>
      <c r="B1917" s="231"/>
      <c r="C1917" s="547"/>
      <c r="D1917" s="546"/>
      <c r="E1917" s="232"/>
      <c r="F1917" s="543"/>
      <c r="G1917" s="330"/>
      <c r="H1917" s="235"/>
      <c r="I1917" s="544"/>
      <c r="J1917" s="119"/>
      <c r="K1917" s="231"/>
      <c r="L1917" s="21"/>
      <c r="M1917" s="21"/>
    </row>
    <row r="1918">
      <c r="A1918" s="230"/>
      <c r="B1918" s="231"/>
      <c r="C1918" s="547"/>
      <c r="D1918" s="546"/>
      <c r="E1918" s="232"/>
      <c r="F1918" s="543"/>
      <c r="G1918" s="330"/>
      <c r="H1918" s="235"/>
      <c r="I1918" s="544"/>
      <c r="J1918" s="119"/>
      <c r="K1918" s="231"/>
      <c r="L1918" s="21"/>
      <c r="M1918" s="21"/>
    </row>
    <row r="1919">
      <c r="A1919" s="230"/>
      <c r="B1919" s="231"/>
      <c r="C1919" s="547"/>
      <c r="D1919" s="546"/>
      <c r="E1919" s="232"/>
      <c r="F1919" s="543"/>
      <c r="G1919" s="330"/>
      <c r="H1919" s="235"/>
      <c r="I1919" s="544"/>
      <c r="J1919" s="119"/>
      <c r="K1919" s="231"/>
      <c r="L1919" s="21"/>
      <c r="M1919" s="21"/>
    </row>
    <row r="1920">
      <c r="A1920" s="230"/>
      <c r="B1920" s="231"/>
      <c r="C1920" s="547"/>
      <c r="D1920" s="546"/>
      <c r="E1920" s="232"/>
      <c r="F1920" s="543"/>
      <c r="G1920" s="330"/>
      <c r="H1920" s="235"/>
      <c r="I1920" s="544"/>
      <c r="J1920" s="119"/>
      <c r="K1920" s="231"/>
      <c r="L1920" s="21"/>
      <c r="M1920" s="21"/>
    </row>
    <row r="1921">
      <c r="A1921" s="230"/>
      <c r="B1921" s="231"/>
      <c r="C1921" s="547"/>
      <c r="D1921" s="546"/>
      <c r="E1921" s="232"/>
      <c r="F1921" s="543"/>
      <c r="G1921" s="330"/>
      <c r="H1921" s="235"/>
      <c r="I1921" s="544"/>
      <c r="J1921" s="119"/>
      <c r="K1921" s="231"/>
      <c r="L1921" s="21"/>
      <c r="M1921" s="21"/>
    </row>
    <row r="1922">
      <c r="A1922" s="230"/>
      <c r="B1922" s="231"/>
      <c r="C1922" s="547"/>
      <c r="D1922" s="546"/>
      <c r="E1922" s="232"/>
      <c r="F1922" s="543"/>
      <c r="G1922" s="330"/>
      <c r="H1922" s="235"/>
      <c r="I1922" s="544"/>
      <c r="J1922" s="119"/>
      <c r="K1922" s="231"/>
      <c r="L1922" s="21"/>
      <c r="M1922" s="21"/>
    </row>
    <row r="1923">
      <c r="A1923" s="230"/>
      <c r="B1923" s="231"/>
      <c r="C1923" s="547"/>
      <c r="D1923" s="546"/>
      <c r="E1923" s="232"/>
      <c r="F1923" s="543"/>
      <c r="G1923" s="330"/>
      <c r="H1923" s="235"/>
      <c r="I1923" s="544"/>
      <c r="J1923" s="119"/>
      <c r="K1923" s="231"/>
      <c r="L1923" s="21"/>
      <c r="M1923" s="21"/>
    </row>
    <row r="1924">
      <c r="A1924" s="230"/>
      <c r="B1924" s="231"/>
      <c r="C1924" s="547"/>
      <c r="D1924" s="546"/>
      <c r="E1924" s="232"/>
      <c r="F1924" s="543"/>
      <c r="G1924" s="330"/>
      <c r="H1924" s="235"/>
      <c r="I1924" s="544"/>
      <c r="J1924" s="119"/>
      <c r="K1924" s="231"/>
      <c r="L1924" s="21"/>
      <c r="M1924" s="21"/>
    </row>
    <row r="1925">
      <c r="A1925" s="230"/>
      <c r="B1925" s="231"/>
      <c r="C1925" s="547"/>
      <c r="D1925" s="546"/>
      <c r="E1925" s="232"/>
      <c r="F1925" s="543"/>
      <c r="G1925" s="330"/>
      <c r="H1925" s="235"/>
      <c r="I1925" s="544"/>
      <c r="J1925" s="119"/>
      <c r="K1925" s="231"/>
      <c r="L1925" s="21"/>
      <c r="M1925" s="21"/>
    </row>
    <row r="1926">
      <c r="A1926" s="230"/>
      <c r="B1926" s="231"/>
      <c r="C1926" s="547"/>
      <c r="D1926" s="546"/>
      <c r="E1926" s="232"/>
      <c r="F1926" s="543"/>
      <c r="G1926" s="330"/>
      <c r="H1926" s="235"/>
      <c r="I1926" s="544"/>
      <c r="J1926" s="119"/>
      <c r="K1926" s="231"/>
      <c r="L1926" s="21"/>
      <c r="M1926" s="21"/>
    </row>
    <row r="1927">
      <c r="A1927" s="230"/>
      <c r="B1927" s="231"/>
      <c r="C1927" s="547"/>
      <c r="D1927" s="546"/>
      <c r="E1927" s="232"/>
      <c r="F1927" s="543"/>
      <c r="G1927" s="330"/>
      <c r="H1927" s="235"/>
      <c r="I1927" s="544"/>
      <c r="J1927" s="119"/>
      <c r="K1927" s="231"/>
      <c r="L1927" s="21"/>
      <c r="M1927" s="21"/>
    </row>
    <row r="1928">
      <c r="A1928" s="230"/>
      <c r="B1928" s="231"/>
      <c r="C1928" s="547"/>
      <c r="D1928" s="546"/>
      <c r="E1928" s="232"/>
      <c r="F1928" s="543"/>
      <c r="G1928" s="330"/>
      <c r="H1928" s="235"/>
      <c r="I1928" s="544"/>
      <c r="J1928" s="119"/>
      <c r="K1928" s="231"/>
      <c r="L1928" s="21"/>
      <c r="M1928" s="21"/>
    </row>
    <row r="1929">
      <c r="A1929" s="230"/>
      <c r="B1929" s="231"/>
      <c r="C1929" s="547"/>
      <c r="D1929" s="546"/>
      <c r="E1929" s="232"/>
      <c r="F1929" s="543"/>
      <c r="G1929" s="330"/>
      <c r="H1929" s="235"/>
      <c r="I1929" s="544"/>
      <c r="J1929" s="119"/>
      <c r="K1929" s="231"/>
      <c r="L1929" s="21"/>
      <c r="M1929" s="21"/>
    </row>
    <row r="1930">
      <c r="A1930" s="230"/>
      <c r="B1930" s="231"/>
      <c r="C1930" s="547"/>
      <c r="D1930" s="546"/>
      <c r="E1930" s="232"/>
      <c r="F1930" s="543"/>
      <c r="G1930" s="330"/>
      <c r="H1930" s="235"/>
      <c r="I1930" s="544"/>
      <c r="J1930" s="119"/>
      <c r="K1930" s="231"/>
      <c r="L1930" s="21"/>
      <c r="M1930" s="21"/>
    </row>
    <row r="1931">
      <c r="A1931" s="230"/>
      <c r="B1931" s="231"/>
      <c r="C1931" s="547"/>
      <c r="D1931" s="546"/>
      <c r="E1931" s="232"/>
      <c r="F1931" s="543"/>
      <c r="G1931" s="330"/>
      <c r="H1931" s="235"/>
      <c r="I1931" s="544"/>
      <c r="J1931" s="119"/>
      <c r="K1931" s="231"/>
      <c r="L1931" s="21"/>
      <c r="M1931" s="21"/>
    </row>
    <row r="1932">
      <c r="A1932" s="230"/>
      <c r="B1932" s="231"/>
      <c r="C1932" s="547"/>
      <c r="D1932" s="546"/>
      <c r="E1932" s="232"/>
      <c r="F1932" s="543"/>
      <c r="G1932" s="330"/>
      <c r="H1932" s="235"/>
      <c r="I1932" s="544"/>
      <c r="J1932" s="119"/>
      <c r="K1932" s="231"/>
      <c r="L1932" s="21"/>
      <c r="M1932" s="21"/>
    </row>
    <row r="1933">
      <c r="A1933" s="230"/>
      <c r="B1933" s="231"/>
      <c r="C1933" s="547"/>
      <c r="D1933" s="546"/>
      <c r="E1933" s="232"/>
      <c r="F1933" s="543"/>
      <c r="G1933" s="330"/>
      <c r="H1933" s="235"/>
      <c r="I1933" s="544"/>
      <c r="J1933" s="119"/>
      <c r="K1933" s="231"/>
      <c r="L1933" s="21"/>
      <c r="M1933" s="21"/>
    </row>
    <row r="1934">
      <c r="A1934" s="230"/>
      <c r="B1934" s="231"/>
      <c r="C1934" s="547"/>
      <c r="D1934" s="546"/>
      <c r="E1934" s="232"/>
      <c r="F1934" s="543"/>
      <c r="G1934" s="330"/>
      <c r="H1934" s="235"/>
      <c r="I1934" s="544"/>
      <c r="J1934" s="119"/>
      <c r="K1934" s="231"/>
      <c r="L1934" s="21"/>
      <c r="M1934" s="21"/>
    </row>
    <row r="1935">
      <c r="A1935" s="230"/>
      <c r="B1935" s="231"/>
      <c r="C1935" s="547"/>
      <c r="D1935" s="546"/>
      <c r="E1935" s="232"/>
      <c r="F1935" s="543"/>
      <c r="G1935" s="330"/>
      <c r="H1935" s="235"/>
      <c r="I1935" s="544"/>
      <c r="J1935" s="119"/>
      <c r="K1935" s="231"/>
      <c r="L1935" s="21"/>
      <c r="M1935" s="21"/>
    </row>
    <row r="1936">
      <c r="A1936" s="230"/>
      <c r="B1936" s="231"/>
      <c r="C1936" s="547"/>
      <c r="D1936" s="546"/>
      <c r="E1936" s="232"/>
      <c r="F1936" s="543"/>
      <c r="G1936" s="330"/>
      <c r="H1936" s="235"/>
      <c r="I1936" s="544"/>
      <c r="J1936" s="119"/>
      <c r="K1936" s="231"/>
      <c r="L1936" s="21"/>
      <c r="M1936" s="21"/>
    </row>
  </sheetData>
  <autoFilter ref="$A$1:$AA$1936"/>
  <dataValidations>
    <dataValidation type="list" allowBlank="1" showInputMessage="1" showErrorMessage="1" prompt="按一下並輸入項目清單中的值" sqref="A840">
      <formula1>"待連絡,連絡中,待確認日期,已連絡,特殊X,暫置,保固維修"</formula1>
    </dataValidation>
    <dataValidation type="list" allowBlank="1" showErrorMessage="1" sqref="M828:M831 M833 M835 M844 M848 M850 M864:M868 M873 M875:M876 M889 M892 M896 M902 M904 M906:M907 M915 M920 M925 M933:M937 M939 M942:M943 M945 M950:M951 M953 M955 M959 M961:M963 M965 M972:M1936">
      <formula1>"未接,語音,LINE 看資料中,要+LINE 未看到,已看資料 待聯繫"</formula1>
    </dataValidation>
    <dataValidation type="list" allowBlank="1" showErrorMessage="1" sqref="F2:F469 I2:I469 F471:F1936 I471:I1936">
      <formula1>"子榕,梓涵,汝軍"</formula1>
    </dataValidation>
    <dataValidation type="list" allowBlank="1" sqref="H1:H1936">
      <formula1>"是"</formula1>
    </dataValidation>
    <dataValidation type="list" allowBlank="1" showErrorMessage="1" sqref="C2:C1936">
      <formula1>"TEL,FB,後台,Gmail,Line,其他,現場,FB名單,WIX,家具"</formula1>
    </dataValidation>
    <dataValidation type="list" allowBlank="1" showErrorMessage="1" sqref="F470 I470">
      <formula1>"子榕,梓涵,謹瀅"</formula1>
    </dataValidation>
    <dataValidation type="list" allowBlank="1" showInputMessage="1" showErrorMessage="1" prompt="按一下並輸入項目清單中的值" sqref="A173">
      <formula1>"待連絡,連絡中,待確認日期,已連絡,特殊X,暫置,家具"</formula1>
    </dataValidation>
    <dataValidation type="list" allowBlank="1" showInputMessage="1" showErrorMessage="1" prompt="按一下並輸入項目清單中的值" sqref="A2:A172 A174:A839 A841:A1936">
      <formula1>"待連絡,連絡中,待確認日期,已連絡,特殊X,暫置"</formula1>
    </dataValidation>
  </dataValidations>
  <hyperlinks>
    <hyperlink r:id="rId1" ref="M231"/>
    <hyperlink r:id="rId2" ref="G362"/>
    <hyperlink r:id="rId3" ref="G372"/>
    <hyperlink r:id="rId4" ref="G391"/>
    <hyperlink r:id="rId5" ref="M734"/>
    <hyperlink r:id="rId6" ref="M756"/>
    <hyperlink r:id="rId7" ref="G777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10" width="6.5"/>
    <col customWidth="1" min="11" max="11" width="5.75"/>
    <col customWidth="1" min="12" max="12" width="1.0"/>
    <col customWidth="1" min="13" max="13" width="11.38"/>
    <col customWidth="1" min="14" max="14" width="7.88"/>
    <col customWidth="1" min="15" max="17" width="5.75"/>
    <col customWidth="1" min="18" max="18" width="0.88"/>
    <col customWidth="1" min="21" max="21" width="0.88"/>
    <col customWidth="1" min="24" max="24" width="0.38"/>
  </cols>
  <sheetData>
    <row r="1">
      <c r="A1" s="3" t="s">
        <v>0</v>
      </c>
      <c r="D1" s="5"/>
      <c r="E1" s="8" t="s">
        <v>4</v>
      </c>
      <c r="F1" s="12" t="s">
        <v>7</v>
      </c>
      <c r="G1" s="13"/>
      <c r="H1" s="14"/>
      <c r="I1" s="15" t="s">
        <v>21</v>
      </c>
      <c r="J1" s="17"/>
      <c r="K1" s="19"/>
      <c r="L1" s="21"/>
      <c r="M1" s="22" t="s">
        <v>29</v>
      </c>
      <c r="N1" s="24"/>
      <c r="O1" s="24"/>
      <c r="P1" s="24"/>
      <c r="Q1" s="24"/>
      <c r="S1" s="26" t="s">
        <v>32</v>
      </c>
    </row>
    <row r="2">
      <c r="A2" s="28" t="s">
        <v>4</v>
      </c>
      <c r="B2" s="28" t="s">
        <v>36</v>
      </c>
      <c r="C2" s="28" t="s">
        <v>37</v>
      </c>
      <c r="D2" s="29"/>
      <c r="E2" s="30"/>
      <c r="F2" s="33" t="s">
        <v>42</v>
      </c>
      <c r="G2" s="34" t="s">
        <v>45</v>
      </c>
      <c r="H2" s="34" t="s">
        <v>49</v>
      </c>
      <c r="I2" s="36" t="s">
        <v>42</v>
      </c>
      <c r="J2" s="36" t="s">
        <v>45</v>
      </c>
      <c r="K2" s="36" t="s">
        <v>49</v>
      </c>
      <c r="L2" s="37"/>
      <c r="M2" s="40" t="s">
        <v>4</v>
      </c>
      <c r="N2" s="40" t="s">
        <v>58</v>
      </c>
      <c r="O2" s="43" t="s">
        <v>59</v>
      </c>
      <c r="P2" s="46" t="s">
        <v>61</v>
      </c>
      <c r="Q2" s="49" t="s">
        <v>64</v>
      </c>
      <c r="R2" s="51"/>
      <c r="S2" s="52" t="s">
        <v>59</v>
      </c>
      <c r="T2" s="51"/>
      <c r="U2" s="54"/>
      <c r="V2" s="55" t="s">
        <v>61</v>
      </c>
      <c r="W2" s="54"/>
      <c r="X2" s="57"/>
      <c r="Y2" s="59" t="s">
        <v>79</v>
      </c>
      <c r="Z2" s="60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</row>
    <row r="3">
      <c r="A3" s="69">
        <f>DATE(2026,1,1)</f>
        <v>46023</v>
      </c>
      <c r="B3" s="74">
        <f>COUNTIFS('2026初客紀錄'!B:B, "&gt;=" &amp; A3,'2026初客紀錄'!B:B, "&lt;" &amp; EDATE(A3, 1))</f>
        <v>218</v>
      </c>
      <c r="C3" s="77">
        <f>COUNTIFS('2026初客紀錄'!B:B,"&gt;=2026/1/1",'2026初客紀錄'!B:B,"&lt;=2026/1/31")</f>
        <v>218</v>
      </c>
      <c r="E3" s="78">
        <v>1.0</v>
      </c>
      <c r="F3" s="82">
        <f>COUNTIFS('2026初客紀錄'!B:B,"&gt;=2026/1/1",'2026初客紀錄'!B:B,"&lt;=2026/1/31",'2026初客紀錄'!C:C,"FB名單")</f>
        <v>218</v>
      </c>
      <c r="G3" s="86">
        <f>COUNTIFS('2026初客紀錄'!B:B,"&gt;=2026/1/1",'2026初客紀錄'!B:B,"&lt;=2026/1/31",'2026初客紀錄'!C:C,"FB名單",'2026初客紀錄'!K:K,"&lt;&gt;")</f>
        <v>43</v>
      </c>
      <c r="H3" s="88">
        <f t="shared" ref="H3:H10" si="1">G3/F3</f>
        <v>0.1972477064</v>
      </c>
      <c r="I3" s="90">
        <f t="shared" ref="I3:I10" si="2">B3-F3</f>
        <v>0</v>
      </c>
      <c r="J3" s="90">
        <f t="shared" ref="J3:J10" si="3">J27-G3</f>
        <v>0</v>
      </c>
      <c r="K3" s="94" t="str">
        <f t="shared" ref="K3:K10" si="4">J3/I3</f>
        <v>#DIV/0!</v>
      </c>
      <c r="L3" s="21"/>
      <c r="M3" s="96" t="s">
        <v>178</v>
      </c>
      <c r="N3" s="98" t="s">
        <v>89</v>
      </c>
      <c r="O3" s="98">
        <v>67.0</v>
      </c>
      <c r="P3" s="98">
        <v>16.0</v>
      </c>
      <c r="Q3" s="99">
        <f t="shared" ref="Q3:Q19" si="5">P3/O3</f>
        <v>0.2388059701</v>
      </c>
      <c r="S3" s="103" t="s">
        <v>25</v>
      </c>
      <c r="T3" s="103" t="s">
        <v>231</v>
      </c>
      <c r="V3" s="103" t="s">
        <v>25</v>
      </c>
      <c r="W3" s="103" t="s">
        <v>251</v>
      </c>
      <c r="Y3" s="103" t="s">
        <v>25</v>
      </c>
      <c r="Z3" s="103" t="s">
        <v>231</v>
      </c>
    </row>
    <row r="4">
      <c r="A4" s="69">
        <f t="shared" ref="A4:A14" si="6">EDATE(A3,1)</f>
        <v>46054</v>
      </c>
      <c r="B4" s="74">
        <f>COUNTIFS('2026初客紀錄'!B:B, "&gt;=" &amp; A4,'2026初客紀錄'!B:B, "&lt;" &amp; EDATE(A4, 1))</f>
        <v>107</v>
      </c>
      <c r="C4" s="77">
        <f>COUNTIFS('2026初客紀錄'!B:B,"&gt;=2026/2/1",'2026初客紀錄'!B:B,"&lt;=2026/2/28")</f>
        <v>107</v>
      </c>
      <c r="E4" s="78">
        <v>2.0</v>
      </c>
      <c r="F4" s="82">
        <f>COUNTIFS('2026初客紀錄'!B:B,"&gt;=2026/2/1",'2026初客紀錄'!B:B,"&lt;=2026/2/28",'2026初客紀錄'!C:C,"FB名單")</f>
        <v>107</v>
      </c>
      <c r="G4" s="86">
        <f>COUNTIFS('2026初客紀錄'!B:B,"&gt;=2026/2/1",'2026初客紀錄'!B:B,"&lt;=2026/2/28",'2026初客紀錄'!C:C,"FB名單",'2026初客紀錄'!K:K,"&lt;&gt;")</f>
        <v>14</v>
      </c>
      <c r="H4" s="88">
        <f t="shared" si="1"/>
        <v>0.1308411215</v>
      </c>
      <c r="I4" s="90">
        <f t="shared" si="2"/>
        <v>0</v>
      </c>
      <c r="J4" s="90">
        <f t="shared" si="3"/>
        <v>0</v>
      </c>
      <c r="K4" s="94" t="str">
        <f t="shared" si="4"/>
        <v>#DIV/0!</v>
      </c>
      <c r="L4" s="21"/>
      <c r="M4" s="96" t="s">
        <v>178</v>
      </c>
      <c r="N4" s="98" t="s">
        <v>83</v>
      </c>
      <c r="O4" s="98">
        <v>53.0</v>
      </c>
      <c r="P4" s="98">
        <v>13.0</v>
      </c>
      <c r="Q4" s="99">
        <f t="shared" si="5"/>
        <v>0.2452830189</v>
      </c>
      <c r="S4" s="112">
        <v>46238.0</v>
      </c>
      <c r="T4" s="103">
        <v>9.0</v>
      </c>
      <c r="V4" s="112">
        <v>46238.0</v>
      </c>
      <c r="W4" s="103">
        <v>0.0</v>
      </c>
      <c r="Y4" s="112">
        <v>46238.0</v>
      </c>
      <c r="Z4" s="103">
        <v>2.0</v>
      </c>
    </row>
    <row r="5">
      <c r="A5" s="69">
        <f t="shared" si="6"/>
        <v>46082</v>
      </c>
      <c r="B5" s="74">
        <f>COUNTIFS('2026初客紀錄'!B:B, "&gt;=" &amp; A5,'2026初客紀錄'!B:B, "&lt;" &amp; EDATE(A5, 1))</f>
        <v>134</v>
      </c>
      <c r="C5" s="77">
        <f>COUNTIFS('2026初客紀錄'!B:B,"&gt;=2026/3/1",'2026初客紀錄'!B:B,"&lt;=2026/3/31")</f>
        <v>134</v>
      </c>
      <c r="E5" s="78">
        <v>3.0</v>
      </c>
      <c r="F5" s="82">
        <f>COUNTIFS('2026初客紀錄'!B:B,"&gt;=2026/3/1",'2026初客紀錄'!B:B,"&lt;=2026/3/31",'2026初客紀錄'!C:C,"FB名單")</f>
        <v>134</v>
      </c>
      <c r="G5" s="86">
        <f>COUNTIFS('2026初客紀錄'!B:B,"&gt;=2026/3/1",'2026初客紀錄'!B:B,"&lt;=2026/3/31",'2026初客紀錄'!C:C,"FB名單",'2026初客紀錄'!K:K,"&lt;&gt;")</f>
        <v>38</v>
      </c>
      <c r="H5" s="88">
        <f t="shared" si="1"/>
        <v>0.2835820896</v>
      </c>
      <c r="I5" s="90">
        <f t="shared" si="2"/>
        <v>0</v>
      </c>
      <c r="J5" s="90">
        <f t="shared" si="3"/>
        <v>0</v>
      </c>
      <c r="K5" s="94" t="str">
        <f t="shared" si="4"/>
        <v>#DIV/0!</v>
      </c>
      <c r="L5" s="21"/>
      <c r="M5" s="96" t="s">
        <v>178</v>
      </c>
      <c r="N5" s="98" t="s">
        <v>56</v>
      </c>
      <c r="O5" s="98">
        <v>69.0</v>
      </c>
      <c r="P5" s="98">
        <v>12.0</v>
      </c>
      <c r="Q5" s="99">
        <f t="shared" si="5"/>
        <v>0.1739130435</v>
      </c>
      <c r="S5" s="112">
        <v>46239.0</v>
      </c>
      <c r="T5" s="103">
        <v>4.0</v>
      </c>
      <c r="V5" s="112">
        <v>46239.0</v>
      </c>
      <c r="W5" s="103">
        <v>2.0</v>
      </c>
      <c r="Y5" s="112">
        <v>46242.0</v>
      </c>
      <c r="Z5" s="103">
        <v>3.0</v>
      </c>
    </row>
    <row r="6">
      <c r="A6" s="69">
        <f t="shared" si="6"/>
        <v>46113</v>
      </c>
      <c r="B6" s="74">
        <f>COUNTIFS('2026初客紀錄'!B:B, "&gt;=" &amp; A6,'2026初客紀錄'!B:B, "&lt;" &amp; EDATE(A6, 1))</f>
        <v>46</v>
      </c>
      <c r="C6" s="77">
        <f>COUNTIFS('2026初客紀錄'!B:B,"&gt;=2026/4/1",'2026初客紀錄'!B:B,"&lt;=2026/4/28")</f>
        <v>41</v>
      </c>
      <c r="E6" s="78">
        <v>4.0</v>
      </c>
      <c r="F6" s="82">
        <f>COUNTIFS('2026初客紀錄'!B:B,"&gt;=2026/4/1",'2026初客紀錄'!B:B,"&lt;=2026/4/28",'2026初客紀錄'!C:C,"FB名單")</f>
        <v>41</v>
      </c>
      <c r="G6" s="86">
        <f>COUNTIFS('2026初客紀錄'!B:B,"&gt;=2026/4/1",'2026初客紀錄'!B:B,"&lt;=2026/4/28",'2026初客紀錄'!C:C,"FB名單",'2026初客紀錄'!K:K,"&lt;&gt;")</f>
        <v>11</v>
      </c>
      <c r="H6" s="88">
        <f t="shared" si="1"/>
        <v>0.2682926829</v>
      </c>
      <c r="I6" s="90">
        <f t="shared" si="2"/>
        <v>5</v>
      </c>
      <c r="J6" s="90">
        <f t="shared" si="3"/>
        <v>0</v>
      </c>
      <c r="K6" s="94">
        <f t="shared" si="4"/>
        <v>0</v>
      </c>
      <c r="L6" s="21"/>
      <c r="M6" s="116" t="s">
        <v>369</v>
      </c>
      <c r="N6" s="117" t="s">
        <v>89</v>
      </c>
      <c r="O6" s="117">
        <v>11.0</v>
      </c>
      <c r="P6" s="117">
        <v>5.0</v>
      </c>
      <c r="Q6" s="118">
        <f t="shared" si="5"/>
        <v>0.4545454545</v>
      </c>
      <c r="S6" s="112">
        <v>46240.0</v>
      </c>
      <c r="T6" s="103">
        <v>1.0</v>
      </c>
      <c r="V6" s="112">
        <v>46240.0</v>
      </c>
      <c r="W6" s="103">
        <v>1.0</v>
      </c>
      <c r="Y6" s="112">
        <v>46247.0</v>
      </c>
      <c r="Z6" s="103">
        <v>4.0</v>
      </c>
    </row>
    <row r="7">
      <c r="A7" s="69">
        <f t="shared" si="6"/>
        <v>46143</v>
      </c>
      <c r="B7" s="74">
        <f>COUNTIFS('2026初客紀錄'!B:B, "&gt;=" &amp; A7,'2026初客紀錄'!B:B, "&lt;" &amp; EDATE(A7, 1))</f>
        <v>96</v>
      </c>
      <c r="C7" s="77">
        <f>COUNTIFS('2026初客紀錄'!B:B,"&gt;=2026/5/1",'2026初客紀錄'!B:B,"&lt;=2026/5/31")</f>
        <v>96</v>
      </c>
      <c r="E7" s="78">
        <v>5.0</v>
      </c>
      <c r="F7" s="82">
        <f>COUNTIFS('2026初客紀錄'!B:B,"&gt;=2026/5/1",'2026初客紀錄'!B:B,"&lt;=2026/5/31",'2026初客紀錄'!C:C,"FB名單")</f>
        <v>96</v>
      </c>
      <c r="G7" s="86">
        <f>COUNTIFS('2026初客紀錄'!B:B,"&gt;=2026/5/1",'2026初客紀錄'!B:B,"&lt;=2026/5/31",'2026初客紀錄'!C:C,"FB名單",'2026初客紀錄'!K:K,"&lt;&gt;")</f>
        <v>24</v>
      </c>
      <c r="H7" s="88">
        <f t="shared" si="1"/>
        <v>0.25</v>
      </c>
      <c r="I7" s="90">
        <f t="shared" si="2"/>
        <v>0</v>
      </c>
      <c r="J7" s="90">
        <f t="shared" si="3"/>
        <v>0</v>
      </c>
      <c r="K7" s="94" t="str">
        <f t="shared" si="4"/>
        <v>#DIV/0!</v>
      </c>
      <c r="L7" s="21"/>
      <c r="M7" s="116" t="s">
        <v>369</v>
      </c>
      <c r="N7" s="117" t="s">
        <v>83</v>
      </c>
      <c r="O7" s="117">
        <v>57.0</v>
      </c>
      <c r="P7" s="117">
        <v>3.0</v>
      </c>
      <c r="Q7" s="118">
        <f t="shared" si="5"/>
        <v>0.05263157895</v>
      </c>
      <c r="R7" s="24"/>
      <c r="S7" s="119">
        <v>46242.0</v>
      </c>
      <c r="T7" s="24">
        <v>6.0</v>
      </c>
      <c r="U7" s="24"/>
      <c r="V7" s="112">
        <v>46242.0</v>
      </c>
      <c r="W7" s="24">
        <v>2.0</v>
      </c>
      <c r="X7" s="24"/>
      <c r="Y7" s="119">
        <v>46249.0</v>
      </c>
      <c r="Z7" s="24">
        <v>4.0</v>
      </c>
    </row>
    <row r="8">
      <c r="A8" s="69">
        <f t="shared" si="6"/>
        <v>46174</v>
      </c>
      <c r="B8" s="74">
        <f>COUNTIFS('2026初客紀錄'!B:B, "&gt;=" &amp; A8,'2026初客紀錄'!B:B, "&lt;" &amp; EDATE(A8, 1))</f>
        <v>140</v>
      </c>
      <c r="C8" s="77">
        <f>COUNTIFS('2026初客紀錄'!B:B,"&gt;=2026/6/1",'2026初客紀錄'!B:B,"&lt;=2026/6/30")</f>
        <v>140</v>
      </c>
      <c r="E8" s="78">
        <v>6.0</v>
      </c>
      <c r="F8" s="82">
        <f>COUNTIFS('2026初客紀錄'!B:B,"&gt;=2026/6/1",'2026初客紀錄'!B:B,"&lt;=2026/6/30",'2026初客紀錄'!C:C,"FB名單")</f>
        <v>140</v>
      </c>
      <c r="G8" s="86">
        <f>COUNTIFS('2026初客紀錄'!B:B,"&gt;=2026/6/1",'2026初客紀錄'!B:B,"&lt;=2026/6/30",'2026初客紀錄'!C:C,"FB名單",'2026初客紀錄'!K:K,"&lt;&gt;")</f>
        <v>30</v>
      </c>
      <c r="H8" s="88">
        <f t="shared" si="1"/>
        <v>0.2142857143</v>
      </c>
      <c r="I8" s="90">
        <f t="shared" si="2"/>
        <v>0</v>
      </c>
      <c r="J8" s="90">
        <f t="shared" si="3"/>
        <v>0</v>
      </c>
      <c r="K8" s="94" t="str">
        <f t="shared" si="4"/>
        <v>#DIV/0!</v>
      </c>
      <c r="L8" s="21"/>
      <c r="M8" s="116" t="s">
        <v>369</v>
      </c>
      <c r="N8" s="117" t="s">
        <v>56</v>
      </c>
      <c r="O8" s="117">
        <v>28.0</v>
      </c>
      <c r="P8" s="117">
        <v>6.0</v>
      </c>
      <c r="Q8" s="118">
        <f t="shared" si="5"/>
        <v>0.2142857143</v>
      </c>
      <c r="S8" s="112">
        <v>46245.0</v>
      </c>
      <c r="T8" s="123">
        <v>4.0</v>
      </c>
      <c r="V8" s="112">
        <v>46245.0</v>
      </c>
      <c r="W8" s="24">
        <v>3.0</v>
      </c>
      <c r="X8" s="123"/>
      <c r="Y8" s="112">
        <v>46255.0</v>
      </c>
      <c r="Z8" s="123">
        <v>2.0</v>
      </c>
    </row>
    <row r="9">
      <c r="A9" s="69">
        <f t="shared" si="6"/>
        <v>46204</v>
      </c>
      <c r="B9" s="74">
        <f>COUNTIFS('2026初客紀錄'!B:B, "&gt;=" &amp; A9,'2026初客紀錄'!B:B, "&lt;" &amp; EDATE(A9, 1))</f>
        <v>115</v>
      </c>
      <c r="C9" s="77">
        <f>COUNTIFS('2026初客紀錄'!B:B,"&gt;=2026/7/1",'2026初客紀錄'!B:B,"&lt;=2026/7/31")</f>
        <v>115</v>
      </c>
      <c r="D9" s="70"/>
      <c r="E9" s="78">
        <v>7.0</v>
      </c>
      <c r="F9" s="124">
        <f>COUNTIFS('2026初客紀錄'!B:B,"&gt;=2026/7/1",'2026初客紀錄'!B:B,"&lt;=2026/7/31",'2026初客紀錄'!C:C,"FB名單")</f>
        <v>115</v>
      </c>
      <c r="G9" s="125">
        <f>COUNTIFS('2026初客紀錄'!B:B,"&gt;=2026/7/1",'2026初客紀錄'!B:B,"&lt;=2026/7/31",'2026初客紀錄'!C:C,"FB名單",'2026初客紀錄'!K:K,"&lt;&gt;")</f>
        <v>33</v>
      </c>
      <c r="H9" s="126">
        <f t="shared" si="1"/>
        <v>0.2869565217</v>
      </c>
      <c r="I9" s="127">
        <f t="shared" si="2"/>
        <v>0</v>
      </c>
      <c r="J9" s="127">
        <f t="shared" si="3"/>
        <v>0</v>
      </c>
      <c r="K9" s="128" t="str">
        <f t="shared" si="4"/>
        <v>#DIV/0!</v>
      </c>
      <c r="L9" s="21"/>
      <c r="M9" s="96" t="s">
        <v>477</v>
      </c>
      <c r="N9" s="98" t="s">
        <v>89</v>
      </c>
      <c r="O9" s="98">
        <v>48.0</v>
      </c>
      <c r="P9" s="98">
        <v>8.0</v>
      </c>
      <c r="Q9" s="99">
        <f t="shared" si="5"/>
        <v>0.1666666667</v>
      </c>
      <c r="S9" s="112">
        <v>46246.0</v>
      </c>
      <c r="T9" s="123">
        <v>3.0</v>
      </c>
      <c r="V9" s="129">
        <v>46246.0</v>
      </c>
      <c r="W9" s="123">
        <v>3.0</v>
      </c>
      <c r="X9" s="123"/>
      <c r="Y9" s="112">
        <v>46256.0</v>
      </c>
      <c r="Z9" s="123">
        <v>2.0</v>
      </c>
    </row>
    <row r="10">
      <c r="A10" s="69">
        <f t="shared" si="6"/>
        <v>46235</v>
      </c>
      <c r="B10" s="74">
        <f>COUNTIFS('2026初客紀錄'!B:B, "&gt;=" &amp; A10,'2026初客紀錄'!B:B, "&lt;" &amp; EDATE(A10, 1))</f>
        <v>109</v>
      </c>
      <c r="C10" s="77">
        <f>COUNTIFS('2026初客紀錄'!B:B,"&gt;=2026/8/1",'2026初客紀錄'!B:B,"&lt;=2026/8/31")</f>
        <v>109</v>
      </c>
      <c r="E10" s="78">
        <v>8.0</v>
      </c>
      <c r="F10" s="124">
        <f>COUNTIFS('2026初客紀錄'!B:B,"&gt;=2026/8/1",'2026初客紀錄'!B:B,"&lt;=2026/8/31",'2026初客紀錄'!C:C,"FB名單")</f>
        <v>66</v>
      </c>
      <c r="G10" s="125">
        <f>COUNTIFS('2026初客紀錄'!B:B,"&gt;=2026/8/1",'2026初客紀錄'!B:B,"&lt;=2026/8/31",'2026初客紀錄'!C:C,"FB名單",'2026初客紀錄'!K:K,"&lt;&gt;")</f>
        <v>10</v>
      </c>
      <c r="H10" s="126">
        <f t="shared" si="1"/>
        <v>0.1515151515</v>
      </c>
      <c r="I10" s="127">
        <f t="shared" si="2"/>
        <v>43</v>
      </c>
      <c r="J10" s="127">
        <f t="shared" si="3"/>
        <v>16</v>
      </c>
      <c r="K10" s="128">
        <f t="shared" si="4"/>
        <v>0.3720930233</v>
      </c>
      <c r="L10" s="21"/>
      <c r="M10" s="96" t="s">
        <v>477</v>
      </c>
      <c r="N10" s="98" t="s">
        <v>83</v>
      </c>
      <c r="O10" s="98">
        <v>64.0</v>
      </c>
      <c r="P10" s="98">
        <v>15.0</v>
      </c>
      <c r="Q10" s="99">
        <f t="shared" si="5"/>
        <v>0.234375</v>
      </c>
      <c r="R10" s="24"/>
      <c r="S10" s="119">
        <v>46247.0</v>
      </c>
      <c r="T10" s="24">
        <v>11.0</v>
      </c>
      <c r="U10" s="24"/>
      <c r="V10" s="119">
        <v>46247.0</v>
      </c>
      <c r="W10" s="24">
        <v>3.0</v>
      </c>
      <c r="X10" s="24"/>
      <c r="Y10" s="119">
        <v>46260.0</v>
      </c>
      <c r="Z10" s="24">
        <v>1.0</v>
      </c>
    </row>
    <row r="11">
      <c r="A11" s="69">
        <f t="shared" si="6"/>
        <v>46266</v>
      </c>
      <c r="B11" s="74">
        <f>COUNTIFS('2026初客紀錄'!B:B, "&gt;=" &amp; A11,'2026初客紀錄'!B:B, "&lt;" &amp; EDATE(A11, 1))</f>
        <v>6</v>
      </c>
      <c r="C11" s="77">
        <f>COUNTIFS(
  '2025初客紀錄'!B:B,"&gt;=2025/11/1",
  '2025初客紀錄'!B:B,"&lt;=2025/11/30"
)</f>
        <v>0</v>
      </c>
      <c r="D11" s="70"/>
      <c r="E11" s="78">
        <v>9.0</v>
      </c>
      <c r="F11" s="86"/>
      <c r="G11" s="86"/>
      <c r="H11" s="86"/>
      <c r="I11" s="90">
        <f t="shared" ref="I11:I14" si="7">J11-G11</f>
        <v>0</v>
      </c>
      <c r="J11" s="90"/>
      <c r="K11" s="90"/>
      <c r="L11" s="21"/>
      <c r="M11" s="96" t="s">
        <v>477</v>
      </c>
      <c r="N11" s="98" t="s">
        <v>527</v>
      </c>
      <c r="O11" s="98">
        <v>14.0</v>
      </c>
      <c r="P11" s="98">
        <v>6.0</v>
      </c>
      <c r="Q11" s="99">
        <f t="shared" si="5"/>
        <v>0.4285714286</v>
      </c>
      <c r="R11" s="123"/>
      <c r="S11" s="129">
        <v>46249.0</v>
      </c>
      <c r="T11" s="123">
        <v>6.0</v>
      </c>
      <c r="U11" s="123"/>
      <c r="V11" s="129">
        <v>46249.0</v>
      </c>
      <c r="W11" s="123">
        <v>0.0</v>
      </c>
      <c r="X11" s="123"/>
      <c r="Y11" s="112">
        <v>46261.0</v>
      </c>
      <c r="Z11" s="103">
        <v>6.0</v>
      </c>
    </row>
    <row r="12">
      <c r="A12" s="69">
        <f t="shared" si="6"/>
        <v>46296</v>
      </c>
      <c r="B12" s="74">
        <f>COUNTIFS('2026初客紀錄'!B:B, "&gt;=" &amp; A12,'2026初客紀錄'!B:B, "&lt;" &amp; EDATE(A12, 1))</f>
        <v>0</v>
      </c>
      <c r="C12" s="77">
        <f>COUNTIFS(
  '2025初客紀錄'!B:B,"&gt;=2025/12/1",
  '2025初客紀錄'!B:B,"&lt;=2025/12/31"
)</f>
        <v>0</v>
      </c>
      <c r="D12" s="70"/>
      <c r="E12" s="132">
        <v>10.0</v>
      </c>
      <c r="F12" s="82"/>
      <c r="G12" s="86"/>
      <c r="H12" s="86"/>
      <c r="I12" s="90">
        <f t="shared" si="7"/>
        <v>0</v>
      </c>
      <c r="J12" s="90"/>
      <c r="K12" s="90"/>
      <c r="L12" s="21"/>
      <c r="M12" s="116" t="s">
        <v>549</v>
      </c>
      <c r="N12" s="117" t="s">
        <v>89</v>
      </c>
      <c r="O12" s="117">
        <v>11.0</v>
      </c>
      <c r="P12" s="117">
        <v>3.0</v>
      </c>
      <c r="Q12" s="118">
        <f t="shared" si="5"/>
        <v>0.2727272727</v>
      </c>
      <c r="R12" s="70"/>
      <c r="S12" s="133">
        <v>46252.0</v>
      </c>
      <c r="T12" s="103">
        <v>2.0</v>
      </c>
      <c r="U12" s="70"/>
      <c r="V12" s="112">
        <v>46252.0</v>
      </c>
      <c r="W12" s="103">
        <v>0.0</v>
      </c>
      <c r="Y12" s="112">
        <v>46262.0</v>
      </c>
      <c r="Z12" s="103">
        <v>1.0</v>
      </c>
    </row>
    <row r="13">
      <c r="A13" s="69">
        <f t="shared" si="6"/>
        <v>46327</v>
      </c>
      <c r="B13" s="74">
        <f>COUNTIFS('2026初客紀錄'!B:B, "&gt;=" &amp; A13,'2026初客紀錄'!B:B, "&lt;" &amp; EDATE(A13, 1))</f>
        <v>0</v>
      </c>
      <c r="C13" s="77">
        <f>COUNTIFS(
  '2025初客紀錄'!B:B,"&gt;=2026/1/1",
  '2025初客紀錄'!B:B,"&lt;=2026/1/31"
)</f>
        <v>0</v>
      </c>
      <c r="D13" s="70"/>
      <c r="E13" s="132">
        <v>11.0</v>
      </c>
      <c r="F13" s="82"/>
      <c r="G13" s="82"/>
      <c r="H13" s="82"/>
      <c r="I13" s="90">
        <f t="shared" si="7"/>
        <v>0</v>
      </c>
      <c r="J13" s="134"/>
      <c r="K13" s="134"/>
      <c r="L13" s="21"/>
      <c r="M13" s="116" t="s">
        <v>549</v>
      </c>
      <c r="N13" s="117" t="s">
        <v>83</v>
      </c>
      <c r="O13" s="117">
        <v>59.0</v>
      </c>
      <c r="P13" s="117">
        <v>13.0</v>
      </c>
      <c r="Q13" s="118">
        <f t="shared" si="5"/>
        <v>0.2203389831</v>
      </c>
      <c r="R13" s="70"/>
      <c r="S13" s="135">
        <v>46254.0</v>
      </c>
      <c r="T13" s="103">
        <v>1.0</v>
      </c>
      <c r="U13" s="70"/>
      <c r="V13" s="112">
        <v>46254.0</v>
      </c>
      <c r="W13" s="103">
        <v>0.0</v>
      </c>
      <c r="Y13" s="112">
        <v>46263.0</v>
      </c>
      <c r="Z13" s="103">
        <v>1.0</v>
      </c>
    </row>
    <row r="14">
      <c r="A14" s="69">
        <f t="shared" si="6"/>
        <v>46357</v>
      </c>
      <c r="B14" s="74">
        <f>COUNTIFS('2026初客紀錄'!B:B, "&gt;=" &amp; A14,'2026初客紀錄'!B:B, "&lt;" &amp; EDATE(A14, 1))</f>
        <v>0</v>
      </c>
      <c r="C14" s="77">
        <f>COUNTIFS(
  '2025初客紀錄'!B:B,"&gt;=2026/2/1",
  '2025初客紀錄'!B:B,"&lt;=2026/2/28"
)</f>
        <v>0</v>
      </c>
      <c r="D14" s="70"/>
      <c r="E14" s="132">
        <v>12.0</v>
      </c>
      <c r="F14" s="82"/>
      <c r="G14" s="82"/>
      <c r="H14" s="82"/>
      <c r="I14" s="90">
        <f t="shared" si="7"/>
        <v>0</v>
      </c>
      <c r="J14" s="134"/>
      <c r="K14" s="134"/>
      <c r="L14" s="21"/>
      <c r="M14" s="116" t="s">
        <v>549</v>
      </c>
      <c r="N14" s="117" t="s">
        <v>527</v>
      </c>
      <c r="O14" s="117">
        <v>1.0</v>
      </c>
      <c r="P14" s="117">
        <v>1.0</v>
      </c>
      <c r="Q14" s="118">
        <f t="shared" si="5"/>
        <v>1</v>
      </c>
      <c r="R14" s="70"/>
      <c r="S14" s="133">
        <v>46255.0</v>
      </c>
      <c r="T14" s="103">
        <v>18.0</v>
      </c>
      <c r="U14" s="70"/>
      <c r="V14" s="112">
        <v>46255.0</v>
      </c>
      <c r="W14" s="103">
        <v>4.0</v>
      </c>
      <c r="Y14" s="103" t="s">
        <v>596</v>
      </c>
      <c r="Z14" s="103">
        <v>26.0</v>
      </c>
    </row>
    <row r="15">
      <c r="E15" s="143"/>
      <c r="F15" s="70"/>
      <c r="G15" s="70"/>
      <c r="H15" s="70"/>
      <c r="K15" s="21"/>
      <c r="L15" s="21"/>
      <c r="M15" s="144" t="s">
        <v>600</v>
      </c>
      <c r="N15" s="98" t="s">
        <v>89</v>
      </c>
      <c r="O15" s="98">
        <v>19.0</v>
      </c>
      <c r="P15" s="98">
        <v>7.0</v>
      </c>
      <c r="Q15" s="99">
        <f t="shared" si="5"/>
        <v>0.3684210526</v>
      </c>
      <c r="S15" s="112">
        <v>46256.0</v>
      </c>
      <c r="T15" s="103">
        <v>5.0</v>
      </c>
      <c r="V15" s="112">
        <v>46256.0</v>
      </c>
      <c r="W15" s="103">
        <v>1.0</v>
      </c>
    </row>
    <row r="16">
      <c r="A16" s="145" t="s">
        <v>607</v>
      </c>
      <c r="L16" s="21"/>
      <c r="M16" s="144" t="s">
        <v>600</v>
      </c>
      <c r="N16" s="98" t="s">
        <v>83</v>
      </c>
      <c r="O16" s="98">
        <v>67.0</v>
      </c>
      <c r="P16" s="98">
        <v>17.0</v>
      </c>
      <c r="Q16" s="99">
        <f t="shared" si="5"/>
        <v>0.2537313433</v>
      </c>
      <c r="S16" s="112">
        <v>46259.0</v>
      </c>
      <c r="T16" s="103">
        <v>7.0</v>
      </c>
      <c r="V16" s="112">
        <v>46259.0</v>
      </c>
      <c r="W16" s="103">
        <v>1.0</v>
      </c>
    </row>
    <row r="17">
      <c r="A17" s="28" t="s">
        <v>611</v>
      </c>
      <c r="B17" s="28" t="s">
        <v>42</v>
      </c>
      <c r="C17" s="28" t="s">
        <v>613</v>
      </c>
      <c r="D17" s="28" t="s">
        <v>614</v>
      </c>
      <c r="E17" s="28" t="s">
        <v>615</v>
      </c>
      <c r="F17" s="28" t="s">
        <v>617</v>
      </c>
      <c r="G17" s="28" t="s">
        <v>619</v>
      </c>
      <c r="H17" s="28" t="s">
        <v>620</v>
      </c>
      <c r="I17" s="146" t="s">
        <v>621</v>
      </c>
      <c r="J17" s="28" t="s">
        <v>622</v>
      </c>
      <c r="K17" s="28" t="s">
        <v>64</v>
      </c>
      <c r="L17" s="37"/>
      <c r="M17" s="147" t="s">
        <v>600</v>
      </c>
      <c r="N17" s="148" t="s">
        <v>527</v>
      </c>
      <c r="O17" s="148">
        <v>6.0</v>
      </c>
      <c r="P17" s="148">
        <v>1.0</v>
      </c>
      <c r="Q17" s="149">
        <f t="shared" si="5"/>
        <v>0.1666666667</v>
      </c>
      <c r="R17" s="57"/>
      <c r="S17" s="150">
        <v>46260.0</v>
      </c>
      <c r="T17" s="57">
        <v>5.0</v>
      </c>
      <c r="U17" s="57"/>
      <c r="V17" s="150">
        <v>46260.0</v>
      </c>
      <c r="W17" s="57">
        <v>2.0</v>
      </c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</row>
    <row r="18">
      <c r="A18" s="151" t="s">
        <v>637</v>
      </c>
      <c r="B18" s="152">
        <f>COUNTIF('2026初客紀錄'!C:C,"現場")</f>
        <v>0</v>
      </c>
      <c r="C18" s="153">
        <f t="shared" ref="C18:C24" si="8">B18-D18</f>
        <v>0</v>
      </c>
      <c r="D18" s="153">
        <f>COUNTIFS('2026初客紀錄'!C:C,"現場",'2026初客紀錄'!J:J,"&lt;&gt;")</f>
        <v>0</v>
      </c>
      <c r="E18" s="153">
        <f t="shared" ref="E18:E24" si="9">D18-F18-G18</f>
        <v>0</v>
      </c>
      <c r="F18" s="152">
        <f>COUNTIFS('2026初客紀錄'!C:C,"現場",'2026初客紀錄'!M:M,"未接")+COUNTIFS('2026初客紀錄'!C:C,"現場",'2026初客紀錄'!M:M,"語音")</f>
        <v>0</v>
      </c>
      <c r="G18" s="152">
        <f>COUNTIFS('2026初客紀錄'!C:C,"現場",'2026初客紀錄'!K:K,"X")</f>
        <v>0</v>
      </c>
      <c r="H18" s="152">
        <f t="shared" ref="H18:H24" si="10">E18-J18</f>
        <v>0</v>
      </c>
      <c r="I18" s="154"/>
      <c r="J18" s="152">
        <f>COUNTIFS('2026初客紀錄'!C:C,"現場",'2026初客紀錄'!K:K,"&lt;&gt;")</f>
        <v>0</v>
      </c>
      <c r="K18" s="155" t="str">
        <f t="shared" ref="K18:K24" si="11">J18/D18</f>
        <v>#DIV/0!</v>
      </c>
      <c r="M18" s="116" t="s">
        <v>471</v>
      </c>
      <c r="N18" s="24" t="s">
        <v>89</v>
      </c>
      <c r="O18" s="24">
        <v>46.0</v>
      </c>
      <c r="P18" s="24">
        <v>13.0</v>
      </c>
      <c r="Q18" s="156">
        <f t="shared" si="5"/>
        <v>0.2826086957</v>
      </c>
      <c r="S18" s="112">
        <v>46261.0</v>
      </c>
      <c r="T18" s="103">
        <v>12.0</v>
      </c>
      <c r="V18" s="112">
        <v>46261.0</v>
      </c>
      <c r="W18" s="103">
        <v>1.0</v>
      </c>
    </row>
    <row r="19">
      <c r="A19" s="158" t="s">
        <v>676</v>
      </c>
      <c r="B19" s="159">
        <f>COUNTIF('2026初客紀錄'!C:C,"TEL")</f>
        <v>7</v>
      </c>
      <c r="C19" s="74">
        <f t="shared" si="8"/>
        <v>1</v>
      </c>
      <c r="D19" s="74">
        <f>COUNTIFS('2026初客紀錄'!C:C,"TEL",'2026初客紀錄'!J:J,"&lt;&gt;")</f>
        <v>6</v>
      </c>
      <c r="E19" s="74">
        <f t="shared" si="9"/>
        <v>6</v>
      </c>
      <c r="F19" s="159">
        <f>COUNTIFS('2026初客紀錄'!C:C,"TEL",'2026初客紀錄'!M:M,"未接")+COUNTIFS('2026初客紀錄'!C:C,"TEL",'2026初客紀錄'!M:M,"語音")</f>
        <v>0</v>
      </c>
      <c r="G19" s="159">
        <f>COUNTIFS('2026初客紀錄'!C:C,"TEL",'2026初客紀錄'!K:K,"X")</f>
        <v>0</v>
      </c>
      <c r="H19" s="159">
        <f t="shared" si="10"/>
        <v>2</v>
      </c>
      <c r="I19" s="154"/>
      <c r="J19" s="159">
        <f>COUNTIFS('2026初客紀錄'!C:C,"TEL",'2026初客紀錄'!K:K,"&lt;&gt;")</f>
        <v>4</v>
      </c>
      <c r="K19" s="160">
        <f t="shared" si="11"/>
        <v>0.6666666667</v>
      </c>
      <c r="L19" s="21"/>
      <c r="M19" s="116" t="s">
        <v>471</v>
      </c>
      <c r="N19" s="24" t="s">
        <v>527</v>
      </c>
      <c r="O19" s="24">
        <v>16.0</v>
      </c>
      <c r="P19" s="24">
        <v>3.0</v>
      </c>
      <c r="Q19" s="156">
        <f t="shared" si="5"/>
        <v>0.1875</v>
      </c>
      <c r="S19" s="112">
        <v>46262.0</v>
      </c>
      <c r="T19" s="103">
        <v>11.0</v>
      </c>
      <c r="V19" s="112">
        <v>46262.0</v>
      </c>
      <c r="W19" s="103">
        <v>2.0</v>
      </c>
    </row>
    <row r="20">
      <c r="A20" s="161" t="s">
        <v>701</v>
      </c>
      <c r="B20" s="77">
        <f>COUNTIF('2026初客紀錄'!C:C,"後台")</f>
        <v>10</v>
      </c>
      <c r="C20" s="162">
        <f t="shared" si="8"/>
        <v>0</v>
      </c>
      <c r="D20" s="162">
        <f>COUNTIFS('2026初客紀錄'!C:C,"後台",'2026初客紀錄'!J:J,"&lt;&gt;")</f>
        <v>10</v>
      </c>
      <c r="E20" s="162">
        <f t="shared" si="9"/>
        <v>7</v>
      </c>
      <c r="F20" s="77">
        <f>COUNTIFS('2026初客紀錄'!C:C,"後台",'2026初客紀錄'!M:M,"未接")+COUNTIFS('2026初客紀錄'!C:C,"後台",'2026初客紀錄'!M:M,"語音")</f>
        <v>3</v>
      </c>
      <c r="G20" s="77">
        <f>COUNTIFS('2026初客紀錄'!C:C,"後台",'2026初客紀錄'!K:K,"X")</f>
        <v>0</v>
      </c>
      <c r="H20" s="77">
        <f t="shared" si="10"/>
        <v>5</v>
      </c>
      <c r="I20" s="154"/>
      <c r="J20" s="77">
        <f>COUNTIFS('2026初客紀錄'!C:C,"後台",'2026初客紀錄'!K:K,"&lt;&gt;")</f>
        <v>2</v>
      </c>
      <c r="K20" s="163">
        <f t="shared" si="11"/>
        <v>0.2</v>
      </c>
      <c r="L20" s="21"/>
      <c r="M20" s="116" t="s">
        <v>471</v>
      </c>
      <c r="N20" s="164" t="s">
        <v>735</v>
      </c>
      <c r="O20" s="165"/>
      <c r="P20" s="166">
        <v>41.0</v>
      </c>
      <c r="Q20" s="165"/>
      <c r="S20" s="112">
        <v>46263.0</v>
      </c>
      <c r="T20" s="103">
        <v>5.0</v>
      </c>
      <c r="V20" s="112">
        <v>46263.0</v>
      </c>
      <c r="W20" s="103">
        <v>2.0</v>
      </c>
    </row>
    <row r="21">
      <c r="A21" s="161" t="s">
        <v>740</v>
      </c>
      <c r="B21" s="77">
        <f>COUNTIF('2026初客紀錄'!C:C,"WIX")</f>
        <v>5</v>
      </c>
      <c r="C21" s="162">
        <f t="shared" si="8"/>
        <v>0</v>
      </c>
      <c r="D21" s="162">
        <f>COUNTIFS('2026初客紀錄'!C:C,"WIX",'2026初客紀錄'!J:J,"&lt;&gt;")</f>
        <v>5</v>
      </c>
      <c r="E21" s="162">
        <f t="shared" si="9"/>
        <v>3</v>
      </c>
      <c r="F21" s="77">
        <f>COUNTIFS('2026初客紀錄'!C:C,"WIX",'2026初客紀錄'!M:M,"未接")+COUNTIFS('2026初客紀錄'!C:C,"WIX",'2026初客紀錄'!M:M,"語音")</f>
        <v>2</v>
      </c>
      <c r="G21" s="77">
        <f>COUNTIFS('2026初客紀錄'!C:C,"WIX",'2026初客紀錄'!K:K,"X")</f>
        <v>0</v>
      </c>
      <c r="H21" s="77">
        <f t="shared" si="10"/>
        <v>1</v>
      </c>
      <c r="I21" s="154"/>
      <c r="J21" s="77">
        <f>COUNTIFS('2026初客紀錄'!C:C,"WIX",'2026初客紀錄'!K:K,"&lt;&gt;")</f>
        <v>2</v>
      </c>
      <c r="K21" s="163">
        <f t="shared" si="11"/>
        <v>0.4</v>
      </c>
      <c r="L21" s="21"/>
      <c r="M21" s="116" t="s">
        <v>755</v>
      </c>
      <c r="N21" s="24" t="s">
        <v>89</v>
      </c>
      <c r="O21" s="24">
        <v>68.0</v>
      </c>
      <c r="P21" s="24">
        <v>32.0</v>
      </c>
      <c r="Q21" s="156">
        <f t="shared" ref="Q21:Q22" si="12">P21/O21</f>
        <v>0.4705882353</v>
      </c>
      <c r="S21" s="103" t="s">
        <v>596</v>
      </c>
      <c r="T21" s="103">
        <v>110.0</v>
      </c>
      <c r="V21" s="103" t="s">
        <v>596</v>
      </c>
      <c r="W21" s="103">
        <v>27.0</v>
      </c>
    </row>
    <row r="22">
      <c r="A22" s="173" t="s">
        <v>758</v>
      </c>
      <c r="B22" s="174">
        <f>COUNTIF('2026初客紀錄'!C:C,"LINE")</f>
        <v>23</v>
      </c>
      <c r="C22" s="175">
        <f t="shared" si="8"/>
        <v>1</v>
      </c>
      <c r="D22" s="175">
        <f>COUNTIFS('2026初客紀錄'!C:C,"LINE",'2026初客紀錄'!J:J,"&lt;&gt;")</f>
        <v>22</v>
      </c>
      <c r="E22" s="175">
        <f t="shared" si="9"/>
        <v>19</v>
      </c>
      <c r="F22" s="174">
        <f>COUNTIFS('2026初客紀錄'!C:C,"LINE",'2026初客紀錄'!M:M,"未接")+COUNTIFS('2026初客紀錄'!C:C,"LINE",'2026初客紀錄'!M:M,"語音")</f>
        <v>3</v>
      </c>
      <c r="G22" s="174">
        <f>COUNTIFS('2026初客紀錄'!C:C,"LINE",'2026初客紀錄'!K:K,"X")</f>
        <v>0</v>
      </c>
      <c r="H22" s="174">
        <f t="shared" si="10"/>
        <v>11</v>
      </c>
      <c r="I22" s="154"/>
      <c r="J22" s="174">
        <f>COUNTIFS('2026初客紀錄'!C:C,"LINE",'2026初客紀錄'!K:K,"&lt;&gt;")</f>
        <v>8</v>
      </c>
      <c r="K22" s="178">
        <f t="shared" si="11"/>
        <v>0.3636363636</v>
      </c>
      <c r="L22" s="21"/>
      <c r="M22" s="116" t="s">
        <v>755</v>
      </c>
      <c r="N22" s="24" t="s">
        <v>527</v>
      </c>
      <c r="O22" s="24" t="s">
        <v>769</v>
      </c>
      <c r="P22" s="24" t="s">
        <v>769</v>
      </c>
      <c r="Q22" s="156" t="str">
        <f t="shared" si="12"/>
        <v>#VALUE!</v>
      </c>
    </row>
    <row r="23">
      <c r="A23" s="186" t="s">
        <v>772</v>
      </c>
      <c r="B23" s="189">
        <f>COUNTIF('2026初客紀錄'!C:C,"FB名單")</f>
        <v>923</v>
      </c>
      <c r="C23" s="190">
        <f t="shared" si="8"/>
        <v>26</v>
      </c>
      <c r="D23" s="190">
        <f>COUNTIFS('2026初客紀錄'!C:C,"FB名單",'2026初客紀錄'!J:J,"&lt;&gt;")</f>
        <v>897</v>
      </c>
      <c r="E23" s="189">
        <f t="shared" si="9"/>
        <v>736</v>
      </c>
      <c r="F23" s="189">
        <f>COUNTIFS('2026初客紀錄'!C:C,"FB名單",'2026初客紀錄'!M:M,"未接")+COUNTIFS('2026初客紀錄'!C:C,"FB名單",'2026初客紀錄'!M:M,"語音")</f>
        <v>145</v>
      </c>
      <c r="G23" s="189">
        <f>COUNTIFS('2026初客紀錄'!C:C,"FB名單",'2026初客紀錄'!K:K,"X")</f>
        <v>16</v>
      </c>
      <c r="H23" s="189">
        <f t="shared" si="10"/>
        <v>532</v>
      </c>
      <c r="I23" s="154"/>
      <c r="J23" s="189">
        <f>COUNTIFS('2026初客紀錄'!C:C,"FB名單",'2026初客紀錄'!K:K,"&lt;&gt;")</f>
        <v>204</v>
      </c>
      <c r="K23" s="193">
        <f t="shared" si="11"/>
        <v>0.2274247492</v>
      </c>
      <c r="M23" s="116" t="s">
        <v>755</v>
      </c>
      <c r="N23" s="164" t="s">
        <v>735</v>
      </c>
      <c r="O23" s="165"/>
      <c r="P23" s="166">
        <v>28.0</v>
      </c>
      <c r="Q23" s="165"/>
    </row>
    <row r="24">
      <c r="A24" s="186" t="s">
        <v>802</v>
      </c>
      <c r="B24" s="189">
        <f>COUNTIF('2026初客紀錄'!C:C,"FB")</f>
        <v>2</v>
      </c>
      <c r="C24" s="190">
        <f t="shared" si="8"/>
        <v>0</v>
      </c>
      <c r="D24" s="190">
        <f>COUNTIFS('2026初客紀錄'!C:C,"FB",'2026初客紀錄'!J:J,"&lt;&gt;")</f>
        <v>2</v>
      </c>
      <c r="E24" s="189">
        <f t="shared" si="9"/>
        <v>1</v>
      </c>
      <c r="F24" s="189">
        <f>COUNTIFS('2026初客紀錄'!C:C,"FB",'2026初客紀錄'!M:M,"未接")+COUNTIFS('2026初客紀錄'!C:C,"FB",'2026初客紀錄'!M:M,"語音")</f>
        <v>1</v>
      </c>
      <c r="G24" s="189">
        <f>COUNTIFS('2026初客紀錄'!C:C,"FB",'2026初客紀錄'!K:K,"X")</f>
        <v>0</v>
      </c>
      <c r="H24" s="189">
        <f t="shared" si="10"/>
        <v>1</v>
      </c>
      <c r="I24" s="154"/>
      <c r="J24" s="189">
        <f>COUNTIFS('2026初客紀錄'!C:C,"FB",'2026初客紀錄'!K:K,"&lt;&gt;")</f>
        <v>0</v>
      </c>
      <c r="K24" s="193">
        <f t="shared" si="11"/>
        <v>0</v>
      </c>
      <c r="M24" s="116" t="s">
        <v>848</v>
      </c>
      <c r="N24" s="24" t="s">
        <v>89</v>
      </c>
      <c r="O24" s="24">
        <v>110.0</v>
      </c>
      <c r="P24" s="24">
        <v>24.0</v>
      </c>
      <c r="Q24" s="156">
        <f t="shared" ref="Q24:Q25" si="13">P24/O24</f>
        <v>0.2181818182</v>
      </c>
    </row>
    <row r="25">
      <c r="A25" s="146" t="s">
        <v>854</v>
      </c>
      <c r="B25" s="146">
        <f>COUNTIF('2026初客紀錄'!C:C,"家具")</f>
        <v>2</v>
      </c>
      <c r="C25" s="146"/>
      <c r="D25" s="146">
        <f>COUNTIFS('2026初客紀錄'!C:C,"家具",'2026初客紀錄'!J:J,"&lt;&gt;")</f>
        <v>2</v>
      </c>
      <c r="E25" s="146"/>
      <c r="F25" s="146"/>
      <c r="G25" s="146"/>
      <c r="H25" s="146"/>
      <c r="I25" s="146"/>
      <c r="J25" s="146">
        <f>COUNTIFS('2026初客紀錄'!C:C,"家具",'2026初客紀錄'!J:J,"&lt;&gt;")</f>
        <v>2</v>
      </c>
      <c r="K25" s="194">
        <f>J24/D24</f>
        <v>0</v>
      </c>
      <c r="L25" s="57"/>
      <c r="M25" s="116" t="s">
        <v>848</v>
      </c>
      <c r="N25" s="24" t="s">
        <v>527</v>
      </c>
      <c r="O25" s="24" t="s">
        <v>769</v>
      </c>
      <c r="P25" s="24" t="s">
        <v>769</v>
      </c>
      <c r="Q25" s="156" t="str">
        <f t="shared" si="13"/>
        <v>#VALUE!</v>
      </c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</row>
    <row r="26">
      <c r="A26" s="28" t="s">
        <v>879</v>
      </c>
      <c r="B26" s="28" t="s">
        <v>42</v>
      </c>
      <c r="C26" s="28" t="s">
        <v>613</v>
      </c>
      <c r="D26" s="28" t="s">
        <v>614</v>
      </c>
      <c r="E26" s="28" t="s">
        <v>615</v>
      </c>
      <c r="F26" s="28" t="s">
        <v>617</v>
      </c>
      <c r="G26" s="28" t="s">
        <v>619</v>
      </c>
      <c r="H26" s="28" t="s">
        <v>620</v>
      </c>
      <c r="I26" s="146" t="s">
        <v>621</v>
      </c>
      <c r="J26" s="28" t="s">
        <v>622</v>
      </c>
      <c r="K26" s="195" t="s">
        <v>64</v>
      </c>
      <c r="L26" s="57"/>
      <c r="M26" s="116" t="s">
        <v>848</v>
      </c>
      <c r="N26" s="164" t="s">
        <v>735</v>
      </c>
      <c r="O26" s="165"/>
      <c r="P26" s="166">
        <v>26.0</v>
      </c>
      <c r="Q26" s="165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57"/>
      <c r="BI26" s="57"/>
      <c r="BJ26" s="57"/>
      <c r="BK26" s="57"/>
    </row>
    <row r="27">
      <c r="A27" s="158" t="s">
        <v>178</v>
      </c>
      <c r="B27" s="154">
        <f>COUNTIFS('2026初客紀錄'!B:B,"&gt;=2026/1/1",'2026初客紀錄'!B:B,"&lt;=2026/1/31")</f>
        <v>218</v>
      </c>
      <c r="C27" s="74">
        <f t="shared" ref="C27:C34" si="14">B27-D27</f>
        <v>2</v>
      </c>
      <c r="D27" s="174">
        <f>COUNTIFS('2026初客紀錄'!B:B,"&gt;=2026/1/1",'2026初客紀錄'!B:B,"&lt;=2026/1/31",'2026初客紀錄'!J:J,"&lt;&gt;")</f>
        <v>216</v>
      </c>
      <c r="E27" s="174">
        <f t="shared" ref="E27:E34" si="15">D27-F27-G27</f>
        <v>176</v>
      </c>
      <c r="F27" s="175">
        <f>COUNTIFS('2026初客紀錄'!B:B,"&gt;=2026/1/1",'2026初客紀錄'!B:B,"&lt;=2026/1/31",'2026初客紀錄'!M:M,"未接")+COUNTIFS('2026初客紀錄'!B:B,"&gt;=2026/1/1",'2026初客紀錄'!B:B,"&lt;=2026/1/31",'2026初客紀錄'!M:M,"語音")</f>
        <v>40</v>
      </c>
      <c r="G27" s="175">
        <f>COUNTIFS(
'2026初客紀錄'!B:B,"&gt;="&amp;DATE(2026,1,1),
'2026初客紀錄'!B:B,"&lt;"&amp;DATE(2026,1,31),
'2026初客紀錄'!K:K,"X"
)</f>
        <v>0</v>
      </c>
      <c r="H27" s="175">
        <f t="shared" ref="H27:H34" si="16">E27-J27</f>
        <v>133</v>
      </c>
      <c r="I27" s="207">
        <f>COUNTIFS(
'2026初客紀錄'!B:B,"&gt;="&amp;DATE(2026,1,1),
'2026初客紀錄'!B:B,"&lt;"&amp;DATE(2026,1,31),
'2026初客紀錄'!C:C,"家具"
)</f>
        <v>0</v>
      </c>
      <c r="J27" s="175">
        <f>COUNTIFS('2026初客紀錄'!B:B,"&gt;=2026/1/1",'2026初客紀錄'!B:B,"&lt;=2026/1/31",'2026初客紀錄'!K:K,"&lt;&gt;")</f>
        <v>43</v>
      </c>
      <c r="K27" s="209">
        <f t="shared" ref="K27:K34" si="17">J27/(D27-I27)</f>
        <v>0.1990740741</v>
      </c>
    </row>
    <row r="28">
      <c r="A28" s="158" t="s">
        <v>369</v>
      </c>
      <c r="B28" s="154">
        <f>COUNTIFS('2026初客紀錄'!B:B,"&gt;=2026/2/1",'2026初客紀錄'!B:B,"&lt;=2026/2/28")</f>
        <v>107</v>
      </c>
      <c r="C28" s="74">
        <f t="shared" si="14"/>
        <v>2</v>
      </c>
      <c r="D28" s="174">
        <f>COUNTIFS('2026初客紀錄'!B:B,"&gt;=2026/2/1",'2026初客紀錄'!B:B,"&lt;=2026/2/28",'2026初客紀錄'!J:J,"&lt;&gt;")</f>
        <v>105</v>
      </c>
      <c r="E28" s="174">
        <f t="shared" si="15"/>
        <v>93</v>
      </c>
      <c r="F28" s="175">
        <f>COUNTIFS('2026初客紀錄'!B:B,"&gt;=2026/2/1",'2026初客紀錄'!B:B,"&lt;=2026/2/28",'2026初客紀錄'!M:M,"未接")+COUNTIFS('2026初客紀錄'!B:B,"&gt;=2026/2/1",'2026初客紀錄'!B:B,"&lt;=2026/2/28",'2026初客紀錄'!M:M,"語音")</f>
        <v>12</v>
      </c>
      <c r="G28" s="175">
        <f>COUNTIFS(
'2026初客紀錄'!B:B,"&gt;="&amp;DATE(2026,2,1),
'2026初客紀錄'!B:B,"&lt;"&amp;DATE(2026,2,28),
'2026初客紀錄'!K:K,"X"
)</f>
        <v>0</v>
      </c>
      <c r="H28" s="175">
        <f t="shared" si="16"/>
        <v>79</v>
      </c>
      <c r="I28" s="207">
        <f>COUNTIFS(
'2026初客紀錄'!B:B,"&gt;="&amp;DATE(2026,2,1),
'2026初客紀錄'!B:B,"&lt;"&amp;DATE(2026,2,28),
'2026初客紀錄'!C:C,"家具"
)</f>
        <v>0</v>
      </c>
      <c r="J28" s="175">
        <f>COUNTIFS('2026初客紀錄'!B:B,"&gt;=2026/2/1",'2026初客紀錄'!B:B,"&lt;=2026/2/28",'2026初客紀錄'!K:K,"&lt;&gt;")</f>
        <v>14</v>
      </c>
      <c r="K28" s="209">
        <f t="shared" si="17"/>
        <v>0.1333333333</v>
      </c>
    </row>
    <row r="29">
      <c r="A29" s="158" t="s">
        <v>477</v>
      </c>
      <c r="B29" s="154">
        <f>COUNTIFS('2026初客紀錄'!B:B,"&gt;=2026/3/1",'2026初客紀錄'!B:B,"&lt;=2026/3/31")</f>
        <v>134</v>
      </c>
      <c r="C29" s="74">
        <f t="shared" si="14"/>
        <v>5</v>
      </c>
      <c r="D29" s="174">
        <f>COUNTIFS('2026初客紀錄'!B:B,"&gt;=2026/3/1",'2026初客紀錄'!B:B,"&lt;=2026/3/31",'2026初客紀錄'!J:J,"&lt;&gt;")</f>
        <v>129</v>
      </c>
      <c r="E29" s="174">
        <f t="shared" si="15"/>
        <v>123</v>
      </c>
      <c r="F29" s="175">
        <f>COUNTIFS('2026初客紀錄'!B:B,"&gt;=2026/3/1",'2026初客紀錄'!B:B,"&lt;=2026/3/31",'2026初客紀錄'!M:M,"未接")+COUNTIFS('2026初客紀錄'!B:B,"&gt;=2026/3/1",'2026初客紀錄'!B:B,"&lt;=2026/3/31",'2026初客紀錄'!M:M,"語音")</f>
        <v>6</v>
      </c>
      <c r="G29" s="175">
        <f>COUNTIFS(
'2026初客紀錄'!B:B,"&gt;="&amp;DATE(2026,3,1),
'2026初客紀錄'!B:B,"&lt;"&amp;DATE(2026,3,31),
'2026初客紀錄'!K:K,"X"
)</f>
        <v>0</v>
      </c>
      <c r="H29" s="175">
        <f t="shared" si="16"/>
        <v>85</v>
      </c>
      <c r="I29" s="207">
        <f>COUNTIFS(
'2026初客紀錄'!B:B,"&gt;="&amp;DATE(2026,3,1),
'2026初客紀錄'!B:B,"&lt;"&amp;DATE(2026,3,31),
'2026初客紀錄'!C:C,"家具"
)</f>
        <v>0</v>
      </c>
      <c r="J29" s="175">
        <f>COUNTIFS('2026初客紀錄'!B:B,"&gt;=2026/3/1",'2026初客紀錄'!B:B,"&lt;=2026/3/31",'2026初客紀錄'!K:K,"&lt;&gt;")</f>
        <v>38</v>
      </c>
      <c r="K29" s="209">
        <f t="shared" si="17"/>
        <v>0.2945736434</v>
      </c>
    </row>
    <row r="30">
      <c r="A30" s="158" t="s">
        <v>549</v>
      </c>
      <c r="B30" s="154">
        <f>COUNTIFS('2026初客紀錄'!B:B,"&gt;=2026/4/1",'2026初客紀錄'!B:B,"&lt;=2026/4/30")</f>
        <v>46</v>
      </c>
      <c r="C30" s="74">
        <f t="shared" si="14"/>
        <v>1</v>
      </c>
      <c r="D30" s="174">
        <f>COUNTIFS('2026初客紀錄'!B:B,"&gt;=2026/4/1",'2026初客紀錄'!B:B,"&lt;=2026/4/30",'2026初客紀錄'!J:J,"&lt;&gt;")</f>
        <v>45</v>
      </c>
      <c r="E30" s="174">
        <f t="shared" si="15"/>
        <v>42</v>
      </c>
      <c r="F30" s="175">
        <f>COUNTIFS('2026初客紀錄'!B:B,"&gt;=2026/4/1",'2026初客紀錄'!B:B,"&lt;=2026/4/30",'2026初客紀錄'!M:M,"未接")+COUNTIFS('2026初客紀錄'!B:B,"&gt;=2026/4/1",'2026初客紀錄'!B:B,"&lt;=2026/4/30",'2026初客紀錄'!M:M,"語音")</f>
        <v>3</v>
      </c>
      <c r="G30" s="175">
        <f>COUNTIFS(
'2026初客紀錄'!B:B,"&gt;="&amp;DATE(2026,4,1),
'2026初客紀錄'!B:B,"&lt;"&amp;DATE(2026,4,30),
'2026初客紀錄'!K:K,"X"
)</f>
        <v>0</v>
      </c>
      <c r="H30" s="175">
        <f t="shared" si="16"/>
        <v>31</v>
      </c>
      <c r="I30" s="207">
        <f>COUNTIFS(
'2026初客紀錄'!B:B,"&gt;="&amp;DATE(2026,4,1),
'2026初客紀錄'!B:B,"&lt;"&amp;DATE(2026,4,30),
'2026初客紀錄'!C:C,"家具"
)</f>
        <v>0</v>
      </c>
      <c r="J30" s="175">
        <f>COUNTIFS('2026初客紀錄'!B:B,"&gt;=2026/4/1",'2026初客紀錄'!B:B,"&lt;=2026/4/30",'2026初客紀錄'!K:K,"&lt;&gt;")</f>
        <v>11</v>
      </c>
      <c r="K30" s="209">
        <f t="shared" si="17"/>
        <v>0.2444444444</v>
      </c>
    </row>
    <row r="31">
      <c r="A31" s="158" t="s">
        <v>600</v>
      </c>
      <c r="B31" s="225">
        <f>COUNTIFS('2026初客紀錄'!B:B,"&gt;=2026/5/1",'2026初客紀錄'!B:B,"&lt;=2026/5/31")</f>
        <v>96</v>
      </c>
      <c r="C31" s="74">
        <f t="shared" si="14"/>
        <v>3</v>
      </c>
      <c r="D31" s="174">
        <f>COUNTIFS('2026初客紀錄'!B:B,"&gt;=2026/5/1",'2026初客紀錄'!B:B,"&lt;=2026/5/31",'2026初客紀錄'!J:J,"&lt;&gt;")</f>
        <v>93</v>
      </c>
      <c r="E31" s="174">
        <f t="shared" si="15"/>
        <v>86</v>
      </c>
      <c r="F31" s="175">
        <f>COUNTIFS('2026初客紀錄'!B:B,"&gt;=2026/5/1",'2026初客紀錄'!B:B,"&lt;=2026/5/31",'2026初客紀錄'!M:M,"未接")+COUNTIFS('2026初客紀錄'!B:B,"&gt;=2026/7/1",'2026初客紀錄'!B:B,"&lt;=2026/7/31",'2026初客紀錄'!M:M,"語音")</f>
        <v>7</v>
      </c>
      <c r="G31" s="175">
        <f>COUNTIFS(
'2026初客紀錄'!B:B,"&gt;="&amp;DATE(2026,5,1),
'2026初客紀錄'!B:B,"&lt;"&amp;DATE(2026,5,31),
'2026初客紀錄'!K:K,"X"
)</f>
        <v>0</v>
      </c>
      <c r="H31" s="175">
        <f t="shared" si="16"/>
        <v>62</v>
      </c>
      <c r="I31" s="207">
        <f>COUNTIFS(
'2026初客紀錄'!B:B,"&gt;="&amp;DATE(2026,5,1),
'2026初客紀錄'!B:B,"&lt;"&amp;DATE(2026,5,31),
'2026初客紀錄'!C:C,"家具"
)</f>
        <v>0</v>
      </c>
      <c r="J31" s="175">
        <f>COUNTIFS('2026初客紀錄'!B:B,"&gt;=2026/5/1",'2026初客紀錄'!B:B,"&lt;=2026/5/31",'2026初客紀錄'!K:K,"&lt;&gt;")</f>
        <v>24</v>
      </c>
      <c r="K31" s="209">
        <f t="shared" si="17"/>
        <v>0.2580645161</v>
      </c>
    </row>
    <row r="32">
      <c r="A32" s="158" t="s">
        <v>471</v>
      </c>
      <c r="B32" s="225">
        <f>COUNTIFS('2026初客紀錄'!B:B,"&gt;=2026/6/1",'2026初客紀錄'!B:B,"&lt;=2026/6/30")</f>
        <v>140</v>
      </c>
      <c r="C32" s="74">
        <f t="shared" si="14"/>
        <v>5</v>
      </c>
      <c r="D32" s="174">
        <f>COUNTIFS('2026初客紀錄'!B:B,"&gt;=2026/6/1",'2026初客紀錄'!B:B,"&lt;=2026/6/30",'2026初客紀錄'!J:J,"&lt;&gt;")</f>
        <v>135</v>
      </c>
      <c r="E32" s="174">
        <f t="shared" si="15"/>
        <v>93</v>
      </c>
      <c r="F32" s="175">
        <f>COUNTIFS('2026初客紀錄'!B:B,"&gt;=2026/6/1",'2026初客紀錄'!B:B,"&lt;=2026/6/30",'2026初客紀錄'!M:M,"未接")+
COUNTIFS('2026初客紀錄'!B:B,"&gt;=2026/6/1",'2026初客紀錄'!B:B,"&lt;=2026/6/30",'2026初客紀錄'!M:M,"語音")</f>
        <v>34</v>
      </c>
      <c r="G32" s="175">
        <f>COUNTIFS(
'2026初客紀錄'!B:B,"&gt;="&amp;DATE(2026,6,1),
'2026初客紀錄'!B:B,"&lt;"&amp;DATE(2026,6,30),
'2026初客紀錄'!K:K,"X"
)</f>
        <v>8</v>
      </c>
      <c r="H32" s="175">
        <f t="shared" si="16"/>
        <v>63</v>
      </c>
      <c r="I32" s="207">
        <f>COUNTIFS(
'2026初客紀錄'!B:B,"&gt;="&amp;DATE(2026,6,1),
'2026初客紀錄'!B:B,"&lt;"&amp;DATE(2026,6,30),
'2026初客紀錄'!C:C,"家具"
)</f>
        <v>0</v>
      </c>
      <c r="J32" s="175">
        <f>COUNTIFS('2026初客紀錄'!B:B,"&gt;=2026/6/1",'2026初客紀錄'!B:B,"&lt;=2026/6/30",'2026初客紀錄'!K:K,"&lt;&gt;")</f>
        <v>30</v>
      </c>
      <c r="K32" s="209">
        <f t="shared" si="17"/>
        <v>0.2222222222</v>
      </c>
    </row>
    <row r="33">
      <c r="A33" s="158" t="s">
        <v>755</v>
      </c>
      <c r="B33" s="225">
        <f>COUNTIFS('2026初客紀錄'!B:B,"&gt;=2026/7/1",'2026初客紀錄'!B:B,"&lt;=2026/7/31")</f>
        <v>115</v>
      </c>
      <c r="C33" s="74">
        <f t="shared" si="14"/>
        <v>6</v>
      </c>
      <c r="D33" s="174">
        <f>COUNTIFS('2026初客紀錄'!B:B,"&gt;=2026/7/1",'2026初客紀錄'!B:B,"&lt;=2026/7/31",'2026初客紀錄'!J:J,"&lt;&gt;")</f>
        <v>109</v>
      </c>
      <c r="E33" s="174">
        <f t="shared" si="15"/>
        <v>82</v>
      </c>
      <c r="F33" s="175">
        <f>COUNTIFS('2026初客紀錄'!B:B,"&gt;=2026/7/1",'2026初客紀錄'!B:B,"&lt;=2026/7/31",'2026初客紀錄'!M:M,"未接")+COUNTIFS('2026初客紀錄'!B:B,"&gt;=2026/7/1",'2026初客紀錄'!B:B,"&lt;=2026/7/31",'2026初客紀錄'!M:M,"語音")</f>
        <v>27</v>
      </c>
      <c r="G33" s="175">
        <f>COUNTIFS(
'2026初客紀錄'!B:B,"&gt;="&amp;DATE(2026,7,1),
'2026初客紀錄'!B:B,"&lt;"&amp;DATE(2026,7/31),
'2026初客紀錄'!K:K,"X"
)</f>
        <v>0</v>
      </c>
      <c r="H33" s="175">
        <f t="shared" si="16"/>
        <v>49</v>
      </c>
      <c r="I33" s="207">
        <f>COUNTIFS(
'2026初客紀錄'!B:B,"&gt;="&amp;DATE(2026,7,1),
'2026初客紀錄'!B:B,"&lt;"&amp;DATE(2026,7,31),
'2026初客紀錄'!C:C,"家具"
)</f>
        <v>0</v>
      </c>
      <c r="J33" s="175">
        <f>COUNTIFS('2026初客紀錄'!B:B,"&gt;=2026/7/1",'2026初客紀錄'!B:B,"&lt;=2026/7/31",'2026初客紀錄'!K:K,"&lt;&gt;")</f>
        <v>33</v>
      </c>
      <c r="K33" s="209">
        <f t="shared" si="17"/>
        <v>0.3027522936</v>
      </c>
    </row>
    <row r="34">
      <c r="A34" s="158" t="s">
        <v>848</v>
      </c>
      <c r="B34" s="225">
        <f>COUNTIFS('2026初客紀錄'!B:B,"&gt;=2026/8/1",'2026初客紀錄'!B:B,"&lt;=2026/8/31")</f>
        <v>109</v>
      </c>
      <c r="C34" s="74">
        <f t="shared" si="14"/>
        <v>3</v>
      </c>
      <c r="D34" s="174">
        <f>COUNTIFS('2026初客紀錄'!B:B,"&gt;=2026/8/1",'2026初客紀錄'!B:B,"&lt;=2026/8/31",'2026初客紀錄'!J:J,"&lt;&gt;")</f>
        <v>106</v>
      </c>
      <c r="E34" s="174">
        <f t="shared" si="15"/>
        <v>75</v>
      </c>
      <c r="F34" s="242">
        <f>COUNTIFS('2026初客紀錄'!B:B,"&gt;=2026/8/1",'2026初客紀錄'!B:B,"&lt;=2026/8/31",'2026初客紀錄'!M:M,"未接")+COUNTIFS('2026初客紀錄'!B:B,"&gt;=2026/7/1",'2026初客紀錄'!B:B,"&lt;=2026/7/31",'2026初客紀錄'!M:M,"語音")</f>
        <v>26</v>
      </c>
      <c r="G34" s="243">
        <v>5.0</v>
      </c>
      <c r="H34" s="175">
        <f t="shared" si="16"/>
        <v>49</v>
      </c>
      <c r="I34" s="207">
        <f>COUNTIFS(
'2026初客紀錄'!B:B,"&gt;="&amp;DATE(2026,8,1),
'2026初客紀錄'!B:B,"&lt;"&amp;DATE(2026,8,31),
'2026初客紀錄'!C:C,"家具"
)</f>
        <v>2</v>
      </c>
      <c r="J34" s="175">
        <f>COUNTIFS('2026初客紀錄'!B:B,"&gt;=2026/8/1",'2026初客紀錄'!B:B,"&lt;=2026/8/31",'2026初客紀錄'!K:K,"&lt;&gt;")</f>
        <v>26</v>
      </c>
      <c r="K34" s="209">
        <f t="shared" si="17"/>
        <v>0.25</v>
      </c>
    </row>
    <row r="35">
      <c r="E35" s="123"/>
    </row>
    <row r="36">
      <c r="E36" s="123"/>
    </row>
    <row r="37">
      <c r="E37" s="123"/>
    </row>
    <row r="38">
      <c r="E38" s="123"/>
    </row>
    <row r="39">
      <c r="E39" s="123"/>
    </row>
    <row r="40">
      <c r="E40" s="123"/>
    </row>
    <row r="41">
      <c r="E41" s="123"/>
    </row>
    <row r="42">
      <c r="E42" s="123"/>
    </row>
    <row r="43">
      <c r="E43" s="123"/>
    </row>
    <row r="44">
      <c r="E44" s="123"/>
    </row>
    <row r="45">
      <c r="E45" s="123"/>
    </row>
    <row r="46">
      <c r="E46" s="123"/>
    </row>
    <row r="47">
      <c r="E47" s="123"/>
    </row>
    <row r="48">
      <c r="E48" s="123"/>
    </row>
    <row r="49">
      <c r="E49" s="123"/>
    </row>
    <row r="50">
      <c r="E50" s="123"/>
    </row>
    <row r="51">
      <c r="E51" s="123"/>
    </row>
    <row r="52">
      <c r="E52" s="123"/>
    </row>
    <row r="53">
      <c r="E53" s="123"/>
    </row>
    <row r="54">
      <c r="E54" s="123"/>
    </row>
    <row r="55">
      <c r="E55" s="123"/>
    </row>
    <row r="56">
      <c r="E56" s="123"/>
    </row>
    <row r="57">
      <c r="E57" s="123"/>
    </row>
    <row r="58">
      <c r="E58" s="123"/>
    </row>
    <row r="59">
      <c r="E59" s="123"/>
    </row>
    <row r="60">
      <c r="E60" s="123"/>
    </row>
    <row r="61">
      <c r="E61" s="123"/>
    </row>
    <row r="62">
      <c r="E62" s="123"/>
    </row>
    <row r="63">
      <c r="E63" s="123"/>
    </row>
    <row r="64">
      <c r="E64" s="123"/>
    </row>
    <row r="65">
      <c r="E65" s="123"/>
    </row>
    <row r="66">
      <c r="E66" s="123"/>
    </row>
    <row r="67">
      <c r="E67" s="123"/>
    </row>
    <row r="68">
      <c r="E68" s="123"/>
    </row>
    <row r="69">
      <c r="E69" s="123"/>
    </row>
    <row r="70">
      <c r="E70" s="123"/>
    </row>
    <row r="71">
      <c r="E71" s="123"/>
    </row>
    <row r="72">
      <c r="E72" s="123"/>
    </row>
    <row r="73">
      <c r="E73" s="123"/>
    </row>
    <row r="74">
      <c r="E74" s="123"/>
    </row>
    <row r="75">
      <c r="E75" s="123"/>
    </row>
    <row r="76">
      <c r="E76" s="123"/>
    </row>
    <row r="77">
      <c r="E77" s="123"/>
    </row>
    <row r="78">
      <c r="E78" s="123"/>
    </row>
    <row r="79">
      <c r="E79" s="123"/>
    </row>
    <row r="80">
      <c r="E80" s="123"/>
    </row>
    <row r="81">
      <c r="E81" s="123"/>
    </row>
    <row r="82">
      <c r="E82" s="123"/>
    </row>
    <row r="83">
      <c r="E83" s="123"/>
    </row>
    <row r="84">
      <c r="E84" s="123"/>
    </row>
    <row r="85">
      <c r="E85" s="123"/>
    </row>
    <row r="86">
      <c r="E86" s="123"/>
    </row>
    <row r="87">
      <c r="E87" s="123"/>
    </row>
    <row r="88">
      <c r="E88" s="123"/>
    </row>
    <row r="89">
      <c r="E89" s="123"/>
    </row>
    <row r="90">
      <c r="E90" s="123"/>
    </row>
    <row r="91">
      <c r="E91" s="123"/>
    </row>
    <row r="92">
      <c r="E92" s="123"/>
    </row>
    <row r="93">
      <c r="E93" s="123"/>
    </row>
    <row r="94">
      <c r="E94" s="123"/>
    </row>
    <row r="95">
      <c r="E95" s="123"/>
    </row>
    <row r="96">
      <c r="E96" s="123"/>
    </row>
    <row r="97">
      <c r="E97" s="123"/>
    </row>
    <row r="98">
      <c r="E98" s="123"/>
    </row>
    <row r="99">
      <c r="E99" s="123"/>
    </row>
    <row r="100">
      <c r="E100" s="123"/>
    </row>
    <row r="101">
      <c r="E101" s="123"/>
    </row>
    <row r="102">
      <c r="E102" s="123"/>
    </row>
    <row r="103">
      <c r="E103" s="123"/>
    </row>
    <row r="104">
      <c r="E104" s="123"/>
    </row>
    <row r="105">
      <c r="E105" s="123"/>
    </row>
    <row r="106">
      <c r="E106" s="123"/>
    </row>
    <row r="107">
      <c r="E107" s="123"/>
    </row>
    <row r="108">
      <c r="E108" s="123"/>
    </row>
    <row r="109">
      <c r="E109" s="123"/>
    </row>
    <row r="110">
      <c r="E110" s="123"/>
    </row>
    <row r="111">
      <c r="E111" s="123"/>
    </row>
    <row r="112">
      <c r="E112" s="123"/>
    </row>
    <row r="113">
      <c r="E113" s="123"/>
    </row>
    <row r="114">
      <c r="E114" s="123"/>
    </row>
    <row r="115">
      <c r="E115" s="123"/>
    </row>
    <row r="116">
      <c r="E116" s="123"/>
    </row>
    <row r="117">
      <c r="E117" s="123"/>
    </row>
    <row r="118">
      <c r="E118" s="123"/>
    </row>
    <row r="119">
      <c r="E119" s="123"/>
    </row>
    <row r="120">
      <c r="E120" s="123"/>
    </row>
    <row r="121">
      <c r="E121" s="123"/>
    </row>
    <row r="122">
      <c r="E122" s="123"/>
    </row>
    <row r="123">
      <c r="E123" s="123"/>
    </row>
    <row r="124">
      <c r="E124" s="123"/>
    </row>
    <row r="125">
      <c r="E125" s="123"/>
    </row>
    <row r="126">
      <c r="E126" s="123"/>
    </row>
    <row r="127">
      <c r="E127" s="123"/>
    </row>
    <row r="128">
      <c r="E128" s="123"/>
    </row>
    <row r="129">
      <c r="E129" s="123"/>
    </row>
    <row r="130">
      <c r="E130" s="123"/>
    </row>
    <row r="131">
      <c r="E131" s="123"/>
    </row>
    <row r="132">
      <c r="E132" s="123"/>
    </row>
    <row r="133">
      <c r="E133" s="123"/>
    </row>
    <row r="134">
      <c r="E134" s="123"/>
    </row>
    <row r="135">
      <c r="E135" s="123"/>
    </row>
    <row r="136">
      <c r="E136" s="123"/>
    </row>
    <row r="137">
      <c r="E137" s="123"/>
    </row>
    <row r="138">
      <c r="E138" s="123"/>
    </row>
    <row r="139">
      <c r="E139" s="123"/>
    </row>
    <row r="140">
      <c r="E140" s="123"/>
    </row>
    <row r="141">
      <c r="E141" s="123"/>
    </row>
    <row r="142">
      <c r="E142" s="123"/>
    </row>
    <row r="143">
      <c r="E143" s="123"/>
    </row>
    <row r="144">
      <c r="E144" s="123"/>
    </row>
    <row r="145">
      <c r="E145" s="123"/>
    </row>
    <row r="146">
      <c r="E146" s="123"/>
    </row>
    <row r="147">
      <c r="E147" s="123"/>
    </row>
    <row r="148">
      <c r="E148" s="123"/>
    </row>
    <row r="149">
      <c r="E149" s="123"/>
    </row>
    <row r="150">
      <c r="E150" s="123"/>
    </row>
    <row r="151">
      <c r="E151" s="123"/>
    </row>
    <row r="152">
      <c r="E152" s="123"/>
    </row>
    <row r="153">
      <c r="E153" s="123"/>
    </row>
    <row r="154">
      <c r="E154" s="123"/>
    </row>
    <row r="155">
      <c r="E155" s="123"/>
    </row>
    <row r="156">
      <c r="E156" s="123"/>
    </row>
    <row r="157">
      <c r="E157" s="123"/>
    </row>
    <row r="158">
      <c r="E158" s="123"/>
    </row>
    <row r="159">
      <c r="E159" s="123"/>
    </row>
    <row r="160">
      <c r="E160" s="123"/>
    </row>
    <row r="161">
      <c r="E161" s="123"/>
    </row>
    <row r="162">
      <c r="E162" s="123"/>
    </row>
    <row r="163">
      <c r="E163" s="123"/>
    </row>
    <row r="164">
      <c r="E164" s="123"/>
    </row>
    <row r="165">
      <c r="E165" s="123"/>
    </row>
    <row r="166">
      <c r="E166" s="123"/>
    </row>
    <row r="167">
      <c r="E167" s="123"/>
    </row>
    <row r="168">
      <c r="E168" s="123"/>
    </row>
    <row r="169">
      <c r="E169" s="123"/>
    </row>
    <row r="170">
      <c r="E170" s="123"/>
    </row>
    <row r="171">
      <c r="E171" s="123"/>
    </row>
    <row r="172">
      <c r="E172" s="123"/>
    </row>
    <row r="173">
      <c r="E173" s="123"/>
    </row>
    <row r="174">
      <c r="E174" s="123"/>
    </row>
    <row r="175">
      <c r="E175" s="123"/>
    </row>
    <row r="176">
      <c r="E176" s="123"/>
    </row>
    <row r="177">
      <c r="E177" s="123"/>
    </row>
    <row r="178">
      <c r="E178" s="123"/>
    </row>
    <row r="179">
      <c r="E179" s="123"/>
    </row>
    <row r="180">
      <c r="E180" s="123"/>
    </row>
    <row r="181">
      <c r="E181" s="123"/>
    </row>
    <row r="182">
      <c r="E182" s="123"/>
    </row>
    <row r="183">
      <c r="E183" s="123"/>
    </row>
    <row r="184">
      <c r="E184" s="123"/>
    </row>
    <row r="185">
      <c r="E185" s="123"/>
    </row>
    <row r="186">
      <c r="E186" s="123"/>
    </row>
    <row r="187">
      <c r="E187" s="123"/>
    </row>
    <row r="188">
      <c r="E188" s="123"/>
    </row>
    <row r="189">
      <c r="E189" s="123"/>
    </row>
    <row r="190">
      <c r="E190" s="123"/>
    </row>
    <row r="191">
      <c r="E191" s="123"/>
    </row>
    <row r="192">
      <c r="E192" s="123"/>
    </row>
    <row r="193">
      <c r="E193" s="123"/>
    </row>
    <row r="194">
      <c r="E194" s="123"/>
    </row>
    <row r="195">
      <c r="E195" s="123"/>
    </row>
    <row r="196">
      <c r="E196" s="123"/>
    </row>
    <row r="197">
      <c r="E197" s="123"/>
    </row>
    <row r="198">
      <c r="E198" s="123"/>
    </row>
    <row r="199">
      <c r="E199" s="123"/>
    </row>
    <row r="200">
      <c r="E200" s="123"/>
    </row>
    <row r="201">
      <c r="E201" s="123"/>
    </row>
    <row r="202">
      <c r="E202" s="123"/>
    </row>
    <row r="203">
      <c r="E203" s="123"/>
    </row>
    <row r="204">
      <c r="E204" s="123"/>
    </row>
    <row r="205">
      <c r="E205" s="123"/>
    </row>
    <row r="206">
      <c r="E206" s="123"/>
    </row>
    <row r="207">
      <c r="E207" s="123"/>
    </row>
    <row r="208">
      <c r="E208" s="123"/>
    </row>
    <row r="209">
      <c r="E209" s="123"/>
    </row>
    <row r="210">
      <c r="E210" s="123"/>
    </row>
    <row r="211">
      <c r="E211" s="123"/>
    </row>
    <row r="212">
      <c r="E212" s="123"/>
    </row>
    <row r="213">
      <c r="E213" s="123"/>
    </row>
    <row r="214">
      <c r="E214" s="123"/>
    </row>
    <row r="215">
      <c r="E215" s="123"/>
    </row>
    <row r="216">
      <c r="E216" s="123"/>
    </row>
    <row r="217">
      <c r="E217" s="123"/>
    </row>
    <row r="218">
      <c r="E218" s="123"/>
    </row>
    <row r="219">
      <c r="E219" s="123"/>
    </row>
    <row r="220">
      <c r="E220" s="123"/>
    </row>
    <row r="221">
      <c r="E221" s="123"/>
    </row>
    <row r="222">
      <c r="E222" s="123"/>
    </row>
    <row r="223">
      <c r="E223" s="123"/>
    </row>
    <row r="224">
      <c r="E224" s="123"/>
    </row>
    <row r="225">
      <c r="E225" s="123"/>
    </row>
    <row r="226">
      <c r="E226" s="123"/>
    </row>
    <row r="227">
      <c r="E227" s="123"/>
    </row>
    <row r="228">
      <c r="E228" s="123"/>
    </row>
    <row r="229">
      <c r="E229" s="123"/>
    </row>
    <row r="230">
      <c r="E230" s="123"/>
    </row>
    <row r="231">
      <c r="E231" s="123"/>
    </row>
    <row r="232">
      <c r="E232" s="123"/>
    </row>
    <row r="233">
      <c r="E233" s="123"/>
    </row>
    <row r="234">
      <c r="E234" s="123"/>
    </row>
    <row r="235">
      <c r="E235" s="123"/>
    </row>
    <row r="236">
      <c r="E236" s="123"/>
    </row>
    <row r="237">
      <c r="E237" s="123"/>
    </row>
    <row r="238">
      <c r="E238" s="123"/>
    </row>
    <row r="239">
      <c r="E239" s="123"/>
    </row>
    <row r="240">
      <c r="E240" s="123"/>
    </row>
    <row r="241">
      <c r="E241" s="123"/>
    </row>
    <row r="242">
      <c r="E242" s="123"/>
    </row>
    <row r="243">
      <c r="E243" s="123"/>
    </row>
    <row r="244">
      <c r="E244" s="123"/>
    </row>
    <row r="245">
      <c r="E245" s="123"/>
    </row>
    <row r="246">
      <c r="E246" s="123"/>
    </row>
    <row r="247">
      <c r="E247" s="123"/>
    </row>
    <row r="248">
      <c r="E248" s="123"/>
    </row>
    <row r="249">
      <c r="E249" s="123"/>
    </row>
    <row r="250">
      <c r="E250" s="123"/>
    </row>
    <row r="251">
      <c r="E251" s="123"/>
    </row>
    <row r="252">
      <c r="E252" s="123"/>
    </row>
    <row r="253">
      <c r="E253" s="123"/>
    </row>
    <row r="254">
      <c r="E254" s="123"/>
    </row>
    <row r="255">
      <c r="E255" s="123"/>
    </row>
    <row r="256">
      <c r="E256" s="123"/>
    </row>
    <row r="257">
      <c r="E257" s="123"/>
    </row>
    <row r="258">
      <c r="E258" s="123"/>
    </row>
    <row r="259">
      <c r="E259" s="123"/>
    </row>
    <row r="260">
      <c r="E260" s="123"/>
    </row>
    <row r="261">
      <c r="E261" s="123"/>
    </row>
    <row r="262">
      <c r="E262" s="123"/>
    </row>
    <row r="263">
      <c r="E263" s="123"/>
    </row>
    <row r="264">
      <c r="E264" s="123"/>
    </row>
    <row r="265">
      <c r="E265" s="123"/>
    </row>
    <row r="266">
      <c r="E266" s="123"/>
    </row>
    <row r="267">
      <c r="E267" s="123"/>
    </row>
    <row r="268">
      <c r="E268" s="123"/>
    </row>
    <row r="269">
      <c r="E269" s="123"/>
    </row>
    <row r="270">
      <c r="E270" s="123"/>
    </row>
    <row r="271">
      <c r="E271" s="123"/>
    </row>
    <row r="272">
      <c r="E272" s="123"/>
    </row>
    <row r="273">
      <c r="E273" s="123"/>
    </row>
    <row r="274">
      <c r="E274" s="123"/>
    </row>
    <row r="275">
      <c r="E275" s="123"/>
    </row>
    <row r="276">
      <c r="E276" s="123"/>
    </row>
    <row r="277">
      <c r="E277" s="123"/>
    </row>
    <row r="278">
      <c r="E278" s="123"/>
    </row>
    <row r="279">
      <c r="E279" s="123"/>
    </row>
    <row r="280">
      <c r="E280" s="123"/>
    </row>
    <row r="281">
      <c r="E281" s="123"/>
    </row>
    <row r="282">
      <c r="E282" s="123"/>
    </row>
    <row r="283">
      <c r="E283" s="123"/>
    </row>
    <row r="284">
      <c r="E284" s="123"/>
    </row>
    <row r="285">
      <c r="E285" s="123"/>
    </row>
    <row r="286">
      <c r="E286" s="123"/>
    </row>
    <row r="287">
      <c r="E287" s="123"/>
    </row>
    <row r="288">
      <c r="E288" s="123"/>
    </row>
    <row r="289">
      <c r="E289" s="123"/>
    </row>
    <row r="290">
      <c r="E290" s="123"/>
    </row>
    <row r="291">
      <c r="E291" s="123"/>
    </row>
    <row r="292">
      <c r="E292" s="123"/>
    </row>
    <row r="293">
      <c r="E293" s="123"/>
    </row>
    <row r="294">
      <c r="E294" s="123"/>
    </row>
    <row r="295">
      <c r="E295" s="123"/>
    </row>
    <row r="296">
      <c r="E296" s="123"/>
    </row>
    <row r="297">
      <c r="E297" s="123"/>
    </row>
    <row r="298">
      <c r="E298" s="123"/>
    </row>
    <row r="299">
      <c r="E299" s="123"/>
    </row>
    <row r="300">
      <c r="E300" s="123"/>
    </row>
    <row r="301">
      <c r="E301" s="123"/>
    </row>
    <row r="302">
      <c r="E302" s="123"/>
    </row>
    <row r="303">
      <c r="E303" s="123"/>
    </row>
    <row r="304">
      <c r="E304" s="123"/>
    </row>
    <row r="305">
      <c r="E305" s="123"/>
    </row>
    <row r="306">
      <c r="E306" s="123"/>
    </row>
    <row r="307">
      <c r="E307" s="123"/>
    </row>
    <row r="308">
      <c r="E308" s="123"/>
    </row>
    <row r="309">
      <c r="E309" s="123"/>
    </row>
    <row r="310">
      <c r="E310" s="123"/>
    </row>
    <row r="311">
      <c r="E311" s="123"/>
    </row>
    <row r="312">
      <c r="E312" s="123"/>
    </row>
    <row r="313">
      <c r="E313" s="123"/>
    </row>
    <row r="314">
      <c r="E314" s="123"/>
    </row>
    <row r="315">
      <c r="E315" s="123"/>
    </row>
    <row r="316">
      <c r="E316" s="123"/>
    </row>
    <row r="317">
      <c r="E317" s="123"/>
    </row>
    <row r="318">
      <c r="E318" s="123"/>
    </row>
    <row r="319">
      <c r="E319" s="123"/>
    </row>
    <row r="320">
      <c r="E320" s="123"/>
    </row>
    <row r="321">
      <c r="E321" s="123"/>
    </row>
    <row r="322">
      <c r="E322" s="123"/>
    </row>
    <row r="323">
      <c r="E323" s="123"/>
    </row>
    <row r="324">
      <c r="E324" s="123"/>
    </row>
    <row r="325">
      <c r="E325" s="123"/>
    </row>
    <row r="326">
      <c r="E326" s="123"/>
    </row>
    <row r="327">
      <c r="E327" s="123"/>
    </row>
    <row r="328">
      <c r="E328" s="123"/>
    </row>
    <row r="329">
      <c r="E329" s="123"/>
    </row>
    <row r="330">
      <c r="E330" s="123"/>
    </row>
    <row r="331">
      <c r="E331" s="123"/>
    </row>
    <row r="332">
      <c r="E332" s="123"/>
    </row>
    <row r="333">
      <c r="E333" s="123"/>
    </row>
    <row r="334">
      <c r="E334" s="123"/>
    </row>
    <row r="335">
      <c r="E335" s="123"/>
    </row>
    <row r="336">
      <c r="E336" s="123"/>
    </row>
    <row r="337">
      <c r="E337" s="123"/>
    </row>
    <row r="338">
      <c r="E338" s="123"/>
    </row>
    <row r="339">
      <c r="E339" s="123"/>
    </row>
    <row r="340">
      <c r="E340" s="123"/>
    </row>
    <row r="341">
      <c r="E341" s="123"/>
    </row>
    <row r="342">
      <c r="E342" s="123"/>
    </row>
    <row r="343">
      <c r="E343" s="123"/>
    </row>
    <row r="344">
      <c r="E344" s="123"/>
    </row>
    <row r="345">
      <c r="E345" s="123"/>
    </row>
    <row r="346">
      <c r="E346" s="123"/>
    </row>
    <row r="347">
      <c r="E347" s="123"/>
    </row>
    <row r="348">
      <c r="E348" s="123"/>
    </row>
    <row r="349">
      <c r="E349" s="123"/>
    </row>
    <row r="350">
      <c r="E350" s="123"/>
    </row>
    <row r="351">
      <c r="E351" s="123"/>
    </row>
    <row r="352">
      <c r="E352" s="123"/>
    </row>
    <row r="353">
      <c r="E353" s="123"/>
    </row>
    <row r="354">
      <c r="E354" s="123"/>
    </row>
    <row r="355">
      <c r="E355" s="123"/>
    </row>
    <row r="356">
      <c r="E356" s="123"/>
    </row>
    <row r="357">
      <c r="E357" s="123"/>
    </row>
    <row r="358">
      <c r="E358" s="123"/>
    </row>
    <row r="359">
      <c r="E359" s="123"/>
    </row>
    <row r="360">
      <c r="E360" s="123"/>
    </row>
    <row r="361">
      <c r="E361" s="123"/>
    </row>
    <row r="362">
      <c r="E362" s="123"/>
    </row>
    <row r="363">
      <c r="E363" s="123"/>
    </row>
    <row r="364">
      <c r="E364" s="123"/>
    </row>
    <row r="365">
      <c r="E365" s="123"/>
    </row>
    <row r="366">
      <c r="E366" s="123"/>
    </row>
    <row r="367">
      <c r="E367" s="123"/>
    </row>
    <row r="368">
      <c r="E368" s="123"/>
    </row>
    <row r="369">
      <c r="E369" s="123"/>
    </row>
    <row r="370">
      <c r="E370" s="123"/>
    </row>
    <row r="371">
      <c r="E371" s="123"/>
    </row>
    <row r="372">
      <c r="E372" s="123"/>
    </row>
    <row r="373">
      <c r="E373" s="123"/>
    </row>
    <row r="374">
      <c r="E374" s="123"/>
    </row>
    <row r="375">
      <c r="E375" s="123"/>
    </row>
    <row r="376">
      <c r="E376" s="123"/>
    </row>
    <row r="377">
      <c r="E377" s="123"/>
    </row>
    <row r="378">
      <c r="E378" s="123"/>
    </row>
    <row r="379">
      <c r="E379" s="123"/>
    </row>
    <row r="380">
      <c r="E380" s="123"/>
    </row>
    <row r="381">
      <c r="E381" s="123"/>
    </row>
    <row r="382">
      <c r="E382" s="123"/>
    </row>
    <row r="383">
      <c r="E383" s="123"/>
    </row>
    <row r="384">
      <c r="E384" s="123"/>
    </row>
    <row r="385">
      <c r="E385" s="123"/>
    </row>
    <row r="386">
      <c r="E386" s="123"/>
    </row>
    <row r="387">
      <c r="E387" s="123"/>
    </row>
    <row r="388">
      <c r="E388" s="123"/>
    </row>
    <row r="389">
      <c r="E389" s="123"/>
    </row>
    <row r="390">
      <c r="E390" s="123"/>
    </row>
    <row r="391">
      <c r="E391" s="123"/>
    </row>
    <row r="392">
      <c r="E392" s="123"/>
    </row>
    <row r="393">
      <c r="E393" s="123"/>
    </row>
    <row r="394">
      <c r="E394" s="123"/>
    </row>
    <row r="395">
      <c r="E395" s="123"/>
    </row>
    <row r="396">
      <c r="E396" s="123"/>
    </row>
    <row r="397">
      <c r="E397" s="123"/>
    </row>
    <row r="398">
      <c r="E398" s="123"/>
    </row>
    <row r="399">
      <c r="E399" s="123"/>
    </row>
    <row r="400">
      <c r="E400" s="123"/>
    </row>
    <row r="401">
      <c r="E401" s="123"/>
    </row>
    <row r="402">
      <c r="E402" s="123"/>
    </row>
    <row r="403">
      <c r="E403" s="123"/>
    </row>
    <row r="404">
      <c r="E404" s="123"/>
    </row>
    <row r="405">
      <c r="E405" s="123"/>
    </row>
    <row r="406">
      <c r="E406" s="123"/>
    </row>
    <row r="407">
      <c r="E407" s="123"/>
    </row>
    <row r="408">
      <c r="E408" s="123"/>
    </row>
    <row r="409">
      <c r="E409" s="123"/>
    </row>
    <row r="410">
      <c r="E410" s="123"/>
    </row>
    <row r="411">
      <c r="E411" s="123"/>
    </row>
    <row r="412">
      <c r="E412" s="123"/>
    </row>
    <row r="413">
      <c r="E413" s="123"/>
    </row>
    <row r="414">
      <c r="E414" s="123"/>
    </row>
    <row r="415">
      <c r="E415" s="123"/>
    </row>
    <row r="416">
      <c r="E416" s="123"/>
    </row>
    <row r="417">
      <c r="E417" s="123"/>
    </row>
    <row r="418">
      <c r="E418" s="123"/>
    </row>
    <row r="419">
      <c r="E419" s="123"/>
    </row>
    <row r="420">
      <c r="E420" s="123"/>
    </row>
    <row r="421">
      <c r="E421" s="123"/>
    </row>
    <row r="422">
      <c r="E422" s="123"/>
    </row>
    <row r="423">
      <c r="E423" s="123"/>
    </row>
    <row r="424">
      <c r="E424" s="123"/>
    </row>
    <row r="425">
      <c r="E425" s="123"/>
    </row>
    <row r="426">
      <c r="E426" s="123"/>
    </row>
    <row r="427">
      <c r="E427" s="123"/>
    </row>
    <row r="428">
      <c r="E428" s="123"/>
    </row>
    <row r="429">
      <c r="E429" s="123"/>
    </row>
    <row r="430">
      <c r="E430" s="123"/>
    </row>
    <row r="431">
      <c r="E431" s="123"/>
    </row>
    <row r="432">
      <c r="E432" s="123"/>
    </row>
    <row r="433">
      <c r="E433" s="123"/>
    </row>
    <row r="434">
      <c r="E434" s="123"/>
    </row>
    <row r="435">
      <c r="E435" s="123"/>
    </row>
    <row r="436">
      <c r="E436" s="123"/>
    </row>
    <row r="437">
      <c r="E437" s="123"/>
    </row>
    <row r="438">
      <c r="E438" s="123"/>
    </row>
    <row r="439">
      <c r="E439" s="123"/>
    </row>
    <row r="440">
      <c r="E440" s="123"/>
    </row>
    <row r="441">
      <c r="E441" s="123"/>
    </row>
    <row r="442">
      <c r="E442" s="123"/>
    </row>
    <row r="443">
      <c r="E443" s="123"/>
    </row>
    <row r="444">
      <c r="E444" s="123"/>
    </row>
    <row r="445">
      <c r="E445" s="123"/>
    </row>
    <row r="446">
      <c r="E446" s="123"/>
    </row>
    <row r="447">
      <c r="E447" s="123"/>
    </row>
    <row r="448">
      <c r="E448" s="123"/>
    </row>
    <row r="449">
      <c r="E449" s="123"/>
    </row>
    <row r="450">
      <c r="E450" s="123"/>
    </row>
    <row r="451">
      <c r="E451" s="123"/>
    </row>
    <row r="452">
      <c r="E452" s="123"/>
    </row>
    <row r="453">
      <c r="E453" s="123"/>
    </row>
    <row r="454">
      <c r="E454" s="123"/>
    </row>
    <row r="455">
      <c r="E455" s="123"/>
    </row>
    <row r="456">
      <c r="E456" s="123"/>
    </row>
    <row r="457">
      <c r="E457" s="123"/>
    </row>
    <row r="458">
      <c r="E458" s="123"/>
    </row>
    <row r="459">
      <c r="E459" s="123"/>
    </row>
    <row r="460">
      <c r="E460" s="123"/>
    </row>
    <row r="461">
      <c r="E461" s="123"/>
    </row>
    <row r="462">
      <c r="E462" s="123"/>
    </row>
    <row r="463">
      <c r="E463" s="123"/>
    </row>
    <row r="464">
      <c r="E464" s="123"/>
    </row>
    <row r="465">
      <c r="E465" s="123"/>
    </row>
    <row r="466">
      <c r="E466" s="123"/>
    </row>
    <row r="467">
      <c r="E467" s="123"/>
    </row>
    <row r="468">
      <c r="E468" s="123"/>
    </row>
    <row r="469">
      <c r="E469" s="123"/>
    </row>
    <row r="470">
      <c r="E470" s="123"/>
    </row>
    <row r="471">
      <c r="E471" s="123"/>
    </row>
    <row r="472">
      <c r="E472" s="123"/>
    </row>
    <row r="473">
      <c r="E473" s="123"/>
    </row>
    <row r="474">
      <c r="E474" s="123"/>
    </row>
    <row r="475">
      <c r="E475" s="123"/>
    </row>
    <row r="476">
      <c r="E476" s="123"/>
    </row>
    <row r="477">
      <c r="E477" s="123"/>
    </row>
    <row r="478">
      <c r="E478" s="123"/>
    </row>
    <row r="479">
      <c r="E479" s="123"/>
    </row>
    <row r="480">
      <c r="E480" s="123"/>
    </row>
    <row r="481">
      <c r="E481" s="123"/>
    </row>
    <row r="482">
      <c r="E482" s="123"/>
    </row>
    <row r="483">
      <c r="E483" s="123"/>
    </row>
    <row r="484">
      <c r="E484" s="123"/>
    </row>
    <row r="485">
      <c r="E485" s="123"/>
    </row>
    <row r="486">
      <c r="E486" s="123"/>
    </row>
    <row r="487">
      <c r="E487" s="123"/>
    </row>
    <row r="488">
      <c r="E488" s="123"/>
    </row>
    <row r="489">
      <c r="E489" s="123"/>
    </row>
    <row r="490">
      <c r="E490" s="123"/>
    </row>
    <row r="491">
      <c r="E491" s="123"/>
    </row>
    <row r="492">
      <c r="E492" s="123"/>
    </row>
    <row r="493">
      <c r="E493" s="123"/>
    </row>
    <row r="494">
      <c r="E494" s="123"/>
    </row>
    <row r="495">
      <c r="E495" s="123"/>
    </row>
    <row r="496">
      <c r="E496" s="123"/>
    </row>
    <row r="497">
      <c r="E497" s="123"/>
    </row>
    <row r="498">
      <c r="E498" s="123"/>
    </row>
    <row r="499">
      <c r="E499" s="123"/>
    </row>
    <row r="500">
      <c r="E500" s="123"/>
    </row>
    <row r="501">
      <c r="E501" s="123"/>
    </row>
    <row r="502">
      <c r="E502" s="123"/>
    </row>
    <row r="503">
      <c r="E503" s="123"/>
    </row>
    <row r="504">
      <c r="E504" s="123"/>
    </row>
    <row r="505">
      <c r="E505" s="123"/>
    </row>
    <row r="506">
      <c r="E506" s="123"/>
    </row>
    <row r="507">
      <c r="E507" s="123"/>
    </row>
    <row r="508">
      <c r="E508" s="123"/>
    </row>
    <row r="509">
      <c r="E509" s="123"/>
    </row>
    <row r="510">
      <c r="E510" s="123"/>
    </row>
    <row r="511">
      <c r="E511" s="123"/>
    </row>
    <row r="512">
      <c r="E512" s="123"/>
    </row>
    <row r="513">
      <c r="E513" s="123"/>
    </row>
    <row r="514">
      <c r="E514" s="123"/>
    </row>
    <row r="515">
      <c r="E515" s="123"/>
    </row>
    <row r="516">
      <c r="E516" s="123"/>
    </row>
    <row r="517">
      <c r="E517" s="123"/>
    </row>
    <row r="518">
      <c r="E518" s="123"/>
    </row>
    <row r="519">
      <c r="E519" s="123"/>
    </row>
    <row r="520">
      <c r="E520" s="123"/>
    </row>
    <row r="521">
      <c r="E521" s="123"/>
    </row>
    <row r="522">
      <c r="E522" s="123"/>
    </row>
    <row r="523">
      <c r="E523" s="123"/>
    </row>
    <row r="524">
      <c r="E524" s="123"/>
    </row>
    <row r="525">
      <c r="E525" s="123"/>
    </row>
    <row r="526">
      <c r="E526" s="123"/>
    </row>
    <row r="527">
      <c r="E527" s="123"/>
    </row>
    <row r="528">
      <c r="E528" s="123"/>
    </row>
    <row r="529">
      <c r="E529" s="123"/>
    </row>
    <row r="530">
      <c r="E530" s="123"/>
    </row>
    <row r="531">
      <c r="E531" s="123"/>
    </row>
    <row r="532">
      <c r="E532" s="123"/>
    </row>
    <row r="533">
      <c r="E533" s="123"/>
    </row>
    <row r="534">
      <c r="E534" s="123"/>
    </row>
    <row r="535">
      <c r="E535" s="123"/>
    </row>
    <row r="536">
      <c r="E536" s="123"/>
    </row>
    <row r="537">
      <c r="E537" s="123"/>
    </row>
    <row r="538">
      <c r="E538" s="123"/>
    </row>
    <row r="539">
      <c r="E539" s="123"/>
    </row>
    <row r="540">
      <c r="E540" s="123"/>
    </row>
    <row r="541">
      <c r="E541" s="123"/>
    </row>
    <row r="542">
      <c r="E542" s="123"/>
    </row>
    <row r="543">
      <c r="E543" s="123"/>
    </row>
    <row r="544">
      <c r="E544" s="123"/>
    </row>
    <row r="545">
      <c r="E545" s="123"/>
    </row>
    <row r="546">
      <c r="E546" s="123"/>
    </row>
    <row r="547">
      <c r="E547" s="123"/>
    </row>
    <row r="548">
      <c r="E548" s="123"/>
    </row>
    <row r="549">
      <c r="E549" s="123"/>
    </row>
    <row r="550">
      <c r="E550" s="123"/>
    </row>
    <row r="551">
      <c r="E551" s="123"/>
    </row>
    <row r="552">
      <c r="E552" s="123"/>
    </row>
    <row r="553">
      <c r="E553" s="123"/>
    </row>
    <row r="554">
      <c r="E554" s="123"/>
    </row>
    <row r="555">
      <c r="E555" s="123"/>
    </row>
    <row r="556">
      <c r="E556" s="123"/>
    </row>
    <row r="557">
      <c r="E557" s="123"/>
    </row>
    <row r="558">
      <c r="E558" s="123"/>
    </row>
    <row r="559">
      <c r="E559" s="123"/>
    </row>
    <row r="560">
      <c r="E560" s="123"/>
    </row>
    <row r="561">
      <c r="E561" s="123"/>
    </row>
    <row r="562">
      <c r="E562" s="123"/>
    </row>
    <row r="563">
      <c r="E563" s="123"/>
    </row>
    <row r="564">
      <c r="E564" s="123"/>
    </row>
    <row r="565">
      <c r="E565" s="123"/>
    </row>
    <row r="566">
      <c r="E566" s="123"/>
    </row>
    <row r="567">
      <c r="E567" s="123"/>
    </row>
    <row r="568">
      <c r="E568" s="123"/>
    </row>
    <row r="569">
      <c r="E569" s="123"/>
    </row>
    <row r="570">
      <c r="E570" s="123"/>
    </row>
    <row r="571">
      <c r="E571" s="123"/>
    </row>
    <row r="572">
      <c r="E572" s="123"/>
    </row>
    <row r="573">
      <c r="E573" s="123"/>
    </row>
    <row r="574">
      <c r="E574" s="123"/>
    </row>
    <row r="575">
      <c r="E575" s="123"/>
    </row>
    <row r="576">
      <c r="E576" s="123"/>
    </row>
    <row r="577">
      <c r="E577" s="123"/>
    </row>
    <row r="578">
      <c r="E578" s="123"/>
    </row>
    <row r="579">
      <c r="E579" s="123"/>
    </row>
    <row r="580">
      <c r="E580" s="123"/>
    </row>
    <row r="581">
      <c r="E581" s="123"/>
    </row>
    <row r="582">
      <c r="E582" s="123"/>
    </row>
    <row r="583">
      <c r="E583" s="123"/>
    </row>
    <row r="584">
      <c r="E584" s="123"/>
    </row>
    <row r="585">
      <c r="E585" s="123"/>
    </row>
    <row r="586">
      <c r="E586" s="123"/>
    </row>
    <row r="587">
      <c r="E587" s="123"/>
    </row>
    <row r="588">
      <c r="E588" s="123"/>
    </row>
    <row r="589">
      <c r="E589" s="123"/>
    </row>
    <row r="590">
      <c r="E590" s="123"/>
    </row>
    <row r="591">
      <c r="E591" s="123"/>
    </row>
    <row r="592">
      <c r="E592" s="123"/>
    </row>
    <row r="593">
      <c r="E593" s="123"/>
    </row>
    <row r="594">
      <c r="E594" s="123"/>
    </row>
    <row r="595">
      <c r="E595" s="123"/>
    </row>
    <row r="596">
      <c r="E596" s="123"/>
    </row>
    <row r="597">
      <c r="E597" s="123"/>
    </row>
    <row r="598">
      <c r="E598" s="123"/>
    </row>
    <row r="599">
      <c r="E599" s="123"/>
    </row>
    <row r="600">
      <c r="E600" s="123"/>
    </row>
    <row r="601">
      <c r="E601" s="123"/>
    </row>
    <row r="602">
      <c r="E602" s="123"/>
    </row>
    <row r="603">
      <c r="E603" s="123"/>
    </row>
    <row r="604">
      <c r="E604" s="123"/>
    </row>
    <row r="605">
      <c r="E605" s="123"/>
    </row>
    <row r="606">
      <c r="E606" s="123"/>
    </row>
    <row r="607">
      <c r="E607" s="123"/>
    </row>
    <row r="608">
      <c r="E608" s="123"/>
    </row>
    <row r="609">
      <c r="E609" s="123"/>
    </row>
    <row r="610">
      <c r="E610" s="123"/>
    </row>
    <row r="611">
      <c r="E611" s="123"/>
    </row>
    <row r="612">
      <c r="E612" s="123"/>
    </row>
    <row r="613">
      <c r="E613" s="123"/>
    </row>
    <row r="614">
      <c r="E614" s="123"/>
    </row>
    <row r="615">
      <c r="E615" s="123"/>
    </row>
    <row r="616">
      <c r="E616" s="123"/>
    </row>
    <row r="617">
      <c r="E617" s="123"/>
    </row>
    <row r="618">
      <c r="E618" s="123"/>
    </row>
    <row r="619">
      <c r="E619" s="123"/>
    </row>
    <row r="620">
      <c r="E620" s="123"/>
    </row>
    <row r="621">
      <c r="E621" s="123"/>
    </row>
    <row r="622">
      <c r="E622" s="123"/>
    </row>
    <row r="623">
      <c r="E623" s="123"/>
    </row>
    <row r="624">
      <c r="E624" s="123"/>
    </row>
    <row r="625">
      <c r="E625" s="123"/>
    </row>
    <row r="626">
      <c r="E626" s="123"/>
    </row>
    <row r="627">
      <c r="E627" s="123"/>
    </row>
    <row r="628">
      <c r="E628" s="123"/>
    </row>
    <row r="629">
      <c r="E629" s="123"/>
    </row>
    <row r="630">
      <c r="E630" s="123"/>
    </row>
    <row r="631">
      <c r="E631" s="123"/>
    </row>
    <row r="632">
      <c r="E632" s="123"/>
    </row>
    <row r="633">
      <c r="E633" s="123"/>
    </row>
    <row r="634">
      <c r="E634" s="123"/>
    </row>
    <row r="635">
      <c r="E635" s="123"/>
    </row>
    <row r="636">
      <c r="E636" s="123"/>
    </row>
    <row r="637">
      <c r="E637" s="123"/>
    </row>
    <row r="638">
      <c r="E638" s="123"/>
    </row>
    <row r="639">
      <c r="E639" s="123"/>
    </row>
    <row r="640">
      <c r="E640" s="123"/>
    </row>
    <row r="641">
      <c r="E641" s="123"/>
    </row>
    <row r="642">
      <c r="E642" s="123"/>
    </row>
    <row r="643">
      <c r="E643" s="123"/>
    </row>
    <row r="644">
      <c r="E644" s="123"/>
    </row>
    <row r="645">
      <c r="E645" s="123"/>
    </row>
    <row r="646">
      <c r="E646" s="123"/>
    </row>
    <row r="647">
      <c r="E647" s="123"/>
    </row>
    <row r="648">
      <c r="E648" s="123"/>
    </row>
    <row r="649">
      <c r="E649" s="123"/>
    </row>
    <row r="650">
      <c r="E650" s="123"/>
    </row>
    <row r="651">
      <c r="E651" s="123"/>
    </row>
    <row r="652">
      <c r="E652" s="123"/>
    </row>
    <row r="653">
      <c r="E653" s="123"/>
    </row>
    <row r="654">
      <c r="E654" s="123"/>
    </row>
    <row r="655">
      <c r="E655" s="123"/>
    </row>
    <row r="656">
      <c r="E656" s="123"/>
    </row>
    <row r="657">
      <c r="E657" s="123"/>
    </row>
    <row r="658">
      <c r="E658" s="123"/>
    </row>
    <row r="659">
      <c r="E659" s="123"/>
    </row>
    <row r="660">
      <c r="E660" s="123"/>
    </row>
    <row r="661">
      <c r="E661" s="123"/>
    </row>
    <row r="662">
      <c r="E662" s="123"/>
    </row>
    <row r="663">
      <c r="E663" s="123"/>
    </row>
    <row r="664">
      <c r="E664" s="123"/>
    </row>
    <row r="665">
      <c r="E665" s="123"/>
    </row>
    <row r="666">
      <c r="E666" s="123"/>
    </row>
    <row r="667">
      <c r="E667" s="123"/>
    </row>
    <row r="668">
      <c r="E668" s="123"/>
    </row>
    <row r="669">
      <c r="E669" s="123"/>
    </row>
    <row r="670">
      <c r="E670" s="123"/>
    </row>
    <row r="671">
      <c r="E671" s="123"/>
    </row>
    <row r="672">
      <c r="E672" s="123"/>
    </row>
    <row r="673">
      <c r="E673" s="123"/>
    </row>
    <row r="674">
      <c r="E674" s="123"/>
    </row>
    <row r="675">
      <c r="E675" s="123"/>
    </row>
    <row r="676">
      <c r="E676" s="123"/>
    </row>
    <row r="677">
      <c r="E677" s="123"/>
    </row>
    <row r="678">
      <c r="E678" s="123"/>
    </row>
    <row r="679">
      <c r="E679" s="123"/>
    </row>
    <row r="680">
      <c r="E680" s="123"/>
    </row>
    <row r="681">
      <c r="E681" s="123"/>
    </row>
    <row r="682">
      <c r="E682" s="123"/>
    </row>
    <row r="683">
      <c r="E683" s="123"/>
    </row>
    <row r="684">
      <c r="E684" s="123"/>
    </row>
    <row r="685">
      <c r="E685" s="123"/>
    </row>
    <row r="686">
      <c r="E686" s="123"/>
    </row>
    <row r="687">
      <c r="E687" s="123"/>
    </row>
    <row r="688">
      <c r="E688" s="123"/>
    </row>
    <row r="689">
      <c r="E689" s="123"/>
    </row>
    <row r="690">
      <c r="E690" s="123"/>
    </row>
    <row r="691">
      <c r="E691" s="123"/>
    </row>
    <row r="692">
      <c r="E692" s="123"/>
    </row>
    <row r="693">
      <c r="E693" s="123"/>
    </row>
    <row r="694">
      <c r="E694" s="123"/>
    </row>
    <row r="695">
      <c r="E695" s="123"/>
    </row>
    <row r="696">
      <c r="E696" s="123"/>
    </row>
    <row r="697">
      <c r="E697" s="123"/>
    </row>
    <row r="698">
      <c r="E698" s="123"/>
    </row>
    <row r="699">
      <c r="E699" s="123"/>
    </row>
    <row r="700">
      <c r="E700" s="123"/>
    </row>
    <row r="701">
      <c r="E701" s="123"/>
    </row>
    <row r="702">
      <c r="E702" s="123"/>
    </row>
    <row r="703">
      <c r="E703" s="123"/>
    </row>
    <row r="704">
      <c r="E704" s="123"/>
    </row>
    <row r="705">
      <c r="E705" s="123"/>
    </row>
    <row r="706">
      <c r="E706" s="123"/>
    </row>
    <row r="707">
      <c r="E707" s="123"/>
    </row>
    <row r="708">
      <c r="E708" s="123"/>
    </row>
    <row r="709">
      <c r="E709" s="123"/>
    </row>
    <row r="710">
      <c r="E710" s="123"/>
    </row>
    <row r="711">
      <c r="E711" s="123"/>
    </row>
    <row r="712">
      <c r="E712" s="123"/>
    </row>
    <row r="713">
      <c r="E713" s="123"/>
    </row>
    <row r="714">
      <c r="E714" s="123"/>
    </row>
    <row r="715">
      <c r="E715" s="123"/>
    </row>
    <row r="716">
      <c r="E716" s="123"/>
    </row>
    <row r="717">
      <c r="E717" s="123"/>
    </row>
    <row r="718">
      <c r="E718" s="123"/>
    </row>
    <row r="719">
      <c r="E719" s="123"/>
    </row>
    <row r="720">
      <c r="E720" s="123"/>
    </row>
    <row r="721">
      <c r="E721" s="123"/>
    </row>
    <row r="722">
      <c r="E722" s="123"/>
    </row>
    <row r="723">
      <c r="E723" s="123"/>
    </row>
    <row r="724">
      <c r="E724" s="123"/>
    </row>
    <row r="725">
      <c r="E725" s="123"/>
    </row>
    <row r="726">
      <c r="E726" s="123"/>
    </row>
    <row r="727">
      <c r="E727" s="123"/>
    </row>
    <row r="728">
      <c r="E728" s="123"/>
    </row>
    <row r="729">
      <c r="E729" s="123"/>
    </row>
    <row r="730">
      <c r="E730" s="123"/>
    </row>
    <row r="731">
      <c r="E731" s="123"/>
    </row>
    <row r="732">
      <c r="E732" s="123"/>
    </row>
    <row r="733">
      <c r="E733" s="123"/>
    </row>
    <row r="734">
      <c r="E734" s="123"/>
    </row>
    <row r="735">
      <c r="E735" s="123"/>
    </row>
    <row r="736">
      <c r="E736" s="123"/>
    </row>
    <row r="737">
      <c r="E737" s="123"/>
    </row>
    <row r="738">
      <c r="E738" s="123"/>
    </row>
    <row r="739">
      <c r="E739" s="123"/>
    </row>
    <row r="740">
      <c r="E740" s="123"/>
    </row>
    <row r="741">
      <c r="E741" s="123"/>
    </row>
    <row r="742">
      <c r="E742" s="123"/>
    </row>
    <row r="743">
      <c r="E743" s="123"/>
    </row>
    <row r="744">
      <c r="E744" s="123"/>
    </row>
    <row r="745">
      <c r="E745" s="123"/>
    </row>
    <row r="746">
      <c r="E746" s="123"/>
    </row>
    <row r="747">
      <c r="E747" s="123"/>
    </row>
    <row r="748">
      <c r="E748" s="123"/>
    </row>
    <row r="749">
      <c r="E749" s="123"/>
    </row>
    <row r="750">
      <c r="E750" s="123"/>
    </row>
    <row r="751">
      <c r="E751" s="123"/>
    </row>
    <row r="752">
      <c r="E752" s="123"/>
    </row>
    <row r="753">
      <c r="E753" s="123"/>
    </row>
    <row r="754">
      <c r="E754" s="123"/>
    </row>
    <row r="755">
      <c r="E755" s="123"/>
    </row>
    <row r="756">
      <c r="E756" s="123"/>
    </row>
    <row r="757">
      <c r="E757" s="123"/>
    </row>
    <row r="758">
      <c r="E758" s="123"/>
    </row>
    <row r="759">
      <c r="E759" s="123"/>
    </row>
    <row r="760">
      <c r="E760" s="123"/>
    </row>
    <row r="761">
      <c r="E761" s="123"/>
    </row>
    <row r="762">
      <c r="E762" s="123"/>
    </row>
    <row r="763">
      <c r="E763" s="123"/>
    </row>
    <row r="764">
      <c r="E764" s="123"/>
    </row>
    <row r="765">
      <c r="E765" s="123"/>
    </row>
    <row r="766">
      <c r="E766" s="123"/>
    </row>
    <row r="767">
      <c r="E767" s="123"/>
    </row>
    <row r="768">
      <c r="E768" s="123"/>
    </row>
    <row r="769">
      <c r="E769" s="123"/>
    </row>
    <row r="770">
      <c r="E770" s="123"/>
    </row>
    <row r="771">
      <c r="E771" s="123"/>
    </row>
    <row r="772">
      <c r="E772" s="123"/>
    </row>
    <row r="773">
      <c r="E773" s="123"/>
    </row>
    <row r="774">
      <c r="E774" s="123"/>
    </row>
    <row r="775">
      <c r="E775" s="123"/>
    </row>
    <row r="776">
      <c r="E776" s="123"/>
    </row>
    <row r="777">
      <c r="E777" s="123"/>
    </row>
    <row r="778">
      <c r="E778" s="123"/>
    </row>
    <row r="779">
      <c r="E779" s="123"/>
    </row>
    <row r="780">
      <c r="E780" s="123"/>
    </row>
    <row r="781">
      <c r="E781" s="123"/>
    </row>
    <row r="782">
      <c r="E782" s="123"/>
    </row>
    <row r="783">
      <c r="E783" s="123"/>
    </row>
    <row r="784">
      <c r="E784" s="123"/>
    </row>
    <row r="785">
      <c r="E785" s="123"/>
    </row>
    <row r="786">
      <c r="E786" s="123"/>
    </row>
    <row r="787">
      <c r="E787" s="123"/>
    </row>
    <row r="788">
      <c r="E788" s="123"/>
    </row>
    <row r="789">
      <c r="E789" s="123"/>
    </row>
    <row r="790">
      <c r="E790" s="123"/>
    </row>
    <row r="791">
      <c r="E791" s="123"/>
    </row>
    <row r="792">
      <c r="E792" s="123"/>
    </row>
    <row r="793">
      <c r="E793" s="123"/>
    </row>
    <row r="794">
      <c r="E794" s="123"/>
    </row>
    <row r="795">
      <c r="E795" s="123"/>
    </row>
    <row r="796">
      <c r="E796" s="123"/>
    </row>
    <row r="797">
      <c r="E797" s="123"/>
    </row>
    <row r="798">
      <c r="E798" s="123"/>
    </row>
    <row r="799">
      <c r="E799" s="123"/>
    </row>
    <row r="800">
      <c r="E800" s="123"/>
    </row>
    <row r="801">
      <c r="E801" s="123"/>
    </row>
    <row r="802">
      <c r="E802" s="123"/>
    </row>
    <row r="803">
      <c r="E803" s="123"/>
    </row>
    <row r="804">
      <c r="E804" s="123"/>
    </row>
    <row r="805">
      <c r="E805" s="123"/>
    </row>
    <row r="806">
      <c r="E806" s="123"/>
    </row>
    <row r="807">
      <c r="E807" s="123"/>
    </row>
    <row r="808">
      <c r="E808" s="123"/>
    </row>
    <row r="809">
      <c r="E809" s="123"/>
    </row>
    <row r="810">
      <c r="E810" s="123"/>
    </row>
    <row r="811">
      <c r="E811" s="123"/>
    </row>
    <row r="812">
      <c r="E812" s="123"/>
    </row>
    <row r="813">
      <c r="E813" s="123"/>
    </row>
    <row r="814">
      <c r="E814" s="123"/>
    </row>
    <row r="815">
      <c r="E815" s="123"/>
    </row>
    <row r="816">
      <c r="E816" s="123"/>
    </row>
    <row r="817">
      <c r="E817" s="123"/>
    </row>
    <row r="818">
      <c r="E818" s="123"/>
    </row>
    <row r="819">
      <c r="E819" s="123"/>
    </row>
    <row r="820">
      <c r="E820" s="123"/>
    </row>
    <row r="821">
      <c r="E821" s="123"/>
    </row>
    <row r="822">
      <c r="E822" s="123"/>
    </row>
    <row r="823">
      <c r="E823" s="123"/>
    </row>
    <row r="824">
      <c r="E824" s="123"/>
    </row>
    <row r="825">
      <c r="E825" s="123"/>
    </row>
    <row r="826">
      <c r="E826" s="123"/>
    </row>
    <row r="827">
      <c r="E827" s="123"/>
    </row>
    <row r="828">
      <c r="E828" s="123"/>
    </row>
    <row r="829">
      <c r="E829" s="123"/>
    </row>
    <row r="830">
      <c r="E830" s="123"/>
    </row>
    <row r="831">
      <c r="E831" s="123"/>
    </row>
    <row r="832">
      <c r="E832" s="123"/>
    </row>
    <row r="833">
      <c r="E833" s="123"/>
    </row>
    <row r="834">
      <c r="E834" s="123"/>
    </row>
    <row r="835">
      <c r="E835" s="123"/>
    </row>
    <row r="836">
      <c r="E836" s="123"/>
    </row>
    <row r="837">
      <c r="E837" s="123"/>
    </row>
    <row r="838">
      <c r="E838" s="123"/>
    </row>
    <row r="839">
      <c r="E839" s="123"/>
    </row>
    <row r="840">
      <c r="E840" s="123"/>
    </row>
    <row r="841">
      <c r="E841" s="123"/>
    </row>
    <row r="842">
      <c r="E842" s="123"/>
    </row>
    <row r="843">
      <c r="E843" s="123"/>
    </row>
    <row r="844">
      <c r="E844" s="123"/>
    </row>
    <row r="845">
      <c r="E845" s="123"/>
    </row>
    <row r="846">
      <c r="E846" s="123"/>
    </row>
    <row r="847">
      <c r="E847" s="123"/>
    </row>
    <row r="848">
      <c r="E848" s="123"/>
    </row>
    <row r="849">
      <c r="E849" s="123"/>
    </row>
    <row r="850">
      <c r="E850" s="123"/>
    </row>
    <row r="851">
      <c r="E851" s="123"/>
    </row>
    <row r="852">
      <c r="E852" s="123"/>
    </row>
    <row r="853">
      <c r="E853" s="123"/>
    </row>
    <row r="854">
      <c r="E854" s="123"/>
    </row>
    <row r="855">
      <c r="E855" s="123"/>
    </row>
    <row r="856">
      <c r="E856" s="123"/>
    </row>
    <row r="857">
      <c r="E857" s="123"/>
    </row>
    <row r="858">
      <c r="E858" s="123"/>
    </row>
    <row r="859">
      <c r="E859" s="123"/>
    </row>
    <row r="860">
      <c r="E860" s="123"/>
    </row>
    <row r="861">
      <c r="E861" s="123"/>
    </row>
    <row r="862">
      <c r="E862" s="123"/>
    </row>
    <row r="863">
      <c r="E863" s="123"/>
    </row>
    <row r="864">
      <c r="E864" s="123"/>
    </row>
    <row r="865">
      <c r="E865" s="123"/>
    </row>
    <row r="866">
      <c r="E866" s="123"/>
    </row>
    <row r="867">
      <c r="E867" s="123"/>
    </row>
    <row r="868">
      <c r="E868" s="123"/>
    </row>
    <row r="869">
      <c r="E869" s="123"/>
    </row>
    <row r="870">
      <c r="E870" s="123"/>
    </row>
    <row r="871">
      <c r="E871" s="123"/>
    </row>
    <row r="872">
      <c r="E872" s="123"/>
    </row>
    <row r="873">
      <c r="E873" s="123"/>
    </row>
    <row r="874">
      <c r="E874" s="123"/>
    </row>
    <row r="875">
      <c r="E875" s="123"/>
    </row>
    <row r="876">
      <c r="E876" s="123"/>
    </row>
    <row r="877">
      <c r="E877" s="123"/>
    </row>
    <row r="878">
      <c r="E878" s="123"/>
    </row>
    <row r="879">
      <c r="E879" s="123"/>
    </row>
    <row r="880">
      <c r="E880" s="123"/>
    </row>
    <row r="881">
      <c r="E881" s="123"/>
    </row>
    <row r="882">
      <c r="E882" s="123"/>
    </row>
    <row r="883">
      <c r="E883" s="123"/>
    </row>
    <row r="884">
      <c r="E884" s="123"/>
    </row>
    <row r="885">
      <c r="E885" s="123"/>
    </row>
    <row r="886">
      <c r="E886" s="123"/>
    </row>
    <row r="887">
      <c r="E887" s="123"/>
    </row>
    <row r="888">
      <c r="E888" s="123"/>
    </row>
    <row r="889">
      <c r="E889" s="123"/>
    </row>
    <row r="890">
      <c r="E890" s="123"/>
    </row>
    <row r="891">
      <c r="E891" s="123"/>
    </row>
    <row r="892">
      <c r="E892" s="123"/>
    </row>
    <row r="893">
      <c r="E893" s="123"/>
    </row>
    <row r="894">
      <c r="E894" s="123"/>
    </row>
    <row r="895">
      <c r="E895" s="123"/>
    </row>
    <row r="896">
      <c r="E896" s="123"/>
    </row>
    <row r="897">
      <c r="E897" s="123"/>
    </row>
    <row r="898">
      <c r="E898" s="123"/>
    </row>
    <row r="899">
      <c r="E899" s="123"/>
    </row>
    <row r="900">
      <c r="E900" s="123"/>
    </row>
    <row r="901">
      <c r="E901" s="123"/>
    </row>
    <row r="902">
      <c r="E902" s="123"/>
    </row>
    <row r="903">
      <c r="E903" s="123"/>
    </row>
    <row r="904">
      <c r="E904" s="123"/>
    </row>
    <row r="905">
      <c r="E905" s="123"/>
    </row>
    <row r="906">
      <c r="E906" s="123"/>
    </row>
    <row r="907">
      <c r="E907" s="123"/>
    </row>
    <row r="908">
      <c r="E908" s="123"/>
    </row>
    <row r="909">
      <c r="E909" s="123"/>
    </row>
    <row r="910">
      <c r="E910" s="123"/>
    </row>
    <row r="911">
      <c r="E911" s="123"/>
    </row>
    <row r="912">
      <c r="E912" s="123"/>
    </row>
    <row r="913">
      <c r="E913" s="123"/>
    </row>
    <row r="914">
      <c r="E914" s="123"/>
    </row>
    <row r="915">
      <c r="E915" s="123"/>
    </row>
    <row r="916">
      <c r="E916" s="123"/>
    </row>
    <row r="917">
      <c r="E917" s="123"/>
    </row>
    <row r="918">
      <c r="E918" s="123"/>
    </row>
    <row r="919">
      <c r="E919" s="123"/>
    </row>
    <row r="920">
      <c r="E920" s="123"/>
    </row>
    <row r="921">
      <c r="E921" s="123"/>
    </row>
    <row r="922">
      <c r="E922" s="123"/>
    </row>
    <row r="923">
      <c r="E923" s="123"/>
    </row>
    <row r="924">
      <c r="E924" s="123"/>
    </row>
    <row r="925">
      <c r="E925" s="123"/>
    </row>
    <row r="926">
      <c r="E926" s="123"/>
    </row>
    <row r="927">
      <c r="E927" s="123"/>
    </row>
    <row r="928">
      <c r="E928" s="123"/>
    </row>
    <row r="929">
      <c r="E929" s="123"/>
    </row>
    <row r="930">
      <c r="E930" s="123"/>
    </row>
    <row r="931">
      <c r="E931" s="123"/>
    </row>
    <row r="932">
      <c r="E932" s="123"/>
    </row>
    <row r="933">
      <c r="E933" s="123"/>
    </row>
    <row r="934">
      <c r="E934" s="123"/>
    </row>
    <row r="935">
      <c r="E935" s="123"/>
    </row>
    <row r="936">
      <c r="E936" s="123"/>
    </row>
    <row r="937">
      <c r="E937" s="123"/>
    </row>
    <row r="938">
      <c r="E938" s="123"/>
    </row>
    <row r="939">
      <c r="E939" s="123"/>
    </row>
    <row r="940">
      <c r="E940" s="123"/>
    </row>
    <row r="941">
      <c r="E941" s="123"/>
    </row>
    <row r="942">
      <c r="E942" s="123"/>
    </row>
    <row r="943">
      <c r="E943" s="123"/>
    </row>
    <row r="944">
      <c r="E944" s="123"/>
    </row>
    <row r="945">
      <c r="E945" s="123"/>
    </row>
    <row r="946">
      <c r="E946" s="123"/>
    </row>
    <row r="947">
      <c r="E947" s="123"/>
    </row>
    <row r="948">
      <c r="E948" s="123"/>
    </row>
    <row r="949">
      <c r="E949" s="123"/>
    </row>
    <row r="950">
      <c r="E950" s="123"/>
    </row>
    <row r="951">
      <c r="E951" s="123"/>
    </row>
    <row r="952">
      <c r="E952" s="123"/>
    </row>
    <row r="953">
      <c r="E953" s="123"/>
    </row>
    <row r="954">
      <c r="E954" s="123"/>
    </row>
    <row r="955">
      <c r="E955" s="123"/>
    </row>
    <row r="956">
      <c r="E956" s="123"/>
    </row>
    <row r="957">
      <c r="E957" s="123"/>
    </row>
    <row r="958">
      <c r="E958" s="123"/>
    </row>
    <row r="959">
      <c r="E959" s="123"/>
    </row>
    <row r="960">
      <c r="E960" s="123"/>
    </row>
    <row r="961">
      <c r="E961" s="123"/>
    </row>
    <row r="962">
      <c r="E962" s="123"/>
    </row>
    <row r="963">
      <c r="E963" s="123"/>
    </row>
    <row r="964">
      <c r="E964" s="123"/>
    </row>
    <row r="965">
      <c r="E965" s="123"/>
    </row>
    <row r="966">
      <c r="E966" s="123"/>
    </row>
    <row r="967">
      <c r="E967" s="123"/>
    </row>
    <row r="968">
      <c r="E968" s="123"/>
    </row>
    <row r="969">
      <c r="E969" s="123"/>
    </row>
    <row r="970">
      <c r="E970" s="123"/>
    </row>
    <row r="971">
      <c r="E971" s="123"/>
    </row>
    <row r="972">
      <c r="E972" s="123"/>
    </row>
    <row r="973">
      <c r="E973" s="123"/>
    </row>
    <row r="974">
      <c r="E974" s="123"/>
    </row>
    <row r="975">
      <c r="E975" s="123"/>
    </row>
    <row r="976">
      <c r="E976" s="123"/>
    </row>
    <row r="977">
      <c r="E977" s="123"/>
    </row>
    <row r="978">
      <c r="E978" s="123"/>
    </row>
    <row r="979">
      <c r="E979" s="123"/>
    </row>
    <row r="980">
      <c r="E980" s="123"/>
    </row>
    <row r="981">
      <c r="E981" s="123"/>
    </row>
    <row r="982">
      <c r="E982" s="123"/>
    </row>
    <row r="983">
      <c r="E983" s="123"/>
    </row>
    <row r="984">
      <c r="E984" s="123"/>
    </row>
    <row r="985">
      <c r="E985" s="123"/>
    </row>
    <row r="986">
      <c r="E986" s="123"/>
    </row>
    <row r="987">
      <c r="E987" s="123"/>
    </row>
    <row r="988">
      <c r="E988" s="123"/>
    </row>
    <row r="989">
      <c r="E989" s="123"/>
    </row>
    <row r="990">
      <c r="E990" s="123"/>
    </row>
    <row r="991">
      <c r="E991" s="123"/>
    </row>
    <row r="992">
      <c r="E992" s="123"/>
    </row>
    <row r="993">
      <c r="E993" s="123"/>
    </row>
    <row r="994">
      <c r="E994" s="123"/>
    </row>
    <row r="995">
      <c r="E995" s="123"/>
    </row>
    <row r="996">
      <c r="E996" s="123"/>
    </row>
    <row r="997">
      <c r="E997" s="123"/>
    </row>
  </sheetData>
  <autoFilter ref="$S$1:$T$14"/>
  <mergeCells count="5">
    <mergeCell ref="A1:C1"/>
    <mergeCell ref="E1:E2"/>
    <mergeCell ref="F1:H1"/>
    <mergeCell ref="I1:K1"/>
    <mergeCell ref="A16:K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88"/>
    <col customWidth="1" min="2" max="2" width="18.5"/>
    <col customWidth="1" min="4" max="4" width="22.0"/>
    <col customWidth="1" min="5" max="6" width="8.25"/>
    <col customWidth="1" min="7" max="7" width="14.88"/>
    <col customWidth="1" min="8" max="8" width="7.5"/>
    <col customWidth="1" min="10" max="10" width="23.5"/>
    <col customWidth="1" min="11" max="12" width="17.75"/>
  </cols>
  <sheetData>
    <row r="1" ht="29.25" customHeight="1">
      <c r="A1" s="2"/>
      <c r="B1" s="2"/>
      <c r="C1" s="2"/>
      <c r="D1" s="2"/>
      <c r="E1" s="2"/>
      <c r="F1" s="2"/>
      <c r="G1" s="6" t="s">
        <v>2</v>
      </c>
      <c r="H1" s="2"/>
      <c r="I1" s="2"/>
      <c r="J1" s="2"/>
      <c r="K1" s="2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ht="18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ht="18.75" customHeight="1">
      <c r="A3" s="18" t="s">
        <v>24</v>
      </c>
      <c r="B3" s="18" t="s">
        <v>26</v>
      </c>
      <c r="C3" s="18" t="s">
        <v>31</v>
      </c>
      <c r="D3" s="18"/>
      <c r="E3" s="18"/>
      <c r="F3" s="18" t="s">
        <v>33</v>
      </c>
      <c r="G3" s="27"/>
      <c r="H3" s="18" t="s">
        <v>34</v>
      </c>
      <c r="I3" s="18" t="s">
        <v>35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ht="18.75" customHeight="1">
      <c r="A4" s="27"/>
      <c r="B4" s="18" t="s">
        <v>38</v>
      </c>
      <c r="C4" s="18" t="s">
        <v>40</v>
      </c>
      <c r="D4" s="18" t="s">
        <v>41</v>
      </c>
      <c r="E4" s="18"/>
      <c r="F4" s="18" t="s">
        <v>33</v>
      </c>
      <c r="G4" s="27"/>
      <c r="H4" s="18" t="s">
        <v>34</v>
      </c>
      <c r="I4" s="27"/>
      <c r="J4" s="18" t="s">
        <v>43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18.75" customHeight="1">
      <c r="A5" s="27"/>
      <c r="B5" s="18" t="s">
        <v>44</v>
      </c>
      <c r="C5" s="18" t="s">
        <v>40</v>
      </c>
      <c r="D5" s="18" t="s">
        <v>46</v>
      </c>
      <c r="E5" s="18"/>
      <c r="F5" s="18" t="s">
        <v>47</v>
      </c>
      <c r="G5" s="18" t="s">
        <v>48</v>
      </c>
      <c r="H5" s="18" t="s">
        <v>50</v>
      </c>
      <c r="I5" s="27"/>
      <c r="J5" s="27"/>
      <c r="K5" s="18" t="s">
        <v>52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ht="18.75" customHeight="1">
      <c r="A6" s="27"/>
      <c r="B6" s="18" t="s">
        <v>55</v>
      </c>
      <c r="C6" s="18" t="s">
        <v>40</v>
      </c>
      <c r="D6" s="27"/>
      <c r="E6" s="18"/>
      <c r="F6" s="18" t="s">
        <v>47</v>
      </c>
      <c r="G6" s="27"/>
      <c r="H6" s="18" t="s">
        <v>50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ht="18.75" customHeight="1">
      <c r="A7" s="42"/>
      <c r="B7" s="44" t="s">
        <v>60</v>
      </c>
      <c r="C7" s="44" t="s">
        <v>40</v>
      </c>
      <c r="D7" s="44" t="s">
        <v>62</v>
      </c>
      <c r="E7" s="44"/>
      <c r="F7" s="44" t="s">
        <v>33</v>
      </c>
      <c r="G7" s="42"/>
      <c r="H7" s="44" t="s">
        <v>34</v>
      </c>
      <c r="I7" s="42"/>
      <c r="J7" s="42"/>
      <c r="K7" s="44" t="s">
        <v>63</v>
      </c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</row>
    <row r="8" ht="18.75" customHeight="1">
      <c r="A8" s="18" t="s">
        <v>65</v>
      </c>
      <c r="B8" s="18" t="s">
        <v>66</v>
      </c>
      <c r="C8" s="18" t="s">
        <v>40</v>
      </c>
      <c r="D8" s="18" t="s">
        <v>67</v>
      </c>
      <c r="E8" s="18"/>
      <c r="F8" s="18" t="s">
        <v>47</v>
      </c>
      <c r="G8" s="27"/>
      <c r="H8" s="18" t="s">
        <v>50</v>
      </c>
      <c r="I8" s="18" t="s">
        <v>68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ht="18.75" customHeight="1">
      <c r="A9" s="27"/>
      <c r="B9" s="18" t="s">
        <v>69</v>
      </c>
      <c r="C9" s="18" t="s">
        <v>31</v>
      </c>
      <c r="D9" s="18" t="s">
        <v>70</v>
      </c>
      <c r="E9" s="18"/>
      <c r="F9" s="18" t="s">
        <v>71</v>
      </c>
      <c r="G9" s="18" t="s">
        <v>72</v>
      </c>
      <c r="H9" s="18" t="s">
        <v>73</v>
      </c>
      <c r="I9" s="27"/>
      <c r="J9" s="27"/>
      <c r="K9" s="18" t="s">
        <v>74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ht="18.75" customHeight="1">
      <c r="A10" s="42"/>
      <c r="B10" s="44" t="s">
        <v>77</v>
      </c>
      <c r="C10" s="44" t="s">
        <v>31</v>
      </c>
      <c r="D10" s="44" t="s">
        <v>78</v>
      </c>
      <c r="E10" s="44"/>
      <c r="F10" s="44" t="s">
        <v>33</v>
      </c>
      <c r="G10" s="42"/>
      <c r="H10" s="44" t="s">
        <v>34</v>
      </c>
      <c r="I10" s="42"/>
      <c r="J10" s="42"/>
      <c r="K10" s="44" t="s">
        <v>80</v>
      </c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 ht="18.75" customHeight="1">
      <c r="A11" s="18" t="s">
        <v>84</v>
      </c>
      <c r="B11" s="18" t="s">
        <v>85</v>
      </c>
      <c r="C11" s="18" t="s">
        <v>40</v>
      </c>
      <c r="D11" s="18" t="s">
        <v>87</v>
      </c>
      <c r="E11" s="18"/>
      <c r="F11" s="18" t="s">
        <v>33</v>
      </c>
      <c r="G11" s="27"/>
      <c r="H11" s="18" t="s">
        <v>34</v>
      </c>
      <c r="I11" s="27"/>
      <c r="J11" s="27"/>
      <c r="K11" s="18" t="s">
        <v>88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ht="18.75" customHeight="1">
      <c r="A12" s="42"/>
      <c r="B12" s="44" t="s">
        <v>90</v>
      </c>
      <c r="C12" s="44" t="s">
        <v>31</v>
      </c>
      <c r="D12" s="44" t="s">
        <v>41</v>
      </c>
      <c r="E12" s="44"/>
      <c r="F12" s="44" t="s">
        <v>33</v>
      </c>
      <c r="G12" s="44" t="s">
        <v>91</v>
      </c>
      <c r="H12" s="44" t="s">
        <v>50</v>
      </c>
      <c r="I12" s="42"/>
      <c r="J12" s="42"/>
      <c r="K12" s="44" t="s">
        <v>92</v>
      </c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 ht="18.75" customHeight="1">
      <c r="A13" s="18" t="s">
        <v>94</v>
      </c>
      <c r="B13" s="18" t="s">
        <v>95</v>
      </c>
      <c r="C13" s="18" t="s">
        <v>31</v>
      </c>
      <c r="D13" s="18" t="s">
        <v>35</v>
      </c>
      <c r="E13" s="18"/>
      <c r="F13" s="18" t="s">
        <v>47</v>
      </c>
      <c r="G13" s="18" t="s">
        <v>97</v>
      </c>
      <c r="H13" s="18" t="s">
        <v>50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ht="18.75" customHeight="1">
      <c r="A14" s="27"/>
      <c r="B14" s="18" t="s">
        <v>100</v>
      </c>
      <c r="C14" s="18" t="s">
        <v>40</v>
      </c>
      <c r="D14" s="18" t="s">
        <v>101</v>
      </c>
      <c r="E14" s="18"/>
      <c r="F14" s="18" t="s">
        <v>33</v>
      </c>
      <c r="G14" s="18" t="s">
        <v>103</v>
      </c>
      <c r="H14" s="18" t="s">
        <v>34</v>
      </c>
      <c r="I14" s="18" t="s">
        <v>104</v>
      </c>
      <c r="J14" s="27"/>
      <c r="K14" s="18" t="s">
        <v>105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ht="18.75" customHeight="1">
      <c r="A15" s="42"/>
      <c r="B15" s="44" t="s">
        <v>106</v>
      </c>
      <c r="C15" s="44" t="s">
        <v>107</v>
      </c>
      <c r="D15" s="44" t="s">
        <v>108</v>
      </c>
      <c r="E15" s="44"/>
      <c r="F15" s="44" t="s">
        <v>33</v>
      </c>
      <c r="G15" s="44" t="s">
        <v>103</v>
      </c>
      <c r="H15" s="44" t="s">
        <v>34</v>
      </c>
      <c r="I15" s="44" t="s">
        <v>109</v>
      </c>
      <c r="J15" s="42"/>
      <c r="K15" s="44" t="s">
        <v>110</v>
      </c>
      <c r="L15" s="44" t="s">
        <v>111</v>
      </c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 ht="18.75" customHeight="1">
      <c r="A16" s="18" t="s">
        <v>114</v>
      </c>
      <c r="B16" s="18" t="s">
        <v>115</v>
      </c>
      <c r="C16" s="18" t="s">
        <v>31</v>
      </c>
      <c r="D16" s="18" t="s">
        <v>117</v>
      </c>
      <c r="E16" s="18"/>
      <c r="F16" s="18" t="s">
        <v>71</v>
      </c>
      <c r="G16" s="27"/>
      <c r="H16" s="18" t="s">
        <v>50</v>
      </c>
      <c r="I16" s="27"/>
      <c r="J16" s="27"/>
      <c r="K16" s="18" t="s">
        <v>119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ht="18.75" customHeight="1">
      <c r="A17" s="27"/>
      <c r="B17" s="18" t="s">
        <v>121</v>
      </c>
      <c r="C17" s="18" t="s">
        <v>31</v>
      </c>
      <c r="D17" s="18" t="s">
        <v>122</v>
      </c>
      <c r="E17" s="18"/>
      <c r="F17" s="18" t="s">
        <v>71</v>
      </c>
      <c r="G17" s="27"/>
      <c r="H17" s="18" t="s">
        <v>73</v>
      </c>
      <c r="I17" s="27"/>
      <c r="J17" s="27"/>
      <c r="K17" s="18" t="s">
        <v>125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ht="18.75" customHeight="1">
      <c r="A18" s="27"/>
      <c r="B18" s="73" t="s">
        <v>126</v>
      </c>
      <c r="C18" s="18" t="s">
        <v>107</v>
      </c>
      <c r="D18" s="18" t="s">
        <v>128</v>
      </c>
      <c r="E18" s="18"/>
      <c r="F18" s="18" t="s">
        <v>71</v>
      </c>
      <c r="G18" s="27"/>
      <c r="H18" s="18" t="s">
        <v>50</v>
      </c>
      <c r="I18" s="75" t="s">
        <v>129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ht="18.75" customHeight="1">
      <c r="A19" s="27"/>
      <c r="B19" s="76" t="s">
        <v>133</v>
      </c>
      <c r="C19" s="18" t="s">
        <v>107</v>
      </c>
      <c r="D19" s="18" t="s">
        <v>135</v>
      </c>
      <c r="E19" s="18"/>
      <c r="F19" s="18" t="s">
        <v>71</v>
      </c>
      <c r="G19" s="27"/>
      <c r="H19" s="18" t="s">
        <v>50</v>
      </c>
      <c r="I19" s="75" t="s">
        <v>129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ht="18.75" customHeight="1">
      <c r="A20" s="42"/>
      <c r="B20" s="79" t="s">
        <v>139</v>
      </c>
      <c r="C20" s="44" t="s">
        <v>107</v>
      </c>
      <c r="D20" s="44" t="s">
        <v>135</v>
      </c>
      <c r="E20" s="44"/>
      <c r="F20" s="44" t="s">
        <v>71</v>
      </c>
      <c r="G20" s="42"/>
      <c r="H20" s="44" t="s">
        <v>50</v>
      </c>
      <c r="I20" s="80" t="s">
        <v>129</v>
      </c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 ht="18.75" customHeight="1">
      <c r="A21" s="18" t="s">
        <v>146</v>
      </c>
      <c r="B21" s="18" t="s">
        <v>147</v>
      </c>
      <c r="C21" s="18" t="s">
        <v>40</v>
      </c>
      <c r="D21" s="27"/>
      <c r="E21" s="18"/>
      <c r="F21" s="18" t="s">
        <v>33</v>
      </c>
      <c r="G21" s="27"/>
      <c r="H21" s="18" t="s">
        <v>50</v>
      </c>
      <c r="I21" s="27"/>
      <c r="J21" s="27"/>
      <c r="K21" s="18" t="s">
        <v>151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ht="18.75" customHeight="1">
      <c r="A22" s="27"/>
      <c r="B22" s="18" t="s">
        <v>153</v>
      </c>
      <c r="C22" s="18" t="s">
        <v>31</v>
      </c>
      <c r="D22" s="27"/>
      <c r="E22" s="18"/>
      <c r="F22" s="18" t="s">
        <v>71</v>
      </c>
      <c r="G22" s="27"/>
      <c r="H22" s="18" t="s">
        <v>50</v>
      </c>
      <c r="I22" s="27"/>
      <c r="J22" s="27"/>
      <c r="K22" s="18" t="s">
        <v>156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ht="18.75" customHeight="1">
      <c r="A23" s="27"/>
      <c r="B23" s="18" t="s">
        <v>158</v>
      </c>
      <c r="C23" s="18" t="s">
        <v>40</v>
      </c>
      <c r="D23" s="27"/>
      <c r="E23" s="18"/>
      <c r="F23" s="18" t="s">
        <v>71</v>
      </c>
      <c r="G23" s="27"/>
      <c r="H23" s="18" t="s">
        <v>73</v>
      </c>
      <c r="I23" s="27"/>
      <c r="J23" s="18"/>
      <c r="K23" s="18" t="s">
        <v>162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ht="63.0" customHeight="1">
      <c r="A24" s="42"/>
      <c r="B24" s="44" t="s">
        <v>164</v>
      </c>
      <c r="C24" s="44" t="s">
        <v>40</v>
      </c>
      <c r="D24" s="44" t="s">
        <v>166</v>
      </c>
      <c r="E24" s="44"/>
      <c r="F24" s="44" t="s">
        <v>33</v>
      </c>
      <c r="G24" s="44" t="s">
        <v>167</v>
      </c>
      <c r="H24" s="44" t="s">
        <v>50</v>
      </c>
      <c r="I24" s="42"/>
      <c r="J24" s="42"/>
      <c r="K24" s="44" t="s">
        <v>170</v>
      </c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 ht="69.0" customHeight="1">
      <c r="A25" s="91" t="s">
        <v>172</v>
      </c>
      <c r="B25" s="91" t="s">
        <v>174</v>
      </c>
      <c r="C25" s="18" t="s">
        <v>31</v>
      </c>
      <c r="D25" s="91" t="s">
        <v>175</v>
      </c>
      <c r="E25" s="18"/>
      <c r="F25" s="92" t="s">
        <v>33</v>
      </c>
      <c r="G25" s="75" t="s">
        <v>80</v>
      </c>
      <c r="H25" s="18" t="s">
        <v>34</v>
      </c>
      <c r="I25" s="75" t="s">
        <v>176</v>
      </c>
      <c r="J25" s="91" t="s">
        <v>177</v>
      </c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</row>
    <row r="26" ht="68.25" customHeight="1">
      <c r="A26" s="95"/>
      <c r="B26" s="97" t="s">
        <v>180</v>
      </c>
      <c r="C26" s="44" t="s">
        <v>40</v>
      </c>
      <c r="D26" s="97" t="s">
        <v>184</v>
      </c>
      <c r="E26" s="44"/>
      <c r="F26" s="44" t="s">
        <v>71</v>
      </c>
      <c r="G26" s="80" t="s">
        <v>80</v>
      </c>
      <c r="H26" s="44" t="s">
        <v>34</v>
      </c>
      <c r="I26" s="80" t="s">
        <v>129</v>
      </c>
      <c r="J26" s="44" t="s">
        <v>185</v>
      </c>
      <c r="K26" s="97" t="s">
        <v>187</v>
      </c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</row>
    <row r="27" ht="75.75" customHeight="1">
      <c r="A27" s="91" t="s">
        <v>190</v>
      </c>
      <c r="B27" s="91" t="s">
        <v>192</v>
      </c>
      <c r="C27" s="18" t="s">
        <v>195</v>
      </c>
      <c r="D27" s="91" t="s">
        <v>196</v>
      </c>
      <c r="E27" s="18"/>
      <c r="F27" s="92" t="s">
        <v>71</v>
      </c>
      <c r="G27" s="93"/>
      <c r="H27" s="18" t="s">
        <v>73</v>
      </c>
      <c r="I27" s="93"/>
      <c r="J27" s="93"/>
      <c r="K27" s="91" t="s">
        <v>198</v>
      </c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</row>
    <row r="28" ht="72.0" customHeight="1">
      <c r="A28" s="93"/>
      <c r="B28" s="91" t="s">
        <v>200</v>
      </c>
      <c r="C28" s="18" t="s">
        <v>40</v>
      </c>
      <c r="D28" s="91" t="s">
        <v>203</v>
      </c>
      <c r="E28" s="18"/>
      <c r="F28" s="18" t="s">
        <v>33</v>
      </c>
      <c r="G28" s="91" t="s">
        <v>205</v>
      </c>
      <c r="H28" s="18" t="s">
        <v>50</v>
      </c>
      <c r="I28" s="93"/>
      <c r="J28" s="91" t="s">
        <v>206</v>
      </c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</row>
    <row r="29" ht="87.0" customHeight="1">
      <c r="A29" s="93"/>
      <c r="B29" s="91" t="s">
        <v>210</v>
      </c>
      <c r="C29" s="18" t="s">
        <v>40</v>
      </c>
      <c r="D29" s="91" t="s">
        <v>212</v>
      </c>
      <c r="E29" s="18"/>
      <c r="F29" s="18" t="s">
        <v>33</v>
      </c>
      <c r="G29" s="91" t="s">
        <v>80</v>
      </c>
      <c r="H29" s="18" t="s">
        <v>50</v>
      </c>
      <c r="I29" s="93"/>
      <c r="J29" s="91" t="s">
        <v>213</v>
      </c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</row>
    <row r="30" ht="75.0" customHeight="1">
      <c r="A30" s="91" t="s">
        <v>215</v>
      </c>
      <c r="B30" s="91" t="s">
        <v>216</v>
      </c>
      <c r="C30" s="18" t="s">
        <v>40</v>
      </c>
      <c r="D30" s="18" t="s">
        <v>219</v>
      </c>
      <c r="E30" s="18"/>
      <c r="F30" s="18" t="s">
        <v>47</v>
      </c>
      <c r="G30" s="18" t="s">
        <v>220</v>
      </c>
      <c r="H30" s="18" t="s">
        <v>34</v>
      </c>
      <c r="I30" s="18" t="s">
        <v>222</v>
      </c>
      <c r="J30" s="18" t="s">
        <v>223</v>
      </c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</row>
    <row r="31" ht="75.0" customHeight="1">
      <c r="A31" s="93"/>
      <c r="B31" s="91" t="s">
        <v>226</v>
      </c>
      <c r="C31" s="18" t="s">
        <v>40</v>
      </c>
      <c r="D31" s="18" t="s">
        <v>227</v>
      </c>
      <c r="E31" s="18"/>
      <c r="F31" s="18" t="s">
        <v>33</v>
      </c>
      <c r="G31" s="18" t="s">
        <v>228</v>
      </c>
      <c r="H31" s="18" t="s">
        <v>34</v>
      </c>
      <c r="I31" s="18" t="s">
        <v>229</v>
      </c>
      <c r="J31" s="18" t="s">
        <v>230</v>
      </c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</row>
    <row r="32" ht="75.0" customHeight="1">
      <c r="A32" s="93"/>
      <c r="B32" s="91" t="s">
        <v>233</v>
      </c>
      <c r="C32" s="18" t="s">
        <v>40</v>
      </c>
      <c r="D32" s="18" t="s">
        <v>236</v>
      </c>
      <c r="E32" s="18"/>
      <c r="F32" s="18" t="s">
        <v>47</v>
      </c>
      <c r="G32" s="18" t="s">
        <v>237</v>
      </c>
      <c r="H32" s="18" t="s">
        <v>34</v>
      </c>
      <c r="I32" s="18" t="s">
        <v>238</v>
      </c>
      <c r="J32" s="18" t="s">
        <v>240</v>
      </c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</row>
    <row r="33" ht="87.0" customHeight="1">
      <c r="A33" s="91" t="s">
        <v>243</v>
      </c>
      <c r="B33" s="91" t="s">
        <v>244</v>
      </c>
      <c r="C33" s="18" t="s">
        <v>40</v>
      </c>
      <c r="D33" s="18" t="s">
        <v>245</v>
      </c>
      <c r="E33" s="18" t="s">
        <v>33</v>
      </c>
      <c r="F33" s="18" t="s">
        <v>47</v>
      </c>
      <c r="G33" s="18" t="s">
        <v>246</v>
      </c>
      <c r="H33" s="18" t="s">
        <v>50</v>
      </c>
      <c r="I33" s="18" t="s">
        <v>248</v>
      </c>
      <c r="J33" s="18" t="s">
        <v>249</v>
      </c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</row>
    <row r="34" ht="87.0" customHeight="1">
      <c r="A34" s="104">
        <v>45839.0</v>
      </c>
      <c r="B34" s="91" t="s">
        <v>253</v>
      </c>
      <c r="C34" s="18" t="s">
        <v>195</v>
      </c>
      <c r="D34" s="105" t="s">
        <v>255</v>
      </c>
      <c r="E34" s="105" t="s">
        <v>47</v>
      </c>
      <c r="F34" s="105" t="s">
        <v>33</v>
      </c>
      <c r="G34" s="105" t="s">
        <v>257</v>
      </c>
      <c r="H34" s="105" t="s">
        <v>34</v>
      </c>
      <c r="I34" s="105" t="s">
        <v>258</v>
      </c>
      <c r="J34" s="105" t="s">
        <v>259</v>
      </c>
      <c r="K34" s="106" t="s">
        <v>260</v>
      </c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</row>
    <row r="35" ht="87.0" customHeight="1">
      <c r="A35" s="107">
        <v>46190.0</v>
      </c>
      <c r="B35" s="91" t="s">
        <v>263</v>
      </c>
      <c r="C35" s="18"/>
      <c r="D35" s="109" t="s">
        <v>265</v>
      </c>
      <c r="E35" s="18" t="s">
        <v>47</v>
      </c>
      <c r="F35" s="18" t="s">
        <v>47</v>
      </c>
      <c r="G35" s="18"/>
      <c r="H35" s="18" t="s">
        <v>50</v>
      </c>
      <c r="I35" s="18" t="s">
        <v>267</v>
      </c>
      <c r="J35" s="18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</row>
    <row r="36" ht="87.0" customHeight="1">
      <c r="A36" s="107">
        <v>46190.0</v>
      </c>
      <c r="B36" s="91" t="s">
        <v>271</v>
      </c>
      <c r="C36" s="18" t="s">
        <v>40</v>
      </c>
      <c r="D36" s="109" t="s">
        <v>273</v>
      </c>
      <c r="E36" s="18" t="s">
        <v>33</v>
      </c>
      <c r="F36" s="18" t="s">
        <v>47</v>
      </c>
      <c r="G36" s="18"/>
      <c r="H36" s="18" t="s">
        <v>34</v>
      </c>
      <c r="I36" s="18" t="s">
        <v>277</v>
      </c>
      <c r="J36" s="110" t="s">
        <v>278</v>
      </c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</row>
    <row r="37" ht="87.0" customHeight="1">
      <c r="A37" s="107">
        <v>46185.0</v>
      </c>
      <c r="B37" s="91" t="s">
        <v>281</v>
      </c>
      <c r="C37" s="18" t="s">
        <v>31</v>
      </c>
      <c r="D37" s="110" t="s">
        <v>283</v>
      </c>
      <c r="E37" s="18" t="s">
        <v>71</v>
      </c>
      <c r="F37" s="18" t="s">
        <v>71</v>
      </c>
      <c r="G37" s="18"/>
      <c r="H37" s="18" t="s">
        <v>73</v>
      </c>
      <c r="I37" s="18"/>
      <c r="J37" s="18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  <c r="AA37" s="93"/>
      <c r="AB37" s="93"/>
    </row>
    <row r="38" ht="87.0" customHeight="1">
      <c r="A38" s="107">
        <v>46190.0</v>
      </c>
      <c r="B38" s="91" t="s">
        <v>286</v>
      </c>
      <c r="C38" s="18" t="s">
        <v>31</v>
      </c>
      <c r="D38" s="18" t="s">
        <v>288</v>
      </c>
      <c r="E38" s="18" t="s">
        <v>47</v>
      </c>
      <c r="F38" s="18" t="s">
        <v>33</v>
      </c>
      <c r="G38" s="18" t="s">
        <v>80</v>
      </c>
      <c r="H38" s="18" t="s">
        <v>50</v>
      </c>
      <c r="I38" s="18" t="s">
        <v>41</v>
      </c>
      <c r="J38" s="18" t="s">
        <v>289</v>
      </c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</row>
    <row r="39" ht="102.75" customHeight="1">
      <c r="A39" s="107">
        <v>46185.0</v>
      </c>
      <c r="B39" s="91" t="s">
        <v>290</v>
      </c>
      <c r="C39" s="18" t="s">
        <v>31</v>
      </c>
      <c r="D39" s="18" t="s">
        <v>293</v>
      </c>
      <c r="E39" s="18" t="s">
        <v>47</v>
      </c>
      <c r="F39" s="18" t="s">
        <v>47</v>
      </c>
      <c r="G39" s="18" t="s">
        <v>295</v>
      </c>
      <c r="H39" s="18" t="s">
        <v>34</v>
      </c>
      <c r="I39" s="18" t="s">
        <v>297</v>
      </c>
      <c r="J39" s="18" t="s">
        <v>298</v>
      </c>
      <c r="K39" s="75" t="s">
        <v>299</v>
      </c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</row>
    <row r="40" ht="87.0" customHeight="1">
      <c r="A40" s="107"/>
      <c r="B40" s="91"/>
      <c r="C40" s="18"/>
      <c r="D40" s="18"/>
      <c r="E40" s="18"/>
      <c r="F40" s="18"/>
      <c r="G40" s="18"/>
      <c r="H40" s="18"/>
      <c r="I40" s="18"/>
      <c r="J40" s="18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  <c r="AA40" s="93"/>
      <c r="AB40" s="93"/>
    </row>
    <row r="41" ht="87.0" customHeight="1">
      <c r="A41" s="107"/>
      <c r="B41" s="91"/>
      <c r="C41" s="18"/>
      <c r="D41" s="18"/>
      <c r="E41" s="18"/>
      <c r="F41" s="18"/>
      <c r="G41" s="18"/>
      <c r="H41" s="18"/>
      <c r="I41" s="18"/>
      <c r="J41" s="18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</row>
    <row r="42" ht="87.0" customHeight="1">
      <c r="A42" s="107"/>
      <c r="B42" s="91"/>
      <c r="C42" s="18"/>
      <c r="D42" s="18"/>
      <c r="E42" s="18"/>
      <c r="F42" s="18"/>
      <c r="G42" s="18"/>
      <c r="H42" s="18"/>
      <c r="I42" s="18"/>
      <c r="J42" s="18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</row>
    <row r="43" ht="87.0" customHeight="1">
      <c r="A43" s="107"/>
      <c r="B43" s="91"/>
      <c r="C43" s="18"/>
      <c r="D43" s="18"/>
      <c r="E43" s="18"/>
      <c r="F43" s="18"/>
      <c r="G43" s="18"/>
      <c r="H43" s="18"/>
      <c r="I43" s="18"/>
      <c r="J43" s="18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</row>
    <row r="44" ht="87.0" customHeight="1">
      <c r="A44" s="107"/>
      <c r="B44" s="91"/>
      <c r="C44" s="18"/>
      <c r="D44" s="18"/>
      <c r="E44" s="18"/>
      <c r="F44" s="18"/>
      <c r="G44" s="18"/>
      <c r="H44" s="18"/>
      <c r="I44" s="18"/>
      <c r="J44" s="18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</row>
    <row r="45" ht="87.0" customHeight="1">
      <c r="A45" s="107"/>
      <c r="B45" s="91"/>
      <c r="C45" s="18"/>
      <c r="D45" s="18"/>
      <c r="E45" s="18"/>
      <c r="F45" s="18"/>
      <c r="G45" s="18"/>
      <c r="H45" s="18"/>
      <c r="I45" s="18"/>
      <c r="J45" s="18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  <c r="AA45" s="93"/>
      <c r="AB45" s="93"/>
    </row>
    <row r="46" ht="18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</row>
    <row r="47" ht="18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93"/>
      <c r="AB47" s="93"/>
    </row>
    <row r="48" ht="18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</row>
    <row r="49" ht="18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</row>
    <row r="50" ht="18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</row>
    <row r="51" ht="18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</row>
    <row r="52" ht="18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</row>
    <row r="53" ht="18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</row>
    <row r="54" ht="18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</row>
    <row r="55" ht="18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</row>
    <row r="56" ht="18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</row>
    <row r="57" ht="18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</row>
    <row r="58" ht="18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</row>
    <row r="59" ht="18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</row>
    <row r="60" ht="18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</row>
    <row r="61" ht="18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</row>
    <row r="62" ht="18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</row>
    <row r="63" ht="18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</row>
    <row r="64" ht="18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</row>
    <row r="65" ht="18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</row>
    <row r="66" ht="18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</row>
    <row r="67" ht="18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</row>
    <row r="68" ht="18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</row>
    <row r="69" ht="18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</row>
    <row r="70" ht="18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</row>
    <row r="71" ht="18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</row>
    <row r="72" ht="18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</row>
    <row r="73" ht="18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</row>
    <row r="74" ht="18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</row>
    <row r="75" ht="18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</row>
    <row r="76" ht="18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</row>
    <row r="77" ht="18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</row>
    <row r="78" ht="18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</row>
    <row r="79" ht="18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</row>
    <row r="80" ht="18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</row>
    <row r="81" ht="18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</row>
    <row r="82" ht="18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</row>
    <row r="83" ht="18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</row>
    <row r="84" ht="18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</row>
    <row r="85" ht="18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</row>
    <row r="86" ht="18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</row>
    <row r="87" ht="18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</row>
    <row r="88" ht="18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</row>
    <row r="89" ht="18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</row>
    <row r="90" ht="18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</row>
    <row r="91" ht="18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</row>
    <row r="92" ht="18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</row>
    <row r="93" ht="18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</row>
    <row r="94" ht="18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</row>
    <row r="95" ht="18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</row>
    <row r="96" ht="18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</row>
    <row r="97" ht="18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</row>
    <row r="98" ht="18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93"/>
      <c r="AB98" s="93"/>
    </row>
    <row r="99" ht="18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93"/>
      <c r="AB99" s="93"/>
    </row>
    <row r="100" ht="18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</row>
    <row r="101" ht="18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</row>
    <row r="102" ht="18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  <c r="AA102" s="93"/>
      <c r="AB102" s="93"/>
    </row>
    <row r="103" ht="18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  <c r="AA103" s="93"/>
      <c r="AB103" s="93"/>
    </row>
    <row r="104" ht="18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  <c r="AA104" s="93"/>
      <c r="AB104" s="93"/>
    </row>
    <row r="105" ht="18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  <c r="AA105" s="93"/>
      <c r="AB105" s="93"/>
    </row>
    <row r="106" ht="18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</row>
    <row r="107" ht="18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</row>
    <row r="108" ht="18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</row>
    <row r="109" ht="18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  <c r="AA109" s="93"/>
      <c r="AB109" s="93"/>
    </row>
    <row r="110" ht="18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</row>
    <row r="111" ht="18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  <c r="AA111" s="93"/>
      <c r="AB111" s="93"/>
    </row>
    <row r="112" ht="18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</row>
    <row r="113" ht="18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</row>
    <row r="114" ht="18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  <c r="AA114" s="93"/>
      <c r="AB114" s="93"/>
    </row>
    <row r="115" ht="18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  <c r="AA115" s="93"/>
      <c r="AB115" s="93"/>
    </row>
    <row r="116" ht="18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</row>
    <row r="117" ht="18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  <c r="AA117" s="93"/>
      <c r="AB117" s="93"/>
    </row>
    <row r="118" ht="18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  <c r="AA118" s="93"/>
      <c r="AB118" s="93"/>
    </row>
    <row r="119" ht="18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  <c r="AA119" s="93"/>
      <c r="AB119" s="93"/>
    </row>
    <row r="120" ht="18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</row>
    <row r="121" ht="18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</row>
    <row r="122" ht="18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  <c r="AA122" s="93"/>
      <c r="AB122" s="93"/>
    </row>
    <row r="123" ht="18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  <c r="AA123" s="93"/>
      <c r="AB123" s="93"/>
    </row>
    <row r="124" ht="18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  <c r="AA124" s="93"/>
      <c r="AB124" s="93"/>
    </row>
    <row r="125" ht="18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  <c r="AA125" s="93"/>
      <c r="AB125" s="93"/>
    </row>
    <row r="126" ht="18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  <c r="AA126" s="93"/>
      <c r="AB126" s="93"/>
    </row>
    <row r="127" ht="18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  <c r="AA127" s="93"/>
      <c r="AB127" s="93"/>
    </row>
    <row r="128" ht="18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  <c r="AA128" s="93"/>
      <c r="AB128" s="93"/>
    </row>
    <row r="129" ht="18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  <c r="AA129" s="93"/>
      <c r="AB129" s="93"/>
    </row>
    <row r="130" ht="18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  <c r="AA130" s="93"/>
      <c r="AB130" s="93"/>
    </row>
    <row r="131" ht="18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  <c r="AA131" s="93"/>
      <c r="AB131" s="93"/>
    </row>
    <row r="132" ht="18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  <c r="AA132" s="93"/>
      <c r="AB132" s="93"/>
    </row>
    <row r="133" ht="18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  <c r="AA133" s="93"/>
      <c r="AB133" s="93"/>
    </row>
    <row r="134" ht="18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  <c r="AA134" s="93"/>
      <c r="AB134" s="93"/>
    </row>
    <row r="135" ht="18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</row>
    <row r="136" ht="18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</row>
    <row r="137" ht="18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  <c r="AA137" s="93"/>
      <c r="AB137" s="93"/>
    </row>
    <row r="138" ht="18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</row>
    <row r="139" ht="18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  <c r="AA139" s="93"/>
      <c r="AB139" s="93"/>
    </row>
    <row r="140" ht="18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  <c r="AA140" s="93"/>
      <c r="AB140" s="93"/>
    </row>
    <row r="141" ht="18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  <c r="AA141" s="93"/>
      <c r="AB141" s="93"/>
    </row>
    <row r="142" ht="18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</row>
    <row r="143" ht="18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  <c r="AA143" s="93"/>
      <c r="AB143" s="93"/>
    </row>
    <row r="144" ht="18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</row>
    <row r="145" ht="18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</row>
    <row r="146" ht="18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</row>
    <row r="147" ht="18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</row>
    <row r="148" ht="18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</row>
    <row r="149" ht="18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</row>
    <row r="150" ht="18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</row>
    <row r="151" ht="18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</row>
    <row r="152" ht="18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</row>
    <row r="153" ht="18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</row>
    <row r="154" ht="18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</row>
    <row r="155" ht="18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</row>
    <row r="156" ht="18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</row>
    <row r="157" ht="18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</row>
    <row r="158" ht="18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</row>
    <row r="159" ht="18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</row>
    <row r="160" ht="18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</row>
    <row r="161" ht="18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</row>
    <row r="162" ht="18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</row>
    <row r="163" ht="18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</row>
    <row r="164" ht="18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</row>
    <row r="165" ht="18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</row>
    <row r="166" ht="18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</row>
    <row r="167" ht="18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</row>
    <row r="168" ht="18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</row>
    <row r="169" ht="18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</row>
    <row r="170" ht="18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</row>
    <row r="171" ht="18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</row>
    <row r="172" ht="18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</row>
    <row r="173" ht="18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</row>
    <row r="174" ht="18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</row>
    <row r="175" ht="18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</row>
    <row r="176" ht="18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</row>
    <row r="177" ht="18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</row>
    <row r="178" ht="18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</row>
    <row r="179" ht="18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</row>
    <row r="180" ht="18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</row>
    <row r="181" ht="18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</row>
    <row r="182" ht="18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</row>
    <row r="183" ht="18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</row>
    <row r="184" ht="18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</row>
    <row r="185" ht="18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</row>
    <row r="186" ht="18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</row>
    <row r="187" ht="18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</row>
    <row r="188" ht="18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</row>
    <row r="189" ht="18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</row>
    <row r="190" ht="18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</row>
    <row r="191" ht="18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</row>
    <row r="192" ht="18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</row>
    <row r="193" ht="18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</row>
    <row r="194" ht="18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</row>
    <row r="195" ht="18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</row>
    <row r="196" ht="18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</row>
    <row r="197" ht="18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</row>
    <row r="198" ht="18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</row>
    <row r="199" ht="18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</row>
    <row r="200" ht="18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</row>
    <row r="201" ht="18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</row>
    <row r="202" ht="18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</row>
    <row r="203" ht="18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</row>
    <row r="204" ht="18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</row>
    <row r="205" ht="18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</row>
    <row r="206" ht="18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</row>
    <row r="207" ht="18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</row>
    <row r="208" ht="18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</row>
    <row r="209" ht="18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</row>
    <row r="210" ht="18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</row>
    <row r="211" ht="18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</row>
    <row r="212" ht="18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</row>
    <row r="213" ht="18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</row>
    <row r="214" ht="18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</row>
    <row r="215" ht="18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</row>
    <row r="216" ht="18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</row>
    <row r="217" ht="18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</row>
    <row r="218" ht="18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</row>
    <row r="219" ht="18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</row>
    <row r="220" ht="18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</row>
    <row r="221" ht="18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</row>
    <row r="222" ht="18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</row>
    <row r="223" ht="18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</row>
    <row r="224" ht="18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</row>
    <row r="225" ht="18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</row>
    <row r="226" ht="18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</row>
    <row r="227" ht="18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</row>
    <row r="228" ht="18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</row>
    <row r="229" ht="18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</row>
    <row r="230" ht="18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</row>
    <row r="231" ht="18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</row>
    <row r="232" ht="18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</row>
    <row r="233" ht="18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</row>
    <row r="234" ht="18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</row>
    <row r="235" ht="18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</row>
    <row r="236" ht="18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</row>
    <row r="237" ht="18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</row>
    <row r="238" ht="18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</row>
    <row r="239" ht="18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</row>
    <row r="240" ht="18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</row>
    <row r="241" ht="18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</row>
    <row r="242" ht="18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</row>
    <row r="243" ht="18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</row>
    <row r="244" ht="18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</row>
    <row r="245" ht="18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</row>
    <row r="246" ht="18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</row>
    <row r="247" ht="18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</row>
    <row r="248" ht="18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</row>
    <row r="249" ht="18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</row>
    <row r="250" ht="18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</row>
    <row r="251" ht="18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</row>
    <row r="252" ht="18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</row>
    <row r="253" ht="18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</row>
    <row r="254" ht="18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</row>
    <row r="255" ht="18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</row>
    <row r="256" ht="18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</row>
    <row r="257" ht="18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</row>
    <row r="258" ht="18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</row>
    <row r="259" ht="18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</row>
    <row r="260" ht="18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</row>
    <row r="261" ht="18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</row>
    <row r="262" ht="18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</row>
    <row r="263" ht="18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</row>
    <row r="264" ht="18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</row>
    <row r="265" ht="18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</row>
    <row r="266" ht="18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</row>
    <row r="267" ht="18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</row>
    <row r="268" ht="18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</row>
    <row r="269" ht="18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</row>
    <row r="270" ht="18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</row>
    <row r="271" ht="18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</row>
    <row r="272" ht="18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</row>
    <row r="273" ht="18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</row>
    <row r="274" ht="18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</row>
    <row r="275" ht="18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</row>
    <row r="276" ht="18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</row>
    <row r="277" ht="18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</row>
    <row r="278" ht="18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</row>
    <row r="279" ht="18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</row>
    <row r="280" ht="18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</row>
    <row r="281" ht="18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</row>
    <row r="282" ht="18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</row>
    <row r="283" ht="18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</row>
    <row r="284" ht="18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</row>
    <row r="285" ht="18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</row>
    <row r="286" ht="18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</row>
    <row r="287" ht="18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</row>
    <row r="288" ht="18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</row>
    <row r="289" ht="18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</row>
    <row r="290" ht="18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</row>
    <row r="291" ht="18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</row>
    <row r="292" ht="18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</row>
    <row r="293" ht="18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</row>
    <row r="294" ht="18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</row>
    <row r="295" ht="18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</row>
    <row r="296" ht="18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</row>
    <row r="297" ht="18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</row>
    <row r="298" ht="18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</row>
    <row r="299" ht="18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</row>
    <row r="300" ht="18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</row>
    <row r="301" ht="18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</row>
    <row r="302" ht="18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</row>
    <row r="303" ht="18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</row>
    <row r="304" ht="18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</row>
    <row r="305" ht="18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</row>
    <row r="306" ht="18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</row>
    <row r="307" ht="18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</row>
    <row r="308" ht="18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</row>
    <row r="309" ht="18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</row>
    <row r="310" ht="18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</row>
    <row r="311" ht="18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</row>
    <row r="312" ht="18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</row>
    <row r="313" ht="18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</row>
    <row r="314" ht="18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</row>
    <row r="315" ht="18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</row>
    <row r="316" ht="18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</row>
    <row r="317" ht="18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</row>
    <row r="318" ht="18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</row>
    <row r="319" ht="18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</row>
    <row r="320" ht="18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</row>
    <row r="321" ht="18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</row>
    <row r="322" ht="18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</row>
    <row r="323" ht="18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</row>
    <row r="324" ht="18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</row>
    <row r="325" ht="18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</row>
    <row r="326" ht="18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</row>
    <row r="327" ht="18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</row>
    <row r="328" ht="18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</row>
    <row r="329" ht="18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</row>
    <row r="330" ht="18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</row>
    <row r="331" ht="18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</row>
    <row r="332" ht="18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</row>
    <row r="333" ht="18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</row>
    <row r="334" ht="18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</row>
    <row r="335" ht="18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</row>
    <row r="336" ht="18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</row>
    <row r="337" ht="18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</row>
    <row r="338" ht="18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</row>
    <row r="339" ht="18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</row>
    <row r="340" ht="18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</row>
    <row r="341" ht="18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</row>
    <row r="342" ht="18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</row>
    <row r="343" ht="18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</row>
    <row r="344" ht="18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</row>
    <row r="345" ht="18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</row>
    <row r="346" ht="18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</row>
    <row r="347" ht="18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</row>
    <row r="348" ht="18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</row>
    <row r="349" ht="18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</row>
    <row r="350" ht="18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</row>
    <row r="351" ht="18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</row>
    <row r="352" ht="18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</row>
    <row r="353" ht="18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</row>
    <row r="354" ht="18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</row>
    <row r="355" ht="18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</row>
    <row r="356" ht="18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</row>
    <row r="357" ht="18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</row>
    <row r="358" ht="18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</row>
    <row r="359" ht="18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</row>
    <row r="360" ht="18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</row>
    <row r="361" ht="18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</row>
    <row r="362" ht="18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</row>
    <row r="363" ht="18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</row>
    <row r="364" ht="18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</row>
    <row r="365" ht="18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</row>
    <row r="366" ht="18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</row>
    <row r="367" ht="18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</row>
    <row r="368" ht="18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</row>
    <row r="369" ht="18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</row>
    <row r="370" ht="18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</row>
    <row r="371" ht="18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</row>
    <row r="372" ht="18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</row>
    <row r="373" ht="18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</row>
    <row r="374" ht="18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</row>
    <row r="375" ht="18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  <c r="AA375" s="93"/>
      <c r="AB375" s="93"/>
    </row>
    <row r="376" ht="18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  <c r="AA376" s="93"/>
      <c r="AB376" s="93"/>
    </row>
    <row r="377" ht="18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  <c r="AA377" s="93"/>
      <c r="AB377" s="93"/>
    </row>
    <row r="378" ht="18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  <c r="AA378" s="93"/>
      <c r="AB378" s="93"/>
    </row>
    <row r="379" ht="18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  <c r="AA379" s="93"/>
      <c r="AB379" s="93"/>
    </row>
    <row r="380" ht="18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  <c r="AA380" s="93"/>
      <c r="AB380" s="93"/>
    </row>
    <row r="381" ht="18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  <c r="AA381" s="93"/>
      <c r="AB381" s="93"/>
    </row>
    <row r="382" ht="18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  <c r="AA382" s="93"/>
      <c r="AB382" s="93"/>
    </row>
    <row r="383" ht="18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  <c r="AA383" s="93"/>
      <c r="AB383" s="93"/>
    </row>
    <row r="384" ht="18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  <c r="AA384" s="93"/>
      <c r="AB384" s="93"/>
    </row>
    <row r="385" ht="18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  <c r="AA385" s="93"/>
      <c r="AB385" s="93"/>
    </row>
    <row r="386" ht="18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  <c r="AA386" s="93"/>
      <c r="AB386" s="93"/>
    </row>
    <row r="387" ht="18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  <c r="AA387" s="93"/>
      <c r="AB387" s="93"/>
    </row>
    <row r="388" ht="18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  <c r="AA388" s="93"/>
      <c r="AB388" s="93"/>
    </row>
    <row r="389" ht="18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  <c r="AA389" s="93"/>
      <c r="AB389" s="93"/>
    </row>
    <row r="390" ht="18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  <c r="AA390" s="93"/>
      <c r="AB390" s="93"/>
    </row>
    <row r="391" ht="18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  <c r="AA391" s="93"/>
      <c r="AB391" s="93"/>
    </row>
    <row r="392" ht="18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  <c r="AA392" s="93"/>
      <c r="AB392" s="93"/>
    </row>
    <row r="393" ht="18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  <c r="AA393" s="93"/>
      <c r="AB393" s="93"/>
    </row>
    <row r="394" ht="18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  <c r="AA394" s="93"/>
      <c r="AB394" s="93"/>
    </row>
    <row r="395" ht="18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  <c r="AA395" s="93"/>
      <c r="AB395" s="93"/>
    </row>
    <row r="396" ht="18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  <c r="AA396" s="93"/>
      <c r="AB396" s="93"/>
    </row>
    <row r="397" ht="18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  <c r="AA397" s="93"/>
      <c r="AB397" s="93"/>
    </row>
    <row r="398" ht="18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  <c r="AA398" s="93"/>
      <c r="AB398" s="93"/>
    </row>
    <row r="399" ht="18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  <c r="AA399" s="93"/>
      <c r="AB399" s="93"/>
    </row>
    <row r="400" ht="18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  <c r="AA400" s="93"/>
      <c r="AB400" s="93"/>
    </row>
    <row r="401" ht="18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  <c r="AA401" s="93"/>
      <c r="AB401" s="93"/>
    </row>
    <row r="402" ht="18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  <c r="AA402" s="93"/>
      <c r="AB402" s="93"/>
    </row>
    <row r="403" ht="18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  <c r="AA403" s="93"/>
      <c r="AB403" s="93"/>
    </row>
    <row r="404" ht="18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  <c r="AA404" s="93"/>
      <c r="AB404" s="93"/>
    </row>
    <row r="405" ht="18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  <c r="AA405" s="93"/>
      <c r="AB405" s="93"/>
    </row>
    <row r="406" ht="18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  <c r="AA406" s="93"/>
      <c r="AB406" s="93"/>
    </row>
    <row r="407" ht="18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  <c r="AA407" s="93"/>
      <c r="AB407" s="93"/>
    </row>
    <row r="408" ht="18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  <c r="AA408" s="93"/>
      <c r="AB408" s="93"/>
    </row>
    <row r="409" ht="18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  <c r="AA409" s="93"/>
      <c r="AB409" s="93"/>
    </row>
    <row r="410" ht="18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  <c r="AA410" s="93"/>
      <c r="AB410" s="93"/>
    </row>
    <row r="411" ht="18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  <c r="AA411" s="93"/>
      <c r="AB411" s="93"/>
    </row>
    <row r="412" ht="18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  <c r="AA412" s="93"/>
      <c r="AB412" s="93"/>
    </row>
    <row r="413" ht="18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  <c r="AA413" s="93"/>
      <c r="AB413" s="93"/>
    </row>
    <row r="414" ht="18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  <c r="AA414" s="93"/>
      <c r="AB414" s="93"/>
    </row>
    <row r="415" ht="18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  <c r="AA415" s="93"/>
      <c r="AB415" s="93"/>
    </row>
    <row r="416" ht="18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  <c r="AA416" s="93"/>
      <c r="AB416" s="93"/>
    </row>
    <row r="417" ht="18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  <c r="AA417" s="93"/>
      <c r="AB417" s="93"/>
    </row>
    <row r="418" ht="18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  <c r="AA418" s="93"/>
      <c r="AB418" s="93"/>
    </row>
    <row r="419" ht="18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  <c r="AA419" s="93"/>
      <c r="AB419" s="93"/>
    </row>
    <row r="420" ht="18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  <c r="AA420" s="93"/>
      <c r="AB420" s="93"/>
    </row>
    <row r="421" ht="18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</row>
    <row r="422" ht="18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  <c r="AA422" s="93"/>
      <c r="AB422" s="93"/>
    </row>
    <row r="423" ht="18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  <c r="AA423" s="93"/>
      <c r="AB423" s="93"/>
    </row>
    <row r="424" ht="18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  <c r="AA424" s="93"/>
      <c r="AB424" s="93"/>
    </row>
    <row r="425" ht="18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  <c r="AA425" s="93"/>
      <c r="AB425" s="93"/>
    </row>
    <row r="426" ht="18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</row>
    <row r="427" ht="18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  <c r="AA427" s="93"/>
      <c r="AB427" s="93"/>
    </row>
    <row r="428" ht="18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  <c r="AA428" s="93"/>
      <c r="AB428" s="93"/>
    </row>
    <row r="429" ht="18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  <c r="AA429" s="93"/>
      <c r="AB429" s="93"/>
    </row>
    <row r="430" ht="18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  <c r="AA430" s="93"/>
      <c r="AB430" s="93"/>
    </row>
    <row r="431" ht="18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  <c r="AA431" s="93"/>
      <c r="AB431" s="93"/>
    </row>
    <row r="432" ht="18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  <c r="AA432" s="93"/>
      <c r="AB432" s="93"/>
    </row>
    <row r="433" ht="18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  <c r="AA433" s="93"/>
      <c r="AB433" s="93"/>
    </row>
    <row r="434" ht="18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  <c r="AA434" s="93"/>
      <c r="AB434" s="93"/>
    </row>
    <row r="435" ht="18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  <c r="AA435" s="93"/>
      <c r="AB435" s="93"/>
    </row>
    <row r="436" ht="18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  <c r="AA436" s="93"/>
      <c r="AB436" s="93"/>
    </row>
    <row r="437" ht="18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  <c r="AA437" s="93"/>
      <c r="AB437" s="93"/>
    </row>
    <row r="438" ht="18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  <c r="AA438" s="93"/>
      <c r="AB438" s="93"/>
    </row>
    <row r="439" ht="18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  <c r="AA439" s="93"/>
      <c r="AB439" s="93"/>
    </row>
    <row r="440" ht="18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  <c r="AA440" s="93"/>
      <c r="AB440" s="93"/>
    </row>
    <row r="441" ht="18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  <c r="AA441" s="93"/>
      <c r="AB441" s="93"/>
    </row>
    <row r="442" ht="18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  <c r="AA442" s="93"/>
      <c r="AB442" s="93"/>
    </row>
    <row r="443" ht="18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  <c r="AA443" s="93"/>
      <c r="AB443" s="93"/>
    </row>
    <row r="444" ht="18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  <c r="AA444" s="93"/>
      <c r="AB444" s="93"/>
    </row>
    <row r="445" ht="18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  <c r="AA445" s="93"/>
      <c r="AB445" s="93"/>
    </row>
    <row r="446" ht="18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  <c r="AA446" s="93"/>
      <c r="AB446" s="93"/>
    </row>
    <row r="447" ht="18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  <c r="AA447" s="93"/>
      <c r="AB447" s="93"/>
    </row>
    <row r="448" ht="18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  <c r="AA448" s="93"/>
      <c r="AB448" s="93"/>
    </row>
    <row r="449" ht="18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  <c r="AA449" s="93"/>
      <c r="AB449" s="93"/>
    </row>
    <row r="450" ht="18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  <c r="AA450" s="93"/>
      <c r="AB450" s="93"/>
    </row>
    <row r="451" ht="18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  <c r="AA451" s="93"/>
      <c r="AB451" s="93"/>
    </row>
    <row r="452" ht="18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  <c r="AA452" s="93"/>
      <c r="AB452" s="93"/>
    </row>
    <row r="453" ht="18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  <c r="AA453" s="93"/>
      <c r="AB453" s="93"/>
    </row>
    <row r="454" ht="18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  <c r="AA454" s="93"/>
      <c r="AB454" s="93"/>
    </row>
    <row r="455" ht="18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  <c r="AA455" s="93"/>
      <c r="AB455" s="93"/>
    </row>
    <row r="456" ht="18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  <c r="AA456" s="93"/>
      <c r="AB456" s="93"/>
    </row>
    <row r="457" ht="18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  <c r="AA457" s="93"/>
      <c r="AB457" s="93"/>
    </row>
    <row r="458" ht="18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  <c r="AA458" s="93"/>
      <c r="AB458" s="93"/>
    </row>
    <row r="459" ht="18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  <c r="AA459" s="93"/>
      <c r="AB459" s="93"/>
    </row>
    <row r="460" ht="18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  <c r="AA460" s="93"/>
      <c r="AB460" s="93"/>
    </row>
    <row r="461" ht="18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  <c r="AA461" s="93"/>
      <c r="AB461" s="93"/>
    </row>
    <row r="462" ht="18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  <c r="AA462" s="93"/>
      <c r="AB462" s="93"/>
    </row>
    <row r="463" ht="18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  <c r="AA463" s="93"/>
      <c r="AB463" s="93"/>
    </row>
    <row r="464" ht="18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  <c r="AA464" s="93"/>
      <c r="AB464" s="93"/>
    </row>
    <row r="465" ht="18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  <c r="AA465" s="93"/>
      <c r="AB465" s="93"/>
    </row>
    <row r="466" ht="18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  <c r="AA466" s="93"/>
      <c r="AB466" s="93"/>
    </row>
    <row r="467" ht="18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  <c r="AA467" s="93"/>
      <c r="AB467" s="93"/>
    </row>
    <row r="468" ht="18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  <c r="AA468" s="93"/>
      <c r="AB468" s="93"/>
    </row>
    <row r="469" ht="18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  <c r="AA469" s="93"/>
      <c r="AB469" s="93"/>
    </row>
    <row r="470" ht="18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  <c r="AA470" s="93"/>
      <c r="AB470" s="93"/>
    </row>
    <row r="471" ht="18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  <c r="AA471" s="93"/>
      <c r="AB471" s="93"/>
    </row>
    <row r="472" ht="18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  <c r="AA472" s="93"/>
      <c r="AB472" s="93"/>
    </row>
    <row r="473" ht="18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  <c r="AA473" s="93"/>
      <c r="AB473" s="93"/>
    </row>
    <row r="474" ht="18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  <c r="AA474" s="93"/>
      <c r="AB474" s="93"/>
    </row>
    <row r="475" ht="18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  <c r="AA475" s="93"/>
      <c r="AB475" s="93"/>
    </row>
    <row r="476" ht="18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  <c r="AA476" s="93"/>
      <c r="AB476" s="93"/>
    </row>
    <row r="477" ht="18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  <c r="AA477" s="93"/>
      <c r="AB477" s="93"/>
    </row>
    <row r="478" ht="18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  <c r="AA478" s="93"/>
      <c r="AB478" s="93"/>
    </row>
    <row r="479" ht="18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  <c r="AA479" s="93"/>
      <c r="AB479" s="93"/>
    </row>
    <row r="480" ht="18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  <c r="AA480" s="93"/>
      <c r="AB480" s="93"/>
    </row>
    <row r="481" ht="18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  <c r="AA481" s="93"/>
      <c r="AB481" s="93"/>
    </row>
    <row r="482" ht="18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  <c r="AA482" s="93"/>
      <c r="AB482" s="93"/>
    </row>
    <row r="483" ht="18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  <c r="AA483" s="93"/>
      <c r="AB483" s="93"/>
    </row>
    <row r="484" ht="18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  <c r="AA484" s="93"/>
      <c r="AB484" s="93"/>
    </row>
    <row r="485" ht="18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  <c r="AA485" s="93"/>
      <c r="AB485" s="93"/>
    </row>
    <row r="486" ht="18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  <c r="AA486" s="93"/>
      <c r="AB486" s="93"/>
    </row>
    <row r="487" ht="18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  <c r="AA487" s="93"/>
      <c r="AB487" s="93"/>
    </row>
    <row r="488" ht="18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  <c r="AA488" s="93"/>
      <c r="AB488" s="93"/>
    </row>
    <row r="489" ht="18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  <c r="AA489" s="93"/>
      <c r="AB489" s="93"/>
    </row>
    <row r="490" ht="18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  <c r="AA490" s="93"/>
      <c r="AB490" s="93"/>
    </row>
    <row r="491" ht="18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  <c r="AA491" s="93"/>
      <c r="AB491" s="93"/>
    </row>
    <row r="492" ht="18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  <c r="AA492" s="93"/>
      <c r="AB492" s="93"/>
    </row>
    <row r="493" ht="18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  <c r="AA493" s="93"/>
      <c r="AB493" s="93"/>
    </row>
    <row r="494" ht="18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  <c r="AA494" s="93"/>
      <c r="AB494" s="93"/>
    </row>
    <row r="495" ht="18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  <c r="AA495" s="93"/>
      <c r="AB495" s="93"/>
    </row>
    <row r="496" ht="18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  <c r="AA496" s="93"/>
      <c r="AB496" s="93"/>
    </row>
    <row r="497" ht="18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  <c r="AA497" s="93"/>
      <c r="AB497" s="93"/>
    </row>
    <row r="498" ht="18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  <c r="AA498" s="93"/>
      <c r="AB498" s="93"/>
    </row>
    <row r="499" ht="18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  <c r="AA499" s="93"/>
      <c r="AB499" s="93"/>
    </row>
    <row r="500" ht="18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  <c r="AA500" s="93"/>
      <c r="AB500" s="93"/>
    </row>
    <row r="501" ht="18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  <c r="AA501" s="93"/>
      <c r="AB501" s="93"/>
    </row>
    <row r="502" ht="18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  <c r="AA502" s="93"/>
      <c r="AB502" s="93"/>
    </row>
    <row r="503" ht="18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  <c r="AA503" s="93"/>
      <c r="AB503" s="93"/>
    </row>
    <row r="504" ht="18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  <c r="AA504" s="93"/>
      <c r="AB504" s="93"/>
    </row>
    <row r="505" ht="18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  <c r="AA505" s="93"/>
      <c r="AB505" s="93"/>
    </row>
    <row r="506" ht="18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  <c r="AA506" s="93"/>
      <c r="AB506" s="93"/>
    </row>
    <row r="507" ht="18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  <c r="AA507" s="93"/>
      <c r="AB507" s="93"/>
    </row>
    <row r="508" ht="18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  <c r="AA508" s="93"/>
      <c r="AB508" s="93"/>
    </row>
    <row r="509" ht="18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  <c r="AA509" s="93"/>
      <c r="AB509" s="93"/>
    </row>
    <row r="510" ht="18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  <c r="AA510" s="93"/>
      <c r="AB510" s="93"/>
    </row>
    <row r="511" ht="18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  <c r="AA511" s="93"/>
      <c r="AB511" s="93"/>
    </row>
    <row r="512" ht="18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  <c r="AA512" s="93"/>
      <c r="AB512" s="93"/>
    </row>
    <row r="513" ht="18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  <c r="AA513" s="93"/>
      <c r="AB513" s="93"/>
    </row>
    <row r="514" ht="18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  <c r="AA514" s="93"/>
      <c r="AB514" s="93"/>
    </row>
    <row r="515" ht="18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  <c r="AA515" s="93"/>
      <c r="AB515" s="93"/>
    </row>
    <row r="516" ht="18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  <c r="AA516" s="93"/>
      <c r="AB516" s="93"/>
    </row>
    <row r="517" ht="18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  <c r="AA517" s="93"/>
      <c r="AB517" s="93"/>
    </row>
    <row r="518" ht="18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  <c r="AA518" s="93"/>
      <c r="AB518" s="93"/>
    </row>
    <row r="519" ht="18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  <c r="AA519" s="93"/>
      <c r="AB519" s="93"/>
    </row>
    <row r="520" ht="18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  <c r="AA520" s="93"/>
      <c r="AB520" s="93"/>
    </row>
    <row r="521" ht="18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  <c r="AA521" s="93"/>
      <c r="AB521" s="93"/>
    </row>
    <row r="522" ht="18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  <c r="AA522" s="93"/>
      <c r="AB522" s="93"/>
    </row>
    <row r="523" ht="18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  <c r="AA523" s="93"/>
      <c r="AB523" s="93"/>
    </row>
    <row r="524" ht="18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  <c r="AA524" s="93"/>
      <c r="AB524" s="93"/>
    </row>
    <row r="525" ht="18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  <c r="AA525" s="93"/>
      <c r="AB525" s="93"/>
    </row>
    <row r="526" ht="18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  <c r="AA526" s="93"/>
      <c r="AB526" s="93"/>
    </row>
    <row r="527" ht="18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  <c r="AA527" s="93"/>
      <c r="AB527" s="93"/>
    </row>
    <row r="528" ht="18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  <c r="AA528" s="93"/>
      <c r="AB528" s="93"/>
    </row>
    <row r="529" ht="18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  <c r="AA529" s="93"/>
      <c r="AB529" s="93"/>
    </row>
    <row r="530" ht="18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  <c r="AA530" s="93"/>
      <c r="AB530" s="93"/>
    </row>
    <row r="531" ht="18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  <c r="AA531" s="93"/>
      <c r="AB531" s="93"/>
    </row>
    <row r="532" ht="18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  <c r="AA532" s="93"/>
      <c r="AB532" s="93"/>
    </row>
    <row r="533" ht="18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  <c r="AA533" s="93"/>
      <c r="AB533" s="93"/>
    </row>
    <row r="534" ht="18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  <c r="AA534" s="93"/>
      <c r="AB534" s="93"/>
    </row>
    <row r="535" ht="18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  <c r="AA535" s="93"/>
      <c r="AB535" s="93"/>
    </row>
    <row r="536" ht="18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  <c r="AA536" s="93"/>
      <c r="AB536" s="93"/>
    </row>
    <row r="537" ht="18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  <c r="AA537" s="93"/>
      <c r="AB537" s="93"/>
    </row>
    <row r="538" ht="18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  <c r="AA538" s="93"/>
      <c r="AB538" s="93"/>
    </row>
    <row r="539" ht="18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  <c r="AA539" s="93"/>
      <c r="AB539" s="93"/>
    </row>
    <row r="540" ht="18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  <c r="AA540" s="93"/>
      <c r="AB540" s="93"/>
    </row>
    <row r="541" ht="18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  <c r="AA541" s="93"/>
      <c r="AB541" s="93"/>
    </row>
    <row r="542" ht="18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  <c r="AA542" s="93"/>
      <c r="AB542" s="93"/>
    </row>
    <row r="543" ht="18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  <c r="AA543" s="93"/>
      <c r="AB543" s="93"/>
    </row>
    <row r="544" ht="18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  <c r="AA544" s="93"/>
      <c r="AB544" s="93"/>
    </row>
    <row r="545" ht="18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  <c r="AA545" s="93"/>
      <c r="AB545" s="93"/>
    </row>
    <row r="546" ht="18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  <c r="AA546" s="93"/>
      <c r="AB546" s="93"/>
    </row>
    <row r="547" ht="18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  <c r="AA547" s="93"/>
      <c r="AB547" s="93"/>
    </row>
    <row r="548" ht="18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  <c r="AA548" s="93"/>
      <c r="AB548" s="93"/>
    </row>
    <row r="549" ht="18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  <c r="AA549" s="93"/>
      <c r="AB549" s="93"/>
    </row>
    <row r="550" ht="18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  <c r="AA550" s="93"/>
      <c r="AB550" s="93"/>
    </row>
    <row r="551" ht="18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  <c r="AA551" s="93"/>
      <c r="AB551" s="93"/>
    </row>
    <row r="552" ht="18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  <c r="AA552" s="93"/>
      <c r="AB552" s="93"/>
    </row>
    <row r="553" ht="18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  <c r="AA553" s="93"/>
      <c r="AB553" s="93"/>
    </row>
    <row r="554" ht="18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  <c r="AA554" s="93"/>
      <c r="AB554" s="93"/>
    </row>
    <row r="555" ht="18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  <c r="AA555" s="93"/>
      <c r="AB555" s="93"/>
    </row>
    <row r="556" ht="18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  <c r="AA556" s="93"/>
      <c r="AB556" s="93"/>
    </row>
    <row r="557" ht="18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  <c r="AA557" s="93"/>
      <c r="AB557" s="93"/>
    </row>
    <row r="558" ht="18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  <c r="AA558" s="93"/>
      <c r="AB558" s="93"/>
    </row>
    <row r="559" ht="18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  <c r="AA559" s="93"/>
      <c r="AB559" s="93"/>
    </row>
    <row r="560" ht="18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  <c r="AA560" s="93"/>
      <c r="AB560" s="93"/>
    </row>
    <row r="561" ht="18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  <c r="AA561" s="93"/>
      <c r="AB561" s="93"/>
    </row>
    <row r="562" ht="18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  <c r="AA562" s="93"/>
      <c r="AB562" s="93"/>
    </row>
    <row r="563" ht="18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  <c r="AA563" s="93"/>
      <c r="AB563" s="93"/>
    </row>
    <row r="564" ht="18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  <c r="AA564" s="93"/>
      <c r="AB564" s="93"/>
    </row>
    <row r="565" ht="18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  <c r="AA565" s="93"/>
      <c r="AB565" s="93"/>
    </row>
    <row r="566" ht="18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</row>
    <row r="567" ht="18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  <c r="AA567" s="93"/>
      <c r="AB567" s="93"/>
    </row>
    <row r="568" ht="18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  <c r="AA568" s="93"/>
      <c r="AB568" s="93"/>
    </row>
    <row r="569" ht="18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  <c r="AA569" s="93"/>
      <c r="AB569" s="93"/>
    </row>
    <row r="570" ht="18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  <c r="AA570" s="93"/>
      <c r="AB570" s="93"/>
    </row>
    <row r="571" ht="18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  <c r="AA571" s="93"/>
      <c r="AB571" s="93"/>
    </row>
    <row r="572" ht="18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  <c r="AA572" s="93"/>
      <c r="AB572" s="93"/>
    </row>
    <row r="573" ht="18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  <c r="AA573" s="93"/>
      <c r="AB573" s="93"/>
    </row>
    <row r="574" ht="18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  <c r="AA574" s="93"/>
      <c r="AB574" s="93"/>
    </row>
    <row r="575" ht="18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  <c r="AA575" s="93"/>
      <c r="AB575" s="93"/>
    </row>
    <row r="576" ht="18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  <c r="AA576" s="93"/>
      <c r="AB576" s="93"/>
    </row>
    <row r="577" ht="18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  <c r="AA577" s="93"/>
      <c r="AB577" s="93"/>
    </row>
    <row r="578" ht="18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  <c r="AA578" s="93"/>
      <c r="AB578" s="93"/>
    </row>
    <row r="579" ht="18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  <c r="AA579" s="93"/>
      <c r="AB579" s="93"/>
    </row>
    <row r="580" ht="18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  <c r="AA580" s="93"/>
      <c r="AB580" s="93"/>
    </row>
    <row r="581" ht="18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  <c r="AA581" s="93"/>
      <c r="AB581" s="93"/>
    </row>
    <row r="582" ht="18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  <c r="AA582" s="93"/>
      <c r="AB582" s="93"/>
    </row>
    <row r="583" ht="18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  <c r="AA583" s="93"/>
      <c r="AB583" s="93"/>
    </row>
    <row r="584" ht="18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  <c r="AA584" s="93"/>
      <c r="AB584" s="93"/>
    </row>
    <row r="585" ht="18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  <c r="AA585" s="93"/>
      <c r="AB585" s="93"/>
    </row>
    <row r="586" ht="18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  <c r="AA586" s="93"/>
      <c r="AB586" s="93"/>
    </row>
    <row r="587" ht="18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  <c r="AA587" s="93"/>
      <c r="AB587" s="93"/>
    </row>
    <row r="588" ht="18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  <c r="AA588" s="93"/>
      <c r="AB588" s="93"/>
    </row>
    <row r="589" ht="18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  <c r="AA589" s="93"/>
      <c r="AB589" s="93"/>
    </row>
    <row r="590" ht="18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  <c r="AA590" s="93"/>
      <c r="AB590" s="93"/>
    </row>
    <row r="591" ht="18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  <c r="AA591" s="93"/>
      <c r="AB591" s="93"/>
    </row>
    <row r="592" ht="18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  <c r="AA592" s="93"/>
      <c r="AB592" s="93"/>
    </row>
    <row r="593" ht="18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  <c r="AA593" s="93"/>
      <c r="AB593" s="93"/>
    </row>
    <row r="594" ht="18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  <c r="AA594" s="93"/>
      <c r="AB594" s="93"/>
    </row>
    <row r="595" ht="18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  <c r="AA595" s="93"/>
      <c r="AB595" s="93"/>
    </row>
    <row r="596" ht="18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  <c r="AA596" s="93"/>
      <c r="AB596" s="93"/>
    </row>
    <row r="597" ht="18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  <c r="AA597" s="93"/>
      <c r="AB597" s="93"/>
    </row>
    <row r="598" ht="18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  <c r="AA598" s="93"/>
      <c r="AB598" s="93"/>
    </row>
    <row r="599" ht="18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  <c r="AA599" s="93"/>
      <c r="AB599" s="93"/>
    </row>
    <row r="600" ht="18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  <c r="AA600" s="93"/>
      <c r="AB600" s="93"/>
    </row>
    <row r="601" ht="18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  <c r="AA601" s="93"/>
      <c r="AB601" s="93"/>
    </row>
    <row r="602" ht="18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  <c r="AA602" s="93"/>
      <c r="AB602" s="93"/>
    </row>
    <row r="603" ht="18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  <c r="AA603" s="93"/>
      <c r="AB603" s="93"/>
    </row>
    <row r="604" ht="18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  <c r="AA604" s="93"/>
      <c r="AB604" s="93"/>
    </row>
    <row r="605" ht="18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  <c r="AA605" s="93"/>
      <c r="AB605" s="93"/>
    </row>
    <row r="606" ht="18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  <c r="AA606" s="93"/>
      <c r="AB606" s="93"/>
    </row>
    <row r="607" ht="18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  <c r="AA607" s="93"/>
      <c r="AB607" s="93"/>
    </row>
    <row r="608" ht="18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  <c r="AA608" s="93"/>
      <c r="AB608" s="93"/>
    </row>
    <row r="609" ht="18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  <c r="AA609" s="93"/>
      <c r="AB609" s="93"/>
    </row>
    <row r="610" ht="18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  <c r="AA610" s="93"/>
      <c r="AB610" s="93"/>
    </row>
    <row r="611" ht="18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  <c r="AA611" s="93"/>
      <c r="AB611" s="93"/>
    </row>
    <row r="612" ht="18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  <c r="AA612" s="93"/>
      <c r="AB612" s="93"/>
    </row>
    <row r="613" ht="18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  <c r="AA613" s="93"/>
      <c r="AB613" s="93"/>
    </row>
    <row r="614" ht="18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  <c r="AA614" s="93"/>
      <c r="AB614" s="93"/>
    </row>
    <row r="615" ht="18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  <c r="AA615" s="93"/>
      <c r="AB615" s="93"/>
    </row>
    <row r="616" ht="18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  <c r="AA616" s="93"/>
      <c r="AB616" s="93"/>
    </row>
    <row r="617" ht="18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  <c r="AA617" s="93"/>
      <c r="AB617" s="93"/>
    </row>
    <row r="618" ht="18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</row>
    <row r="619" ht="18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  <c r="AA619" s="93"/>
      <c r="AB619" s="93"/>
    </row>
    <row r="620" ht="18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  <c r="AA620" s="93"/>
      <c r="AB620" s="93"/>
    </row>
    <row r="621" ht="18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  <c r="AA621" s="93"/>
      <c r="AB621" s="93"/>
    </row>
    <row r="622" ht="18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  <c r="AA622" s="93"/>
      <c r="AB622" s="93"/>
    </row>
    <row r="623" ht="18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  <c r="AA623" s="93"/>
      <c r="AB623" s="93"/>
    </row>
    <row r="624" ht="18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  <c r="AA624" s="93"/>
      <c r="AB624" s="93"/>
    </row>
    <row r="625" ht="18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  <c r="AA625" s="93"/>
      <c r="AB625" s="93"/>
    </row>
    <row r="626" ht="18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  <c r="AA626" s="93"/>
      <c r="AB626" s="93"/>
    </row>
    <row r="627" ht="18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  <c r="AA627" s="93"/>
      <c r="AB627" s="93"/>
    </row>
    <row r="628" ht="18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  <c r="AA628" s="93"/>
      <c r="AB628" s="93"/>
    </row>
    <row r="629" ht="18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  <c r="AA629" s="93"/>
      <c r="AB629" s="93"/>
    </row>
    <row r="630" ht="18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  <c r="AA630" s="93"/>
      <c r="AB630" s="93"/>
    </row>
    <row r="631" ht="18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</row>
    <row r="632" ht="18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</row>
    <row r="633" ht="18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  <c r="AA633" s="93"/>
      <c r="AB633" s="93"/>
    </row>
    <row r="634" ht="18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  <c r="AA634" s="93"/>
      <c r="AB634" s="93"/>
    </row>
    <row r="635" ht="18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  <c r="AA635" s="93"/>
      <c r="AB635" s="93"/>
    </row>
    <row r="636" ht="18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  <c r="AA636" s="93"/>
      <c r="AB636" s="93"/>
    </row>
    <row r="637" ht="18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  <c r="AA637" s="93"/>
      <c r="AB637" s="93"/>
    </row>
    <row r="638" ht="18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  <c r="AA638" s="93"/>
      <c r="AB638" s="93"/>
    </row>
    <row r="639" ht="18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  <c r="AA639" s="93"/>
      <c r="AB639" s="93"/>
    </row>
    <row r="640" ht="18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  <c r="AA640" s="93"/>
      <c r="AB640" s="93"/>
    </row>
    <row r="641" ht="18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  <c r="AA641" s="93"/>
      <c r="AB641" s="93"/>
    </row>
    <row r="642" ht="18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  <c r="AA642" s="93"/>
      <c r="AB642" s="93"/>
    </row>
    <row r="643" ht="18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  <c r="AA643" s="93"/>
      <c r="AB643" s="93"/>
    </row>
    <row r="644" ht="18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  <c r="AA644" s="93"/>
      <c r="AB644" s="93"/>
    </row>
    <row r="645" ht="18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  <c r="AA645" s="93"/>
      <c r="AB645" s="93"/>
    </row>
    <row r="646" ht="18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  <c r="AA646" s="93"/>
      <c r="AB646" s="93"/>
    </row>
    <row r="647" ht="18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  <c r="AA647" s="93"/>
      <c r="AB647" s="93"/>
    </row>
    <row r="648" ht="18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  <c r="AA648" s="93"/>
      <c r="AB648" s="93"/>
    </row>
    <row r="649" ht="18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  <c r="AA649" s="93"/>
      <c r="AB649" s="93"/>
    </row>
    <row r="650" ht="18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  <c r="AA650" s="93"/>
      <c r="AB650" s="93"/>
    </row>
    <row r="651" ht="18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  <c r="AA651" s="93"/>
      <c r="AB651" s="93"/>
    </row>
    <row r="652" ht="18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  <c r="AA652" s="93"/>
      <c r="AB652" s="93"/>
    </row>
    <row r="653" ht="18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  <c r="AA653" s="93"/>
      <c r="AB653" s="93"/>
    </row>
    <row r="654" ht="18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  <c r="AA654" s="93"/>
      <c r="AB654" s="93"/>
    </row>
    <row r="655" ht="18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  <c r="AA655" s="93"/>
      <c r="AB655" s="93"/>
    </row>
    <row r="656" ht="18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  <c r="AA656" s="93"/>
      <c r="AB656" s="93"/>
    </row>
    <row r="657" ht="18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  <c r="AA657" s="93"/>
      <c r="AB657" s="93"/>
    </row>
    <row r="658" ht="18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  <c r="AA658" s="93"/>
      <c r="AB658" s="93"/>
    </row>
    <row r="659" ht="18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  <c r="AA659" s="93"/>
      <c r="AB659" s="93"/>
    </row>
    <row r="660" ht="18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  <c r="AA660" s="93"/>
      <c r="AB660" s="93"/>
    </row>
    <row r="661" ht="18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  <c r="AA661" s="93"/>
      <c r="AB661" s="93"/>
    </row>
    <row r="662" ht="18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  <c r="AA662" s="93"/>
      <c r="AB662" s="93"/>
    </row>
    <row r="663" ht="18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  <c r="AA663" s="93"/>
      <c r="AB663" s="93"/>
    </row>
    <row r="664" ht="18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  <c r="AA664" s="93"/>
      <c r="AB664" s="93"/>
    </row>
    <row r="665" ht="18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  <c r="AA665" s="93"/>
      <c r="AB665" s="93"/>
    </row>
    <row r="666" ht="18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  <c r="AA666" s="93"/>
      <c r="AB666" s="93"/>
    </row>
    <row r="667" ht="18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  <c r="AA667" s="93"/>
      <c r="AB667" s="93"/>
    </row>
    <row r="668" ht="18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  <c r="AA668" s="93"/>
      <c r="AB668" s="93"/>
    </row>
    <row r="669" ht="18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  <c r="AA669" s="93"/>
      <c r="AB669" s="93"/>
    </row>
    <row r="670" ht="18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  <c r="AA670" s="93"/>
      <c r="AB670" s="93"/>
    </row>
    <row r="671" ht="18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  <c r="AA671" s="93"/>
      <c r="AB671" s="93"/>
    </row>
    <row r="672" ht="18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  <c r="AA672" s="93"/>
      <c r="AB672" s="93"/>
    </row>
    <row r="673" ht="18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  <c r="AA673" s="93"/>
      <c r="AB673" s="93"/>
    </row>
    <row r="674" ht="18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  <c r="AA674" s="93"/>
      <c r="AB674" s="93"/>
    </row>
    <row r="675" ht="18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  <c r="AA675" s="93"/>
      <c r="AB675" s="93"/>
    </row>
    <row r="676" ht="18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  <c r="AA676" s="93"/>
      <c r="AB676" s="93"/>
    </row>
    <row r="677" ht="18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  <c r="AA677" s="93"/>
      <c r="AB677" s="93"/>
    </row>
    <row r="678" ht="18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  <c r="AA678" s="93"/>
      <c r="AB678" s="93"/>
    </row>
    <row r="679" ht="18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  <c r="AA679" s="93"/>
      <c r="AB679" s="93"/>
    </row>
    <row r="680" ht="18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  <c r="AA680" s="93"/>
      <c r="AB680" s="93"/>
    </row>
    <row r="681" ht="18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  <c r="AA681" s="93"/>
      <c r="AB681" s="93"/>
    </row>
    <row r="682" ht="18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  <c r="AA682" s="93"/>
      <c r="AB682" s="93"/>
    </row>
    <row r="683" ht="18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  <c r="AA683" s="93"/>
      <c r="AB683" s="93"/>
    </row>
    <row r="684" ht="18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  <c r="AA684" s="93"/>
      <c r="AB684" s="93"/>
    </row>
    <row r="685" ht="18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  <c r="AA685" s="93"/>
      <c r="AB685" s="93"/>
    </row>
    <row r="686" ht="18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  <c r="AA686" s="93"/>
      <c r="AB686" s="93"/>
    </row>
    <row r="687" ht="18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  <c r="AA687" s="93"/>
      <c r="AB687" s="93"/>
    </row>
    <row r="688" ht="18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  <c r="AA688" s="93"/>
      <c r="AB688" s="93"/>
    </row>
    <row r="689" ht="18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  <c r="AA689" s="93"/>
      <c r="AB689" s="93"/>
    </row>
    <row r="690" ht="18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  <c r="AA690" s="93"/>
      <c r="AB690" s="93"/>
    </row>
    <row r="691" ht="18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  <c r="AA691" s="93"/>
      <c r="AB691" s="93"/>
    </row>
    <row r="692" ht="18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  <c r="AA692" s="93"/>
      <c r="AB692" s="93"/>
    </row>
    <row r="693" ht="18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  <c r="AA693" s="93"/>
      <c r="AB693" s="93"/>
    </row>
    <row r="694" ht="18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  <c r="AA694" s="93"/>
      <c r="AB694" s="93"/>
    </row>
    <row r="695" ht="18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  <c r="AA695" s="93"/>
      <c r="AB695" s="93"/>
    </row>
    <row r="696" ht="18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  <c r="AA696" s="93"/>
      <c r="AB696" s="93"/>
    </row>
    <row r="697" ht="18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  <c r="AA697" s="93"/>
      <c r="AB697" s="93"/>
    </row>
    <row r="698" ht="18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  <c r="AA698" s="93"/>
      <c r="AB698" s="93"/>
    </row>
    <row r="699" ht="18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  <c r="AA699" s="93"/>
      <c r="AB699" s="93"/>
    </row>
    <row r="700" ht="18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  <c r="AA700" s="93"/>
      <c r="AB700" s="93"/>
    </row>
    <row r="701" ht="18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  <c r="AA701" s="93"/>
      <c r="AB701" s="93"/>
    </row>
    <row r="702" ht="18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  <c r="AA702" s="93"/>
      <c r="AB702" s="93"/>
    </row>
    <row r="703" ht="18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  <c r="AA703" s="93"/>
      <c r="AB703" s="93"/>
    </row>
    <row r="704" ht="18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  <c r="AA704" s="93"/>
      <c r="AB704" s="93"/>
    </row>
    <row r="705" ht="18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  <c r="AA705" s="93"/>
      <c r="AB705" s="93"/>
    </row>
    <row r="706" ht="18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  <c r="AA706" s="93"/>
      <c r="AB706" s="93"/>
    </row>
    <row r="707" ht="18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  <c r="AA707" s="93"/>
      <c r="AB707" s="93"/>
    </row>
    <row r="708" ht="18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  <c r="AA708" s="93"/>
      <c r="AB708" s="93"/>
    </row>
    <row r="709" ht="18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  <c r="AA709" s="93"/>
      <c r="AB709" s="93"/>
    </row>
    <row r="710" ht="18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  <c r="AA710" s="93"/>
      <c r="AB710" s="93"/>
    </row>
    <row r="711" ht="18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  <c r="AA711" s="93"/>
      <c r="AB711" s="93"/>
    </row>
    <row r="712" ht="18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  <c r="AA712" s="93"/>
      <c r="AB712" s="93"/>
    </row>
    <row r="713" ht="18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  <c r="AA713" s="93"/>
      <c r="AB713" s="93"/>
    </row>
    <row r="714" ht="18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  <c r="AA714" s="93"/>
      <c r="AB714" s="93"/>
    </row>
    <row r="715" ht="18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  <c r="AA715" s="93"/>
      <c r="AB715" s="93"/>
    </row>
    <row r="716" ht="18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  <c r="AA716" s="93"/>
      <c r="AB716" s="93"/>
    </row>
    <row r="717" ht="18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  <c r="AA717" s="93"/>
      <c r="AB717" s="93"/>
    </row>
    <row r="718" ht="18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  <c r="AA718" s="93"/>
      <c r="AB718" s="93"/>
    </row>
    <row r="719" ht="18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  <c r="AA719" s="93"/>
      <c r="AB719" s="93"/>
    </row>
    <row r="720" ht="18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  <c r="AA720" s="93"/>
      <c r="AB720" s="93"/>
    </row>
    <row r="721" ht="18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  <c r="AA721" s="93"/>
      <c r="AB721" s="93"/>
    </row>
    <row r="722" ht="18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  <c r="AA722" s="93"/>
      <c r="AB722" s="93"/>
    </row>
    <row r="723" ht="18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  <c r="AA723" s="93"/>
      <c r="AB723" s="93"/>
    </row>
    <row r="724" ht="18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  <c r="AA724" s="93"/>
      <c r="AB724" s="93"/>
    </row>
    <row r="725" ht="18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  <c r="AA725" s="93"/>
      <c r="AB725" s="93"/>
    </row>
    <row r="726" ht="18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  <c r="AA726" s="93"/>
      <c r="AB726" s="93"/>
    </row>
    <row r="727" ht="18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  <c r="AA727" s="93"/>
      <c r="AB727" s="93"/>
    </row>
    <row r="728" ht="18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  <c r="AA728" s="93"/>
      <c r="AB728" s="93"/>
    </row>
    <row r="729" ht="18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  <c r="AA729" s="93"/>
      <c r="AB729" s="93"/>
    </row>
    <row r="730" ht="18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  <c r="AA730" s="93"/>
      <c r="AB730" s="93"/>
    </row>
    <row r="731" ht="18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  <c r="AA731" s="93"/>
      <c r="AB731" s="93"/>
    </row>
    <row r="732" ht="18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  <c r="AA732" s="93"/>
      <c r="AB732" s="93"/>
    </row>
    <row r="733" ht="18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  <c r="AA733" s="93"/>
      <c r="AB733" s="93"/>
    </row>
    <row r="734" ht="18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  <c r="AA734" s="93"/>
      <c r="AB734" s="93"/>
    </row>
    <row r="735" ht="18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  <c r="AA735" s="93"/>
      <c r="AB735" s="93"/>
    </row>
    <row r="736" ht="18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  <c r="AA736" s="93"/>
      <c r="AB736" s="93"/>
    </row>
    <row r="737" ht="18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  <c r="AA737" s="93"/>
      <c r="AB737" s="93"/>
    </row>
    <row r="738" ht="18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  <c r="AA738" s="93"/>
      <c r="AB738" s="93"/>
    </row>
    <row r="739" ht="18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  <c r="AA739" s="93"/>
      <c r="AB739" s="93"/>
    </row>
    <row r="740" ht="18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  <c r="AA740" s="93"/>
      <c r="AB740" s="93"/>
    </row>
    <row r="741" ht="18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  <c r="AA741" s="93"/>
      <c r="AB741" s="93"/>
    </row>
    <row r="742" ht="18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  <c r="AA742" s="93"/>
      <c r="AB742" s="93"/>
    </row>
    <row r="743" ht="18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  <c r="AA743" s="93"/>
      <c r="AB743" s="93"/>
    </row>
    <row r="744" ht="18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  <c r="AA744" s="93"/>
      <c r="AB744" s="93"/>
    </row>
    <row r="745" ht="18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  <c r="AA745" s="93"/>
      <c r="AB745" s="93"/>
    </row>
    <row r="746" ht="18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  <c r="AA746" s="93"/>
      <c r="AB746" s="93"/>
    </row>
    <row r="747" ht="18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  <c r="AA747" s="93"/>
      <c r="AB747" s="93"/>
    </row>
    <row r="748" ht="18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  <c r="AA748" s="93"/>
      <c r="AB748" s="93"/>
    </row>
    <row r="749" ht="18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  <c r="AA749" s="93"/>
      <c r="AB749" s="93"/>
    </row>
    <row r="750" ht="18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  <c r="AA750" s="93"/>
      <c r="AB750" s="93"/>
    </row>
    <row r="751" ht="18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  <c r="AA751" s="93"/>
      <c r="AB751" s="93"/>
    </row>
    <row r="752" ht="18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  <c r="AA752" s="93"/>
      <c r="AB752" s="93"/>
    </row>
    <row r="753" ht="18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  <c r="AA753" s="93"/>
      <c r="AB753" s="93"/>
    </row>
    <row r="754" ht="18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  <c r="AA754" s="93"/>
      <c r="AB754" s="93"/>
    </row>
    <row r="755" ht="18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  <c r="AA755" s="93"/>
      <c r="AB755" s="93"/>
    </row>
    <row r="756" ht="18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  <c r="AA756" s="93"/>
      <c r="AB756" s="93"/>
    </row>
    <row r="757" ht="18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  <c r="AA757" s="93"/>
      <c r="AB757" s="93"/>
    </row>
    <row r="758" ht="18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  <c r="AA758" s="93"/>
      <c r="AB758" s="93"/>
    </row>
    <row r="759" ht="18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  <c r="AA759" s="93"/>
      <c r="AB759" s="93"/>
    </row>
    <row r="760" ht="18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  <c r="AA760" s="93"/>
      <c r="AB760" s="93"/>
    </row>
    <row r="761" ht="18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  <c r="AA761" s="93"/>
      <c r="AB761" s="93"/>
    </row>
    <row r="762" ht="18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  <c r="AA762" s="93"/>
      <c r="AB762" s="93"/>
    </row>
    <row r="763" ht="18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  <c r="AA763" s="93"/>
      <c r="AB763" s="93"/>
    </row>
    <row r="764" ht="18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  <c r="AA764" s="93"/>
      <c r="AB764" s="93"/>
    </row>
    <row r="765" ht="18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  <c r="AA765" s="93"/>
      <c r="AB765" s="93"/>
    </row>
    <row r="766" ht="18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  <c r="AA766" s="93"/>
      <c r="AB766" s="93"/>
    </row>
    <row r="767" ht="18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  <c r="AA767" s="93"/>
      <c r="AB767" s="93"/>
    </row>
    <row r="768" ht="18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  <c r="AA768" s="93"/>
      <c r="AB768" s="93"/>
    </row>
    <row r="769" ht="18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  <c r="AA769" s="93"/>
      <c r="AB769" s="93"/>
    </row>
    <row r="770" ht="18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  <c r="AA770" s="93"/>
      <c r="AB770" s="93"/>
    </row>
    <row r="771" ht="18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  <c r="AA771" s="93"/>
      <c r="AB771" s="93"/>
    </row>
    <row r="772" ht="18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  <c r="AA772" s="93"/>
      <c r="AB772" s="93"/>
    </row>
    <row r="773" ht="18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  <c r="AA773" s="93"/>
      <c r="AB773" s="93"/>
    </row>
    <row r="774" ht="18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  <c r="AA774" s="93"/>
      <c r="AB774" s="93"/>
    </row>
    <row r="775" ht="18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  <c r="AA775" s="93"/>
      <c r="AB775" s="93"/>
    </row>
    <row r="776" ht="18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  <c r="AA776" s="93"/>
      <c r="AB776" s="93"/>
    </row>
    <row r="777" ht="18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  <c r="AA777" s="93"/>
      <c r="AB777" s="93"/>
    </row>
    <row r="778" ht="18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  <c r="AA778" s="93"/>
      <c r="AB778" s="93"/>
    </row>
    <row r="779" ht="18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  <c r="AA779" s="93"/>
      <c r="AB779" s="93"/>
    </row>
    <row r="780" ht="18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  <c r="AA780" s="93"/>
      <c r="AB780" s="93"/>
    </row>
    <row r="781" ht="18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  <c r="AA781" s="93"/>
      <c r="AB781" s="93"/>
    </row>
    <row r="782" ht="18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  <c r="AA782" s="93"/>
      <c r="AB782" s="93"/>
    </row>
    <row r="783" ht="18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  <c r="AA783" s="93"/>
      <c r="AB783" s="93"/>
    </row>
    <row r="784" ht="18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  <c r="AA784" s="93"/>
      <c r="AB784" s="93"/>
    </row>
    <row r="785" ht="18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  <c r="AA785" s="93"/>
      <c r="AB785" s="93"/>
    </row>
    <row r="786" ht="18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  <c r="AA786" s="93"/>
      <c r="AB786" s="93"/>
    </row>
    <row r="787" ht="18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  <c r="AA787" s="93"/>
      <c r="AB787" s="93"/>
    </row>
    <row r="788" ht="18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  <c r="AA788" s="93"/>
      <c r="AB788" s="93"/>
    </row>
    <row r="789" ht="18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  <c r="AA789" s="93"/>
      <c r="AB789" s="93"/>
    </row>
    <row r="790" ht="18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  <c r="AA790" s="93"/>
      <c r="AB790" s="93"/>
    </row>
    <row r="791" ht="18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  <c r="AA791" s="93"/>
      <c r="AB791" s="93"/>
    </row>
    <row r="792" ht="18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  <c r="AA792" s="93"/>
      <c r="AB792" s="93"/>
    </row>
    <row r="793" ht="18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  <c r="AA793" s="93"/>
      <c r="AB793" s="93"/>
    </row>
    <row r="794" ht="18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  <c r="AA794" s="93"/>
      <c r="AB794" s="93"/>
    </row>
    <row r="795" ht="18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  <c r="AA795" s="93"/>
      <c r="AB795" s="93"/>
    </row>
    <row r="796" ht="18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  <c r="AA796" s="93"/>
      <c r="AB796" s="93"/>
    </row>
    <row r="797" ht="18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  <c r="AA797" s="93"/>
      <c r="AB797" s="93"/>
    </row>
    <row r="798" ht="18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  <c r="AA798" s="93"/>
      <c r="AB798" s="93"/>
    </row>
    <row r="799" ht="18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  <c r="AA799" s="93"/>
      <c r="AB799" s="93"/>
    </row>
    <row r="800" ht="18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  <c r="AA800" s="93"/>
      <c r="AB800" s="93"/>
    </row>
    <row r="801" ht="18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  <c r="AA801" s="93"/>
      <c r="AB801" s="93"/>
    </row>
    <row r="802" ht="18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  <c r="AA802" s="93"/>
      <c r="AB802" s="93"/>
    </row>
    <row r="803" ht="18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  <c r="AA803" s="93"/>
      <c r="AB803" s="93"/>
    </row>
    <row r="804" ht="18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  <c r="AA804" s="93"/>
      <c r="AB804" s="93"/>
    </row>
    <row r="805" ht="18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  <c r="AA805" s="93"/>
      <c r="AB805" s="93"/>
    </row>
    <row r="806" ht="18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  <c r="AA806" s="93"/>
      <c r="AB806" s="93"/>
    </row>
    <row r="807" ht="18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  <c r="AA807" s="93"/>
      <c r="AB807" s="93"/>
    </row>
    <row r="808" ht="18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  <c r="AA808" s="93"/>
      <c r="AB808" s="93"/>
    </row>
    <row r="809" ht="18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  <c r="AA809" s="93"/>
      <c r="AB809" s="93"/>
    </row>
    <row r="810" ht="18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  <c r="AA810" s="93"/>
      <c r="AB810" s="93"/>
    </row>
    <row r="811" ht="18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  <c r="AA811" s="93"/>
      <c r="AB811" s="93"/>
    </row>
    <row r="812" ht="18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  <c r="AA812" s="93"/>
      <c r="AB812" s="93"/>
    </row>
    <row r="813" ht="18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  <c r="AA813" s="93"/>
      <c r="AB813" s="93"/>
    </row>
    <row r="814" ht="18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  <c r="AA814" s="93"/>
      <c r="AB814" s="93"/>
    </row>
    <row r="815" ht="18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  <c r="AA815" s="93"/>
      <c r="AB815" s="93"/>
    </row>
    <row r="816" ht="18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  <c r="AA816" s="93"/>
      <c r="AB816" s="93"/>
    </row>
    <row r="817" ht="18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  <c r="AA817" s="93"/>
      <c r="AB817" s="93"/>
    </row>
    <row r="818" ht="18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  <c r="AA818" s="93"/>
      <c r="AB818" s="93"/>
    </row>
    <row r="819" ht="18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  <c r="AA819" s="93"/>
      <c r="AB819" s="93"/>
    </row>
    <row r="820" ht="18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  <c r="AA820" s="93"/>
      <c r="AB820" s="93"/>
    </row>
    <row r="821" ht="18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  <c r="AA821" s="93"/>
      <c r="AB821" s="93"/>
    </row>
    <row r="822" ht="18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  <c r="AA822" s="93"/>
      <c r="AB822" s="93"/>
    </row>
    <row r="823" ht="18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  <c r="AA823" s="93"/>
      <c r="AB823" s="93"/>
    </row>
    <row r="824" ht="18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  <c r="AA824" s="93"/>
      <c r="AB824" s="93"/>
    </row>
    <row r="825" ht="18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  <c r="AA825" s="93"/>
      <c r="AB825" s="93"/>
    </row>
    <row r="826" ht="18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  <c r="AA826" s="93"/>
      <c r="AB826" s="93"/>
    </row>
    <row r="827" ht="18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  <c r="AA827" s="93"/>
      <c r="AB827" s="93"/>
    </row>
    <row r="828" ht="18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  <c r="AA828" s="93"/>
      <c r="AB828" s="93"/>
    </row>
    <row r="829" ht="18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  <c r="AA829" s="93"/>
      <c r="AB829" s="93"/>
    </row>
    <row r="830" ht="18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  <c r="AA830" s="93"/>
      <c r="AB830" s="93"/>
    </row>
    <row r="831" ht="18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  <c r="AA831" s="93"/>
      <c r="AB831" s="93"/>
    </row>
    <row r="832" ht="18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  <c r="AA832" s="93"/>
      <c r="AB832" s="93"/>
    </row>
    <row r="833" ht="18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  <c r="AA833" s="93"/>
      <c r="AB833" s="93"/>
    </row>
    <row r="834" ht="18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  <c r="AA834" s="93"/>
      <c r="AB834" s="93"/>
    </row>
    <row r="835" ht="18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  <c r="AA835" s="93"/>
      <c r="AB835" s="93"/>
    </row>
    <row r="836" ht="18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  <c r="AA836" s="93"/>
      <c r="AB836" s="93"/>
    </row>
    <row r="837" ht="18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  <c r="AA837" s="93"/>
      <c r="AB837" s="93"/>
    </row>
    <row r="838" ht="18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  <c r="AA838" s="93"/>
      <c r="AB838" s="93"/>
    </row>
    <row r="839" ht="18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  <c r="AA839" s="93"/>
      <c r="AB839" s="93"/>
    </row>
    <row r="840" ht="18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  <c r="AA840" s="93"/>
      <c r="AB840" s="93"/>
    </row>
    <row r="841" ht="18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  <c r="AA841" s="93"/>
      <c r="AB841" s="93"/>
    </row>
    <row r="842" ht="18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  <c r="AA842" s="93"/>
      <c r="AB842" s="93"/>
    </row>
    <row r="843" ht="18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  <c r="AA843" s="93"/>
      <c r="AB843" s="93"/>
    </row>
    <row r="844" ht="18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  <c r="AA844" s="93"/>
      <c r="AB844" s="93"/>
    </row>
    <row r="845" ht="18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  <c r="AA845" s="93"/>
      <c r="AB845" s="93"/>
    </row>
    <row r="846" ht="18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  <c r="AA846" s="93"/>
      <c r="AB846" s="93"/>
    </row>
    <row r="847" ht="18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  <c r="AA847" s="93"/>
      <c r="AB847" s="93"/>
    </row>
    <row r="848" ht="18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  <c r="AA848" s="93"/>
      <c r="AB848" s="93"/>
    </row>
    <row r="849" ht="18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  <c r="AA849" s="93"/>
      <c r="AB849" s="93"/>
    </row>
    <row r="850" ht="18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  <c r="AA850" s="93"/>
      <c r="AB850" s="93"/>
    </row>
    <row r="851" ht="18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  <c r="AA851" s="93"/>
      <c r="AB851" s="93"/>
    </row>
    <row r="852" ht="18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  <c r="AA852" s="93"/>
      <c r="AB852" s="93"/>
    </row>
    <row r="853" ht="18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  <c r="AA853" s="93"/>
      <c r="AB853" s="93"/>
    </row>
    <row r="854" ht="18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  <c r="AA854" s="93"/>
      <c r="AB854" s="93"/>
    </row>
    <row r="855" ht="18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  <c r="AA855" s="93"/>
      <c r="AB855" s="93"/>
    </row>
    <row r="856" ht="18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  <c r="AA856" s="93"/>
      <c r="AB856" s="93"/>
    </row>
    <row r="857" ht="18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  <c r="AA857" s="93"/>
      <c r="AB857" s="93"/>
    </row>
    <row r="858" ht="18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  <c r="AA858" s="93"/>
      <c r="AB858" s="93"/>
    </row>
    <row r="859" ht="18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  <c r="AA859" s="93"/>
      <c r="AB859" s="93"/>
    </row>
    <row r="860" ht="18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  <c r="AA860" s="93"/>
      <c r="AB860" s="93"/>
    </row>
    <row r="861" ht="18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  <c r="AA861" s="93"/>
      <c r="AB861" s="93"/>
    </row>
    <row r="862" ht="18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  <c r="AA862" s="93"/>
      <c r="AB862" s="93"/>
    </row>
    <row r="863" ht="18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  <c r="AA863" s="93"/>
      <c r="AB863" s="93"/>
    </row>
    <row r="864" ht="18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  <c r="AA864" s="93"/>
      <c r="AB864" s="93"/>
    </row>
    <row r="865" ht="18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  <c r="AA865" s="93"/>
      <c r="AB865" s="93"/>
    </row>
    <row r="866" ht="18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  <c r="AA866" s="93"/>
      <c r="AB866" s="93"/>
    </row>
    <row r="867" ht="18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  <c r="AA867" s="93"/>
      <c r="AB867" s="93"/>
    </row>
    <row r="868" ht="18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  <c r="AA868" s="93"/>
      <c r="AB868" s="93"/>
    </row>
    <row r="869" ht="18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  <c r="AA869" s="93"/>
      <c r="AB869" s="93"/>
    </row>
    <row r="870" ht="18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  <c r="AA870" s="93"/>
      <c r="AB870" s="93"/>
    </row>
    <row r="871" ht="18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  <c r="AA871" s="93"/>
      <c r="AB871" s="93"/>
    </row>
    <row r="872" ht="18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  <c r="AA872" s="93"/>
      <c r="AB872" s="93"/>
    </row>
    <row r="873" ht="18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  <c r="AA873" s="93"/>
      <c r="AB873" s="93"/>
    </row>
    <row r="874" ht="18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  <c r="AA874" s="93"/>
      <c r="AB874" s="93"/>
    </row>
    <row r="875" ht="18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  <c r="AA875" s="93"/>
      <c r="AB875" s="93"/>
    </row>
    <row r="876" ht="18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  <c r="AA876" s="93"/>
      <c r="AB876" s="93"/>
    </row>
    <row r="877" ht="18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  <c r="AA877" s="93"/>
      <c r="AB877" s="93"/>
    </row>
    <row r="878" ht="18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  <c r="AA878" s="93"/>
      <c r="AB878" s="93"/>
    </row>
    <row r="879" ht="18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  <c r="AA879" s="93"/>
      <c r="AB879" s="93"/>
    </row>
    <row r="880" ht="18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  <c r="AA880" s="93"/>
      <c r="AB880" s="93"/>
    </row>
    <row r="881" ht="18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  <c r="AA881" s="93"/>
      <c r="AB881" s="93"/>
    </row>
    <row r="882" ht="18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  <c r="AA882" s="93"/>
      <c r="AB882" s="93"/>
    </row>
    <row r="883" ht="18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  <c r="AA883" s="93"/>
      <c r="AB883" s="93"/>
    </row>
    <row r="884" ht="18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  <c r="AA884" s="93"/>
      <c r="AB884" s="93"/>
    </row>
    <row r="885" ht="18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  <c r="AA885" s="93"/>
      <c r="AB885" s="93"/>
    </row>
    <row r="886" ht="18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  <c r="AA886" s="93"/>
      <c r="AB886" s="93"/>
    </row>
    <row r="887" ht="18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  <c r="AA887" s="93"/>
      <c r="AB887" s="93"/>
    </row>
    <row r="888" ht="18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  <c r="AA888" s="93"/>
      <c r="AB888" s="93"/>
    </row>
    <row r="889" ht="18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  <c r="AA889" s="93"/>
      <c r="AB889" s="93"/>
    </row>
    <row r="890" ht="18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  <c r="AA890" s="93"/>
      <c r="AB890" s="93"/>
    </row>
    <row r="891" ht="18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  <c r="AA891" s="93"/>
      <c r="AB891" s="93"/>
    </row>
    <row r="892" ht="18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  <c r="AA892" s="93"/>
      <c r="AB892" s="93"/>
    </row>
    <row r="893" ht="18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  <c r="AA893" s="93"/>
      <c r="AB893" s="93"/>
    </row>
    <row r="894" ht="18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  <c r="AA894" s="93"/>
      <c r="AB894" s="93"/>
    </row>
    <row r="895" ht="18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  <c r="AA895" s="93"/>
      <c r="AB895" s="93"/>
    </row>
    <row r="896" ht="18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  <c r="AA896" s="93"/>
      <c r="AB896" s="93"/>
    </row>
    <row r="897" ht="18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  <c r="AA897" s="93"/>
      <c r="AB897" s="93"/>
    </row>
    <row r="898" ht="18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  <c r="AA898" s="93"/>
      <c r="AB898" s="93"/>
    </row>
    <row r="899" ht="18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  <c r="AA899" s="93"/>
      <c r="AB899" s="93"/>
    </row>
    <row r="900" ht="18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  <c r="AA900" s="93"/>
      <c r="AB900" s="93"/>
    </row>
    <row r="901" ht="18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  <c r="AA901" s="93"/>
      <c r="AB901" s="93"/>
    </row>
    <row r="902" ht="18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  <c r="AA902" s="93"/>
      <c r="AB902" s="93"/>
    </row>
    <row r="903" ht="18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  <c r="AA903" s="93"/>
      <c r="AB903" s="93"/>
    </row>
    <row r="904" ht="18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  <c r="AA904" s="93"/>
      <c r="AB904" s="93"/>
    </row>
    <row r="905" ht="18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  <c r="AA905" s="93"/>
      <c r="AB905" s="93"/>
    </row>
    <row r="906" ht="18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  <c r="AA906" s="93"/>
      <c r="AB906" s="93"/>
    </row>
    <row r="907" ht="18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  <c r="AA907" s="93"/>
      <c r="AB907" s="93"/>
    </row>
    <row r="908" ht="18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  <c r="AA908" s="93"/>
      <c r="AB908" s="93"/>
    </row>
    <row r="909" ht="18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  <c r="AA909" s="93"/>
      <c r="AB909" s="93"/>
    </row>
    <row r="910" ht="18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  <c r="AA910" s="93"/>
      <c r="AB910" s="93"/>
    </row>
    <row r="911" ht="18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  <c r="AA911" s="93"/>
      <c r="AB911" s="93"/>
    </row>
    <row r="912" ht="18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  <c r="AA912" s="93"/>
      <c r="AB912" s="93"/>
    </row>
    <row r="913" ht="18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  <c r="AA913" s="93"/>
      <c r="AB913" s="93"/>
    </row>
    <row r="914" ht="18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  <c r="AA914" s="93"/>
      <c r="AB914" s="93"/>
    </row>
    <row r="915" ht="18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  <c r="AA915" s="93"/>
      <c r="AB915" s="93"/>
    </row>
    <row r="916" ht="18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  <c r="AA916" s="93"/>
      <c r="AB916" s="93"/>
    </row>
    <row r="917" ht="18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  <c r="AA917" s="93"/>
      <c r="AB917" s="93"/>
    </row>
    <row r="918" ht="18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  <c r="AA918" s="93"/>
      <c r="AB918" s="93"/>
    </row>
    <row r="919" ht="18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  <c r="AA919" s="93"/>
      <c r="AB919" s="93"/>
    </row>
    <row r="920" ht="18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  <c r="AA920" s="93"/>
      <c r="AB920" s="93"/>
    </row>
    <row r="921" ht="18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  <c r="AA921" s="93"/>
      <c r="AB921" s="93"/>
    </row>
    <row r="922" ht="18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  <c r="AA922" s="93"/>
      <c r="AB922" s="93"/>
    </row>
    <row r="923" ht="18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  <c r="AA923" s="93"/>
      <c r="AB923" s="93"/>
    </row>
    <row r="924" ht="18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  <c r="AA924" s="93"/>
      <c r="AB924" s="93"/>
    </row>
    <row r="925" ht="18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  <c r="AA925" s="93"/>
      <c r="AB925" s="93"/>
    </row>
    <row r="926" ht="18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  <c r="AA926" s="93"/>
      <c r="AB926" s="93"/>
    </row>
    <row r="927" ht="18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  <c r="AA927" s="93"/>
      <c r="AB927" s="93"/>
    </row>
    <row r="928" ht="18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  <c r="AA928" s="93"/>
      <c r="AB928" s="93"/>
    </row>
    <row r="929" ht="18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  <c r="AA929" s="93"/>
      <c r="AB929" s="93"/>
    </row>
    <row r="930" ht="18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  <c r="AA930" s="93"/>
      <c r="AB930" s="93"/>
    </row>
    <row r="931" ht="18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  <c r="AA931" s="93"/>
      <c r="AB931" s="93"/>
    </row>
    <row r="932" ht="18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  <c r="AA932" s="93"/>
      <c r="AB932" s="93"/>
    </row>
    <row r="933" ht="18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  <c r="AA933" s="93"/>
      <c r="AB933" s="93"/>
    </row>
    <row r="934" ht="18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  <c r="AA934" s="93"/>
      <c r="AB934" s="93"/>
    </row>
    <row r="935" ht="18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  <c r="AA935" s="93"/>
      <c r="AB935" s="93"/>
    </row>
    <row r="936" ht="18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  <c r="AA936" s="93"/>
      <c r="AB936" s="93"/>
    </row>
    <row r="937" ht="18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  <c r="AA937" s="93"/>
      <c r="AB937" s="93"/>
    </row>
    <row r="938" ht="18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</row>
    <row r="939" ht="18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  <c r="AA939" s="93"/>
      <c r="AB939" s="93"/>
    </row>
    <row r="940" ht="18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  <c r="AA940" s="93"/>
      <c r="AB940" s="93"/>
    </row>
    <row r="941" ht="18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  <c r="AA941" s="93"/>
      <c r="AB941" s="93"/>
    </row>
    <row r="942" ht="18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  <c r="AA942" s="93"/>
      <c r="AB942" s="93"/>
    </row>
    <row r="943" ht="18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  <c r="AA943" s="93"/>
      <c r="AB943" s="93"/>
    </row>
    <row r="944" ht="18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  <c r="AA944" s="93"/>
      <c r="AB944" s="93"/>
    </row>
    <row r="945" ht="18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  <c r="AA945" s="93"/>
      <c r="AB945" s="93"/>
    </row>
    <row r="946" ht="18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  <c r="AA946" s="93"/>
      <c r="AB946" s="93"/>
    </row>
    <row r="947" ht="18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  <c r="AA947" s="93"/>
      <c r="AB947" s="93"/>
    </row>
    <row r="948" ht="18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  <c r="AA948" s="93"/>
      <c r="AB948" s="93"/>
    </row>
    <row r="949" ht="18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  <c r="AA949" s="93"/>
      <c r="AB949" s="93"/>
    </row>
    <row r="950" ht="18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  <c r="AA950" s="93"/>
      <c r="AB950" s="93"/>
    </row>
    <row r="951" ht="18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  <c r="AA951" s="93"/>
      <c r="AB951" s="93"/>
    </row>
    <row r="952" ht="18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  <c r="AA952" s="93"/>
      <c r="AB952" s="93"/>
    </row>
    <row r="953" ht="18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  <c r="AA953" s="93"/>
      <c r="AB953" s="93"/>
    </row>
    <row r="954" ht="18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  <c r="AA954" s="93"/>
      <c r="AB954" s="93"/>
    </row>
    <row r="955" ht="18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  <c r="AA955" s="93"/>
      <c r="AB955" s="93"/>
    </row>
    <row r="956" ht="18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  <c r="AA956" s="93"/>
      <c r="AB956" s="93"/>
    </row>
    <row r="957" ht="18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  <c r="AA957" s="93"/>
      <c r="AB957" s="93"/>
    </row>
    <row r="958" ht="18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  <c r="AA958" s="93"/>
      <c r="AB958" s="93"/>
    </row>
    <row r="959" ht="18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  <c r="AA959" s="93"/>
      <c r="AB959" s="93"/>
    </row>
    <row r="960" ht="18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  <c r="AA960" s="93"/>
      <c r="AB960" s="93"/>
    </row>
    <row r="961" ht="18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  <c r="AA961" s="93"/>
      <c r="AB961" s="93"/>
    </row>
    <row r="962" ht="18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  <c r="AA962" s="93"/>
      <c r="AB962" s="93"/>
    </row>
    <row r="963" ht="18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  <c r="AA963" s="93"/>
      <c r="AB963" s="93"/>
    </row>
    <row r="964" ht="18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  <c r="AA964" s="93"/>
      <c r="AB964" s="93"/>
    </row>
    <row r="965" ht="18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  <c r="AA965" s="93"/>
      <c r="AB965" s="93"/>
    </row>
    <row r="966" ht="18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  <c r="AA966" s="93"/>
      <c r="AB966" s="93"/>
    </row>
    <row r="967" ht="18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  <c r="AA967" s="93"/>
      <c r="AB967" s="93"/>
    </row>
    <row r="968" ht="18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  <c r="AA968" s="93"/>
      <c r="AB968" s="93"/>
    </row>
    <row r="969" ht="18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  <c r="AA969" s="93"/>
      <c r="AB969" s="93"/>
    </row>
    <row r="970" ht="18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  <c r="AA970" s="93"/>
      <c r="AB970" s="93"/>
    </row>
    <row r="971" ht="18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  <c r="AA971" s="93"/>
      <c r="AB971" s="93"/>
    </row>
    <row r="972" ht="18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  <c r="AA972" s="93"/>
      <c r="AB972" s="93"/>
    </row>
    <row r="973" ht="18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  <c r="AA973" s="93"/>
      <c r="AB973" s="93"/>
    </row>
    <row r="974" ht="18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  <c r="AA974" s="93"/>
      <c r="AB974" s="93"/>
    </row>
    <row r="975" ht="18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  <c r="AA975" s="93"/>
      <c r="AB975" s="93"/>
    </row>
    <row r="976" ht="18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  <c r="AA976" s="93"/>
      <c r="AB976" s="93"/>
    </row>
    <row r="977" ht="18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  <c r="AA977" s="93"/>
      <c r="AB977" s="93"/>
    </row>
    <row r="978" ht="18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  <c r="AA978" s="93"/>
      <c r="AB978" s="93"/>
    </row>
    <row r="979" ht="18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  <c r="AA979" s="93"/>
      <c r="AB979" s="93"/>
    </row>
    <row r="980" ht="18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  <c r="AA980" s="93"/>
      <c r="AB980" s="93"/>
    </row>
    <row r="981" ht="18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  <c r="AA981" s="93"/>
      <c r="AB981" s="93"/>
    </row>
    <row r="982" ht="18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  <c r="AA982" s="93"/>
      <c r="AB982" s="93"/>
    </row>
    <row r="983" ht="18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  <c r="AA983" s="93"/>
      <c r="AB983" s="93"/>
    </row>
    <row r="984" ht="18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  <c r="AA984" s="93"/>
      <c r="AB984" s="93"/>
    </row>
    <row r="985" ht="18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  <c r="AA985" s="93"/>
      <c r="AB985" s="93"/>
    </row>
    <row r="986" ht="18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  <c r="AA986" s="93"/>
      <c r="AB986" s="93"/>
    </row>
    <row r="987" ht="18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  <c r="AA987" s="93"/>
      <c r="AB987" s="93"/>
    </row>
    <row r="988" ht="18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  <c r="AA988" s="93"/>
      <c r="AB988" s="93"/>
    </row>
    <row r="989" ht="18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  <c r="AA989" s="93"/>
      <c r="AB989" s="93"/>
    </row>
    <row r="990" ht="18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  <c r="AA990" s="93"/>
      <c r="AB990" s="93"/>
    </row>
    <row r="991" ht="18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  <c r="AA991" s="93"/>
      <c r="AB991" s="93"/>
    </row>
    <row r="992" ht="18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  <c r="AA992" s="93"/>
      <c r="AB992" s="93"/>
    </row>
    <row r="993" ht="18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  <c r="AA993" s="93"/>
      <c r="AB993" s="93"/>
    </row>
    <row r="994" ht="18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  <c r="AA994" s="93"/>
      <c r="AB994" s="93"/>
    </row>
    <row r="995" ht="18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  <c r="AA995" s="93"/>
      <c r="AB995" s="93"/>
    </row>
    <row r="996" ht="18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  <c r="AA996" s="93"/>
      <c r="AB996" s="93"/>
    </row>
  </sheetData>
  <autoFilter ref="$A$2:$AB$31"/>
  <dataValidations>
    <dataValidation type="list" allowBlank="1" showErrorMessage="1" sqref="C3:C45">
      <formula1>"退休長住,假日休閒,休閒業者,企業主,其他"</formula1>
    </dataValidation>
    <dataValidation type="list" allowBlank="1" showErrorMessage="1" sqref="H3:H45">
      <formula1>"S,A,B,C"</formula1>
    </dataValidation>
    <dataValidation type="list" allowBlank="1" showErrorMessage="1" sqref="E3:F45">
      <formula1>"高,中,低"</formula1>
    </dataValidation>
  </dataValidations>
  <drawing r:id="rId1"/>
</worksheet>
</file>